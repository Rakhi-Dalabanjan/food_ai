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6) Fourth Semester M Tech\Masters Thesis Research\Experimental Data\"/>
    </mc:Choice>
  </mc:AlternateContent>
  <xr:revisionPtr revIDLastSave="0" documentId="13_ncr:1_{09228FA4-69F8-4A2F-98DA-1509C0CF998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l Product Data" sheetId="1" r:id="rId1"/>
    <sheet name="AI Dataset" sheetId="8" r:id="rId2"/>
    <sheet name="Retort Process Data" sheetId="3" r:id="rId3"/>
    <sheet name="Packaging Material Test" sheetId="9" r:id="rId4"/>
    <sheet name="E Nose " sheetId="10" r:id="rId5"/>
    <sheet name="Sample Coding" sheetId="2" r:id="rId6"/>
  </sheets>
  <externalReferences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6" i="1" l="1"/>
  <c r="R345" i="1"/>
  <c r="C2341" i="3" l="1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342" i="3" s="1"/>
  <c r="C2344" i="3" s="1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201" i="3" s="1"/>
  <c r="C2203" i="3" s="1"/>
  <c r="C2048" i="3"/>
  <c r="C2047" i="3"/>
  <c r="C2046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2040" i="3" s="1"/>
  <c r="C2042" i="3" s="1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879" i="3" s="1"/>
  <c r="C1881" i="3" s="1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585" i="3" s="1"/>
  <c r="C1587" i="3" s="1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431" i="3" s="1"/>
  <c r="C1433" i="3" s="1"/>
  <c r="C1283" i="3"/>
  <c r="C1282" i="3"/>
  <c r="C1281" i="3"/>
  <c r="C1280" i="3"/>
  <c r="C1279" i="3"/>
  <c r="C1278" i="3"/>
  <c r="C1277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71" i="3" s="1"/>
  <c r="C1273" i="3" s="1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1201" i="3" s="1"/>
  <c r="C1203" i="3" s="1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774" i="3" s="1"/>
  <c r="C776" i="3" s="1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634" i="3" s="1"/>
  <c r="C636" i="3" s="1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538" i="3" s="1"/>
  <c r="C540" i="3" s="1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410" i="3" s="1"/>
  <c r="C412" i="3" s="1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234" i="3" s="1"/>
  <c r="C236" i="3" s="1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123" i="3" s="1"/>
  <c r="C125" i="3" s="1"/>
  <c r="C3" i="3"/>
  <c r="M650" i="1"/>
  <c r="M651" i="1"/>
  <c r="M652" i="1"/>
  <c r="M653" i="1"/>
  <c r="M654" i="1"/>
  <c r="M655" i="1"/>
  <c r="M656" i="1"/>
  <c r="M657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48" i="1"/>
  <c r="M539" i="1"/>
  <c r="M540" i="1"/>
  <c r="M541" i="1"/>
  <c r="M542" i="1"/>
  <c r="M543" i="1"/>
  <c r="M544" i="1"/>
  <c r="M545" i="1"/>
  <c r="M546" i="1"/>
  <c r="M538" i="1"/>
  <c r="M445" i="1"/>
  <c r="M446" i="1"/>
  <c r="M447" i="1"/>
  <c r="M448" i="1"/>
  <c r="M449" i="1"/>
  <c r="M450" i="1"/>
  <c r="M437" i="1"/>
  <c r="M438" i="1"/>
  <c r="M439" i="1"/>
  <c r="M440" i="1"/>
  <c r="M441" i="1"/>
  <c r="M442" i="1"/>
  <c r="M443" i="1"/>
  <c r="M444" i="1"/>
  <c r="M436" i="1"/>
  <c r="M427" i="1"/>
  <c r="M428" i="1"/>
  <c r="M429" i="1"/>
  <c r="M430" i="1"/>
  <c r="M432" i="1"/>
  <c r="M433" i="1"/>
  <c r="M434" i="1"/>
  <c r="M426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24" i="1"/>
  <c r="M315" i="1"/>
  <c r="M316" i="1"/>
  <c r="M317" i="1"/>
  <c r="M318" i="1"/>
  <c r="M319" i="1"/>
  <c r="M320" i="1"/>
  <c r="M321" i="1"/>
  <c r="M314" i="1"/>
  <c r="M226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12" i="1"/>
  <c r="L658" i="1"/>
  <c r="M658" i="1" s="1"/>
  <c r="L431" i="1"/>
  <c r="M431" i="1" s="1"/>
  <c r="L322" i="1"/>
  <c r="M322" i="1" s="1"/>
  <c r="R13" i="1"/>
  <c r="R202" i="1"/>
  <c r="R99" i="1"/>
  <c r="R183" i="1"/>
  <c r="R347" i="1"/>
  <c r="R571" i="1"/>
  <c r="R570" i="1"/>
  <c r="R569" i="1"/>
  <c r="R448" i="1"/>
  <c r="R449" i="1"/>
  <c r="R450" i="1"/>
  <c r="R97" i="1"/>
  <c r="R100" i="1"/>
  <c r="R101" i="1"/>
  <c r="R103" i="1"/>
  <c r="R105" i="1"/>
  <c r="R109" i="1"/>
  <c r="R110" i="1"/>
  <c r="R111" i="1"/>
  <c r="R112" i="1"/>
  <c r="R106" i="1"/>
  <c r="R107" i="1"/>
  <c r="R108" i="1"/>
  <c r="R113" i="1"/>
  <c r="R114" i="1"/>
  <c r="AK13" i="1"/>
  <c r="R459" i="1"/>
  <c r="R458" i="1"/>
  <c r="R456" i="1"/>
  <c r="R455" i="1"/>
  <c r="R454" i="1"/>
  <c r="R447" i="1"/>
  <c r="R446" i="1"/>
  <c r="R445" i="1"/>
  <c r="R209" i="1"/>
  <c r="R190" i="1"/>
  <c r="R169" i="1"/>
  <c r="R171" i="1"/>
  <c r="R165" i="1"/>
  <c r="R568" i="1"/>
  <c r="R567" i="1"/>
  <c r="R566" i="1"/>
  <c r="R562" i="1"/>
  <c r="R561" i="1"/>
  <c r="R560" i="1"/>
  <c r="R559" i="1"/>
  <c r="R558" i="1"/>
  <c r="R457" i="1"/>
  <c r="R343" i="1"/>
  <c r="R344" i="1"/>
  <c r="R342" i="1"/>
  <c r="R338" i="1"/>
  <c r="R337" i="1"/>
  <c r="R336" i="1"/>
  <c r="R334" i="1"/>
  <c r="R333" i="1"/>
  <c r="R208" i="1"/>
  <c r="R210" i="1"/>
  <c r="R203" i="1"/>
  <c r="R204" i="1"/>
  <c r="R189" i="1"/>
  <c r="R188" i="1"/>
  <c r="R184" i="1"/>
  <c r="R170" i="1"/>
  <c r="R152" i="1"/>
  <c r="R151" i="1"/>
  <c r="R150" i="1"/>
  <c r="R146" i="1"/>
  <c r="R145" i="1"/>
  <c r="R144" i="1"/>
  <c r="R130" i="1"/>
  <c r="R127" i="1"/>
  <c r="R126" i="1"/>
  <c r="R125" i="1"/>
  <c r="R120" i="1"/>
  <c r="R95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94" i="1"/>
  <c r="R93" i="1"/>
  <c r="R234" i="1"/>
  <c r="R233" i="1"/>
  <c r="R232" i="1"/>
  <c r="R230" i="1"/>
  <c r="R231" i="1"/>
  <c r="R235" i="1"/>
  <c r="R226" i="1"/>
  <c r="R223" i="1"/>
  <c r="R225" i="1"/>
  <c r="R224" i="1"/>
  <c r="R222" i="1"/>
  <c r="R221" i="1"/>
  <c r="R56" i="1"/>
  <c r="R57" i="1"/>
  <c r="R75" i="1"/>
  <c r="R76" i="1"/>
  <c r="R70" i="1"/>
  <c r="R69" i="1"/>
  <c r="R132" i="1"/>
  <c r="R133" i="1"/>
  <c r="R131" i="1"/>
  <c r="R74" i="1"/>
  <c r="R55" i="1"/>
  <c r="R182" i="1"/>
  <c r="R163" i="1"/>
  <c r="R68" i="1"/>
  <c r="R51" i="1"/>
  <c r="R50" i="1"/>
  <c r="R49" i="1"/>
  <c r="R19" i="1"/>
  <c r="R18" i="1"/>
  <c r="R17" i="1"/>
  <c r="R32" i="1"/>
  <c r="R36" i="1"/>
  <c r="R37" i="1"/>
  <c r="R38" i="1"/>
  <c r="R31" i="1"/>
  <c r="R30" i="1"/>
  <c r="R11" i="1"/>
  <c r="R12" i="1"/>
</calcChain>
</file>

<file path=xl/sharedStrings.xml><?xml version="1.0" encoding="utf-8"?>
<sst xmlns="http://schemas.openxmlformats.org/spreadsheetml/2006/main" count="3673" uniqueCount="289">
  <si>
    <t>Trial A (K121T20P20)</t>
  </si>
  <si>
    <t>F0</t>
  </si>
  <si>
    <t>pH</t>
  </si>
  <si>
    <t>PV</t>
  </si>
  <si>
    <t>Hold Time (Min)</t>
  </si>
  <si>
    <t>O2 %</t>
  </si>
  <si>
    <t>A1 RT</t>
  </si>
  <si>
    <t>A2 RT</t>
  </si>
  <si>
    <t>A3 RT</t>
  </si>
  <si>
    <t>CO2 %</t>
  </si>
  <si>
    <t>Moisture Content %</t>
  </si>
  <si>
    <t>Trial B (K121T10P20)</t>
  </si>
  <si>
    <t>B1 RT</t>
  </si>
  <si>
    <r>
      <t>Temp (</t>
    </r>
    <r>
      <rPr>
        <b/>
        <sz val="11"/>
        <color theme="1"/>
        <rFont val="Aptos Narrow"/>
        <family val="2"/>
      </rPr>
      <t>°</t>
    </r>
    <r>
      <rPr>
        <b/>
        <sz val="10.8"/>
        <color theme="1"/>
        <rFont val="Calibri"/>
        <family val="2"/>
      </rPr>
      <t>C)</t>
    </r>
  </si>
  <si>
    <t>B2 RT</t>
  </si>
  <si>
    <t>B3 RT</t>
  </si>
  <si>
    <t>B4 NRT</t>
  </si>
  <si>
    <t>Trial C (K121T30P20)</t>
  </si>
  <si>
    <t>C1 RT</t>
  </si>
  <si>
    <t>C2 RT</t>
  </si>
  <si>
    <t>C3 RT</t>
  </si>
  <si>
    <t>Storage Temp (°C)</t>
  </si>
  <si>
    <t>L*</t>
  </si>
  <si>
    <t>a*</t>
  </si>
  <si>
    <t>b*</t>
  </si>
  <si>
    <t>dE*</t>
  </si>
  <si>
    <t>C4 NRT</t>
  </si>
  <si>
    <t>Pressure</t>
  </si>
  <si>
    <t>Trial D (K121T15P20)</t>
  </si>
  <si>
    <t>D1 RT</t>
  </si>
  <si>
    <t>D2 RT</t>
  </si>
  <si>
    <t>D3 RT</t>
  </si>
  <si>
    <t>D4 NRT</t>
  </si>
  <si>
    <t>Storage Time in Days</t>
  </si>
  <si>
    <t>Pouch Internal Pressure (mbar)</t>
  </si>
  <si>
    <t>Due Point Water Activity Aw</t>
  </si>
  <si>
    <t>E1 RT</t>
  </si>
  <si>
    <t>E2 RT</t>
  </si>
  <si>
    <t>E3 RT</t>
  </si>
  <si>
    <t>E4 NRT</t>
  </si>
  <si>
    <t>E5 RT</t>
  </si>
  <si>
    <t>Trial E (K111T10P20)</t>
  </si>
  <si>
    <t>Trial F (K111T20P20)</t>
  </si>
  <si>
    <t>F1 RT</t>
  </si>
  <si>
    <t>F2 RT</t>
  </si>
  <si>
    <t>F3 RT</t>
  </si>
  <si>
    <t>F4 NRT</t>
  </si>
  <si>
    <t>F5 RT</t>
  </si>
  <si>
    <t>D5 RT</t>
  </si>
  <si>
    <t>D6 NRT</t>
  </si>
  <si>
    <t>A4 NRT</t>
  </si>
  <si>
    <t>Appearance</t>
  </si>
  <si>
    <t>Colour</t>
  </si>
  <si>
    <t>Aroma</t>
  </si>
  <si>
    <t>Taste</t>
  </si>
  <si>
    <t>Texture</t>
  </si>
  <si>
    <t>Overall Acceptability</t>
  </si>
  <si>
    <t>Trial  A</t>
  </si>
  <si>
    <t>Time</t>
  </si>
  <si>
    <t>Temprature</t>
  </si>
  <si>
    <t>Lethality</t>
  </si>
  <si>
    <t>Sum of Lethality</t>
  </si>
  <si>
    <t>F0 Value in Minutes</t>
  </si>
  <si>
    <t>Batch B</t>
  </si>
  <si>
    <t>Batch C</t>
  </si>
  <si>
    <t>Batch D</t>
  </si>
  <si>
    <t>Batch E</t>
  </si>
  <si>
    <t>Batch F</t>
  </si>
  <si>
    <t>ND</t>
  </si>
  <si>
    <t>Spoiled</t>
  </si>
  <si>
    <t>Trial G (K111T30P20)</t>
  </si>
  <si>
    <t>G1</t>
  </si>
  <si>
    <t>G2</t>
  </si>
  <si>
    <t>G3</t>
  </si>
  <si>
    <t>G4 NRT</t>
  </si>
  <si>
    <t>Fat %</t>
  </si>
  <si>
    <t>Trial H (K111T40P20)</t>
  </si>
  <si>
    <t>H1</t>
  </si>
  <si>
    <t>H2</t>
  </si>
  <si>
    <t>H3</t>
  </si>
  <si>
    <t>Trial I (K116T15P20)</t>
  </si>
  <si>
    <t>I1</t>
  </si>
  <si>
    <t>I2</t>
  </si>
  <si>
    <t>I3</t>
  </si>
  <si>
    <t>Trial J (K116T25P20)</t>
  </si>
  <si>
    <t>J1</t>
  </si>
  <si>
    <t>J2</t>
  </si>
  <si>
    <t>J3</t>
  </si>
  <si>
    <t>Trial K (K116T35P20)</t>
  </si>
  <si>
    <t>K1</t>
  </si>
  <si>
    <t>K2</t>
  </si>
  <si>
    <t>K3</t>
  </si>
  <si>
    <t>H4 NRT</t>
  </si>
  <si>
    <t>I4 NRT</t>
  </si>
  <si>
    <t>J4 NRT</t>
  </si>
  <si>
    <t>K4 NRT</t>
  </si>
  <si>
    <t>F6 NRT</t>
  </si>
  <si>
    <t>TNTC</t>
  </si>
  <si>
    <t>Batch Code</t>
  </si>
  <si>
    <t>Thickness (mm)</t>
  </si>
  <si>
    <t xml:space="preserve">Batch Code </t>
  </si>
  <si>
    <t>Sample ID</t>
  </si>
  <si>
    <t>OB1</t>
  </si>
  <si>
    <t>OB2</t>
  </si>
  <si>
    <t>OB3</t>
  </si>
  <si>
    <t>OB4 NRT</t>
  </si>
  <si>
    <t>OJ1</t>
  </si>
  <si>
    <t>OJ2</t>
  </si>
  <si>
    <t>OJ3</t>
  </si>
  <si>
    <t>OJ4 NRT</t>
  </si>
  <si>
    <t>Protein%</t>
  </si>
  <si>
    <t>the codeing of samples was done for optimization and final optimized samples</t>
  </si>
  <si>
    <t>codeing of optimization samples was like A, B, C, D, E, F, G, H, I, J, K</t>
  </si>
  <si>
    <t>Final optimized samples was coded as OB and OJ</t>
  </si>
  <si>
    <t xml:space="preserve">so the batch code of sample bags was like </t>
  </si>
  <si>
    <t>SK-OB-B1-T28-D0-R1</t>
  </si>
  <si>
    <t>SK-OJ-B2-T28-D0-R1</t>
  </si>
  <si>
    <t>SK-OJ-B3-T28-D0-R1</t>
  </si>
  <si>
    <t>SK-OB-B4-T28-D0-R1</t>
  </si>
  <si>
    <t>1 st batch</t>
  </si>
  <si>
    <t>2nd Batch</t>
  </si>
  <si>
    <t>3 rd battch</t>
  </si>
  <si>
    <t>4 th batch</t>
  </si>
  <si>
    <t>A5 RT</t>
  </si>
  <si>
    <t>A6 NRT</t>
  </si>
  <si>
    <t>Fresh</t>
  </si>
  <si>
    <t>Observation</t>
  </si>
  <si>
    <t>Acceptable</t>
  </si>
  <si>
    <t>Normal</t>
  </si>
  <si>
    <t>H5 RT</t>
  </si>
  <si>
    <t>H6 NRT</t>
  </si>
  <si>
    <t>I5 RT</t>
  </si>
  <si>
    <t>I6 NRT</t>
  </si>
  <si>
    <t>K5 RT</t>
  </si>
  <si>
    <t>K6 NRT</t>
  </si>
  <si>
    <t>OB5 RT</t>
  </si>
  <si>
    <t>G5 RT</t>
  </si>
  <si>
    <t>G6 NRT</t>
  </si>
  <si>
    <t>E6 NRT</t>
  </si>
  <si>
    <t>OB6 NRT</t>
  </si>
  <si>
    <t>OB7 RT</t>
  </si>
  <si>
    <t>OJ5 RT</t>
  </si>
  <si>
    <t>OJ6 NRT</t>
  </si>
  <si>
    <t>Bulged</t>
  </si>
  <si>
    <t>OB8 RT</t>
  </si>
  <si>
    <t>OB9 RT</t>
  </si>
  <si>
    <t>OB10 RT</t>
  </si>
  <si>
    <t>OB11 RT</t>
  </si>
  <si>
    <t>OB12 RT</t>
  </si>
  <si>
    <t>OB13 RT</t>
  </si>
  <si>
    <t>OB14 RT</t>
  </si>
  <si>
    <t>OB15 RT</t>
  </si>
  <si>
    <t>OB16 RT</t>
  </si>
  <si>
    <t>OB17 RT</t>
  </si>
  <si>
    <t>OB18 RT</t>
  </si>
  <si>
    <t>OB19 RT</t>
  </si>
  <si>
    <t>OB20 RT</t>
  </si>
  <si>
    <t>OB21 RT</t>
  </si>
  <si>
    <t>OB22 RT</t>
  </si>
  <si>
    <t>OB23 RT</t>
  </si>
  <si>
    <t>OB24 RT</t>
  </si>
  <si>
    <t>OB25 RT</t>
  </si>
  <si>
    <t>OB26 RT</t>
  </si>
  <si>
    <t>OB27 RT</t>
  </si>
  <si>
    <t>OB28 RT</t>
  </si>
  <si>
    <t>OB29 RT</t>
  </si>
  <si>
    <t>OJ7 NRT</t>
  </si>
  <si>
    <t>Net Weight</t>
  </si>
  <si>
    <t>OJ19 RT</t>
  </si>
  <si>
    <t>OJ20 RT</t>
  </si>
  <si>
    <t>OJ21 RT</t>
  </si>
  <si>
    <t>OJ22 RT</t>
  </si>
  <si>
    <t>OJ23 RT</t>
  </si>
  <si>
    <t>OJ24 RT</t>
  </si>
  <si>
    <t>OJ25 RT</t>
  </si>
  <si>
    <t>OJ26 RT</t>
  </si>
  <si>
    <t>OJ27 RT</t>
  </si>
  <si>
    <t>OJ28 RT</t>
  </si>
  <si>
    <t>OJ29 RT</t>
  </si>
  <si>
    <t>OJ30 RT</t>
  </si>
  <si>
    <t>OJ31 RT</t>
  </si>
  <si>
    <t>OJ8 RT</t>
  </si>
  <si>
    <t>OJ9 RT</t>
  </si>
  <si>
    <t>OJ10 RT</t>
  </si>
  <si>
    <t>OJ11 RT</t>
  </si>
  <si>
    <t>OJ12 RT</t>
  </si>
  <si>
    <t>OJ13 RT</t>
  </si>
  <si>
    <t>OJ14 RT</t>
  </si>
  <si>
    <t>OJ15 RT</t>
  </si>
  <si>
    <t>OJ16 RT</t>
  </si>
  <si>
    <t>OJ17 RT</t>
  </si>
  <si>
    <t>OJ18 RT</t>
  </si>
  <si>
    <t>OJ32 RT</t>
  </si>
  <si>
    <t>45..17</t>
  </si>
  <si>
    <t>doubt on ph</t>
  </si>
  <si>
    <t>normal</t>
  </si>
  <si>
    <t xml:space="preserve">OJ 2 (OJ2K116T25P20) OJ Optimized Trial </t>
  </si>
  <si>
    <t xml:space="preserve">OB 1 (OB1K121T10P20) OB Optimized Trial </t>
  </si>
  <si>
    <t>OJ 3 (OJ3K116T25P20) OJ Optimized Trial</t>
  </si>
  <si>
    <t>OB 4 (OB4K121T10P20) OB Optimized Trial</t>
  </si>
  <si>
    <t>OB30 RT</t>
  </si>
  <si>
    <t>OJ33 RT</t>
  </si>
  <si>
    <t xml:space="preserve"> </t>
  </si>
  <si>
    <t>Microbial Spoilage</t>
  </si>
  <si>
    <t>OJ7 RT</t>
  </si>
  <si>
    <t>Relative Humidity %</t>
  </si>
  <si>
    <t>s</t>
  </si>
  <si>
    <t>Package Integrity</t>
  </si>
  <si>
    <t>Not Acceptable</t>
  </si>
  <si>
    <t>TPC Status</t>
  </si>
  <si>
    <t>TPC (log CFU/g)</t>
  </si>
  <si>
    <t>contaminated</t>
  </si>
  <si>
    <t>Final Sample Status</t>
  </si>
  <si>
    <t>NA</t>
  </si>
  <si>
    <t>Ash Content</t>
  </si>
  <si>
    <t>Fiber Content</t>
  </si>
  <si>
    <t>45..16</t>
  </si>
  <si>
    <t>OJ34 RT</t>
  </si>
  <si>
    <t>Peroxide Value Incressed</t>
  </si>
  <si>
    <t>Carbohydraqtes</t>
  </si>
  <si>
    <t>Batch G</t>
  </si>
  <si>
    <t>Batch I</t>
  </si>
  <si>
    <t>033.3</t>
  </si>
  <si>
    <t>033.2</t>
  </si>
  <si>
    <t>033.5</t>
  </si>
  <si>
    <t>035.3</t>
  </si>
  <si>
    <t>039.5</t>
  </si>
  <si>
    <t>044.7</t>
  </si>
  <si>
    <t>050.5</t>
  </si>
  <si>
    <t>055.7</t>
  </si>
  <si>
    <t>059.9</t>
  </si>
  <si>
    <t>065.1</t>
  </si>
  <si>
    <t>068.6</t>
  </si>
  <si>
    <t>071.4</t>
  </si>
  <si>
    <t>078.2</t>
  </si>
  <si>
    <t>086.7</t>
  </si>
  <si>
    <t>092.3</t>
  </si>
  <si>
    <t>094.8</t>
  </si>
  <si>
    <t>096.7</t>
  </si>
  <si>
    <t>099.7</t>
  </si>
  <si>
    <t>Batch J</t>
  </si>
  <si>
    <t>Batch K</t>
  </si>
  <si>
    <t>Batch OB 1</t>
  </si>
  <si>
    <t>Batch OJ 2</t>
  </si>
  <si>
    <t>Batch OJ 3</t>
  </si>
  <si>
    <t>Batch OB 4</t>
  </si>
  <si>
    <t>Thickness of Retorted Pouch after filling  150 g product</t>
  </si>
  <si>
    <t>Net Weight (g)</t>
  </si>
  <si>
    <t>Tare weight</t>
  </si>
  <si>
    <t>OB 1</t>
  </si>
  <si>
    <t>OB 2</t>
  </si>
  <si>
    <t>OB 3</t>
  </si>
  <si>
    <t>OJ 2</t>
  </si>
  <si>
    <t xml:space="preserve">OJ 3 </t>
  </si>
  <si>
    <t>OB 4</t>
  </si>
  <si>
    <t>OB 5</t>
  </si>
  <si>
    <t>OJ 3</t>
  </si>
  <si>
    <t>OJ 4</t>
  </si>
  <si>
    <t>OJ 5</t>
  </si>
  <si>
    <t>OJ 6</t>
  </si>
  <si>
    <t>OJ 7</t>
  </si>
  <si>
    <t>OB 6</t>
  </si>
  <si>
    <t>OB 7</t>
  </si>
  <si>
    <t>OB 8</t>
  </si>
  <si>
    <t>Gross weight</t>
  </si>
  <si>
    <t>12PET/ 9ALU/ 15BON/ 70CPP</t>
  </si>
  <si>
    <t>HSN/SAC Code</t>
  </si>
  <si>
    <t>140x190MM UNPTD RETORT ALU 4PLY PILLOW POUCH (12/9/15/70)</t>
  </si>
  <si>
    <t>Layers and Thickness of layers in packaging material</t>
  </si>
  <si>
    <t>Industry informtation of packaing material I used</t>
  </si>
  <si>
    <t>140x190MM</t>
  </si>
  <si>
    <t>Dimentions of packaing material</t>
  </si>
  <si>
    <t>Name of Packaging material</t>
  </si>
  <si>
    <t>FoodPro Packaging Private Limited, Plot No. 126, Sector 8, IMT Manesar, Gurugram, Haryana 122051, GSTIN: 06AAECF0896N1Z6 CIN: U15100HR2020PTC086585 PAN: AAECF0896N, Regd. Office: Plot No. 126, Sector 8 , IMT Manesar,Gurugram, Haryana 122051, E-mail : info@foodpropack.in, Contact No. : 0124-4549955</t>
  </si>
  <si>
    <t>Packaging Material Information and test section</t>
  </si>
  <si>
    <t>Formula for WVTR (g/m2*day) = (weight change/(area*time))*10000</t>
  </si>
  <si>
    <t>Sample: Retort Packaging Material</t>
  </si>
  <si>
    <t>Day</t>
  </si>
  <si>
    <t>Weight (g)</t>
  </si>
  <si>
    <t>Diameter (cm)</t>
  </si>
  <si>
    <t>Area (cm2)</t>
  </si>
  <si>
    <t>WVTR (g/m2*day)</t>
  </si>
  <si>
    <t>Slope = ((y2 - y1)/(x2 - x1))</t>
  </si>
  <si>
    <t>Slope 1</t>
  </si>
  <si>
    <t>Slpoe 2</t>
  </si>
  <si>
    <t>Slope 3</t>
  </si>
  <si>
    <t>Slope 4</t>
  </si>
  <si>
    <t>Average</t>
  </si>
  <si>
    <t>Analysis results of WVTR test for Retort Pack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</si>
</sst>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b/>
      <sz val="10.8"/>
      <color theme="1"/>
      <name val="Calibri"/>
      <family val="2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21" fontId="0" fillId="0" borderId="0" xfId="0" applyNumberFormat="1"/>
    <xf numFmtId="21" fontId="0" fillId="2" borderId="0" xfId="0" applyNumberForma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 vertical="center" wrapText="1"/>
    </xf>
    <xf numFmtId="0" fontId="0" fillId="4" borderId="0" xfId="0" applyFill="1"/>
    <xf numFmtId="0" fontId="5" fillId="3" borderId="0" xfId="0" applyFont="1" applyFill="1"/>
    <xf numFmtId="0" fontId="0" fillId="0" borderId="0" xfId="0" quotePrefix="1"/>
    <xf numFmtId="0" fontId="6" fillId="0" borderId="0" xfId="0" applyFont="1"/>
    <xf numFmtId="0" fontId="7" fillId="0" borderId="0" xfId="0" applyFont="1" applyAlignment="1">
      <alignment horizontal="justify" vertical="center"/>
    </xf>
    <xf numFmtId="0" fontId="0" fillId="0" borderId="0" xfId="0"/>
    <xf numFmtId="0" fontId="8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</a:t>
            </a:r>
            <a:r>
              <a:rPr lang="en-US" baseline="0"/>
              <a:t> 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'[1]Retort Machine data for F0 calc'!$B$128</c:f>
              <c:strCache>
                <c:ptCount val="1"/>
                <c:pt idx="0">
                  <c:v>Temprature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'[1]Retort Machine data for F0 calc'!$A$129:$A$233</c:f>
              <c:numCache>
                <c:formatCode>General</c:formatCode>
                <c:ptCount val="105"/>
                <c:pt idx="0">
                  <c:v>0.62146990740740737</c:v>
                </c:pt>
                <c:pt idx="1">
                  <c:v>0.62181712962962965</c:v>
                </c:pt>
                <c:pt idx="2">
                  <c:v>0.62216435185185182</c:v>
                </c:pt>
                <c:pt idx="3">
                  <c:v>0.62251157407407409</c:v>
                </c:pt>
                <c:pt idx="4">
                  <c:v>0.62285879629629626</c:v>
                </c:pt>
                <c:pt idx="5">
                  <c:v>0.62320601851851853</c:v>
                </c:pt>
                <c:pt idx="6">
                  <c:v>0.6235532407407407</c:v>
                </c:pt>
                <c:pt idx="7">
                  <c:v>0.62390046296296298</c:v>
                </c:pt>
                <c:pt idx="8">
                  <c:v>0.62424768518518514</c:v>
                </c:pt>
                <c:pt idx="9">
                  <c:v>0.62459490740740742</c:v>
                </c:pt>
                <c:pt idx="10">
                  <c:v>0.62494212962962958</c:v>
                </c:pt>
                <c:pt idx="11">
                  <c:v>0.62528935185185186</c:v>
                </c:pt>
                <c:pt idx="12">
                  <c:v>0.62563657407407403</c:v>
                </c:pt>
                <c:pt idx="13">
                  <c:v>0.6259837962962963</c:v>
                </c:pt>
                <c:pt idx="14">
                  <c:v>0.62633101851851847</c:v>
                </c:pt>
                <c:pt idx="15">
                  <c:v>0.62667824074074074</c:v>
                </c:pt>
                <c:pt idx="16">
                  <c:v>0.62702546296296291</c:v>
                </c:pt>
                <c:pt idx="17">
                  <c:v>0.62737268518518519</c:v>
                </c:pt>
                <c:pt idx="18">
                  <c:v>0.62771990740740746</c:v>
                </c:pt>
                <c:pt idx="19">
                  <c:v>0.62806712962962963</c:v>
                </c:pt>
                <c:pt idx="20">
                  <c:v>0.6284143518518519</c:v>
                </c:pt>
                <c:pt idx="21">
                  <c:v>0.62876157407407407</c:v>
                </c:pt>
                <c:pt idx="22">
                  <c:v>0.62910879629629635</c:v>
                </c:pt>
                <c:pt idx="23">
                  <c:v>0.62945601851851851</c:v>
                </c:pt>
                <c:pt idx="24">
                  <c:v>0.62980324074074079</c:v>
                </c:pt>
                <c:pt idx="25">
                  <c:v>0.63015046296296295</c:v>
                </c:pt>
                <c:pt idx="26">
                  <c:v>0.63049768518518523</c:v>
                </c:pt>
                <c:pt idx="27">
                  <c:v>0.6308449074074074</c:v>
                </c:pt>
                <c:pt idx="28">
                  <c:v>0.63119212962962967</c:v>
                </c:pt>
                <c:pt idx="29">
                  <c:v>0.63153935185185184</c:v>
                </c:pt>
                <c:pt idx="30">
                  <c:v>0.63188657407407411</c:v>
                </c:pt>
                <c:pt idx="31">
                  <c:v>0.63223379629629628</c:v>
                </c:pt>
                <c:pt idx="32">
                  <c:v>0.63258101851851856</c:v>
                </c:pt>
                <c:pt idx="33">
                  <c:v>0.63292824074074072</c:v>
                </c:pt>
                <c:pt idx="34">
                  <c:v>0.633275462962963</c:v>
                </c:pt>
                <c:pt idx="35">
                  <c:v>0.63362268518518516</c:v>
                </c:pt>
                <c:pt idx="36">
                  <c:v>0.63396990740740744</c:v>
                </c:pt>
                <c:pt idx="37">
                  <c:v>0.63431712962962961</c:v>
                </c:pt>
                <c:pt idx="38">
                  <c:v>0.63466435185185188</c:v>
                </c:pt>
                <c:pt idx="39">
                  <c:v>0.63501157407407405</c:v>
                </c:pt>
                <c:pt idx="40">
                  <c:v>0.63535879629629632</c:v>
                </c:pt>
                <c:pt idx="41">
                  <c:v>0.63570601851851849</c:v>
                </c:pt>
                <c:pt idx="42">
                  <c:v>0.63605324074074077</c:v>
                </c:pt>
                <c:pt idx="43">
                  <c:v>0.63640046296296293</c:v>
                </c:pt>
                <c:pt idx="44">
                  <c:v>0.63674768518518521</c:v>
                </c:pt>
                <c:pt idx="45">
                  <c:v>0.63709490740740737</c:v>
                </c:pt>
                <c:pt idx="46">
                  <c:v>0.63744212962962965</c:v>
                </c:pt>
                <c:pt idx="47">
                  <c:v>0.63778935185185182</c:v>
                </c:pt>
                <c:pt idx="48">
                  <c:v>0.63813657407407409</c:v>
                </c:pt>
                <c:pt idx="49">
                  <c:v>0.63848379629629626</c:v>
                </c:pt>
                <c:pt idx="50">
                  <c:v>0.63883101851851853</c:v>
                </c:pt>
                <c:pt idx="51">
                  <c:v>0.6391782407407407</c:v>
                </c:pt>
                <c:pt idx="52">
                  <c:v>0.63952546296296298</c:v>
                </c:pt>
                <c:pt idx="53">
                  <c:v>0.63987268518518514</c:v>
                </c:pt>
                <c:pt idx="54">
                  <c:v>0.64021990740740742</c:v>
                </c:pt>
                <c:pt idx="55">
                  <c:v>0.64056712962962958</c:v>
                </c:pt>
                <c:pt idx="56">
                  <c:v>0.64091435185185186</c:v>
                </c:pt>
                <c:pt idx="57">
                  <c:v>0.64126157407407403</c:v>
                </c:pt>
                <c:pt idx="58">
                  <c:v>0.6416087962962963</c:v>
                </c:pt>
                <c:pt idx="59">
                  <c:v>0.64195601851851847</c:v>
                </c:pt>
                <c:pt idx="60">
                  <c:v>0.64230324074074074</c:v>
                </c:pt>
                <c:pt idx="61">
                  <c:v>0.64265046296296291</c:v>
                </c:pt>
                <c:pt idx="62">
                  <c:v>0.64299768518518519</c:v>
                </c:pt>
                <c:pt idx="63">
                  <c:v>0.64334490740740746</c:v>
                </c:pt>
                <c:pt idx="64">
                  <c:v>0.64369212962962963</c:v>
                </c:pt>
                <c:pt idx="65">
                  <c:v>0.6440393518518519</c:v>
                </c:pt>
                <c:pt idx="66">
                  <c:v>0.64438657407407407</c:v>
                </c:pt>
                <c:pt idx="67">
                  <c:v>0.64473379629629635</c:v>
                </c:pt>
                <c:pt idx="68">
                  <c:v>0.64508101851851851</c:v>
                </c:pt>
                <c:pt idx="69">
                  <c:v>0.64542824074074079</c:v>
                </c:pt>
                <c:pt idx="70">
                  <c:v>0.64577546296296295</c:v>
                </c:pt>
                <c:pt idx="71">
                  <c:v>0.64612268518518523</c:v>
                </c:pt>
                <c:pt idx="72">
                  <c:v>0.6464699074074074</c:v>
                </c:pt>
                <c:pt idx="73">
                  <c:v>0.64681712962962967</c:v>
                </c:pt>
                <c:pt idx="74">
                  <c:v>0.64716435185185184</c:v>
                </c:pt>
                <c:pt idx="75">
                  <c:v>0.64751157407407411</c:v>
                </c:pt>
                <c:pt idx="76">
                  <c:v>0.64785879629629628</c:v>
                </c:pt>
                <c:pt idx="77">
                  <c:v>0.64820601851851856</c:v>
                </c:pt>
                <c:pt idx="78">
                  <c:v>0.64855324074074072</c:v>
                </c:pt>
                <c:pt idx="79">
                  <c:v>0.648900462962963</c:v>
                </c:pt>
                <c:pt idx="80">
                  <c:v>0.64924768518518516</c:v>
                </c:pt>
                <c:pt idx="81">
                  <c:v>0.64959490740740744</c:v>
                </c:pt>
                <c:pt idx="82">
                  <c:v>0.64994212962962961</c:v>
                </c:pt>
                <c:pt idx="83">
                  <c:v>0.65028935185185188</c:v>
                </c:pt>
                <c:pt idx="84">
                  <c:v>0.65063657407407405</c:v>
                </c:pt>
                <c:pt idx="85">
                  <c:v>0.65098379629629632</c:v>
                </c:pt>
                <c:pt idx="86">
                  <c:v>0.65133101851851849</c:v>
                </c:pt>
                <c:pt idx="87">
                  <c:v>0.65167824074074077</c:v>
                </c:pt>
                <c:pt idx="88">
                  <c:v>0.65202546296296293</c:v>
                </c:pt>
                <c:pt idx="89">
                  <c:v>0.65237268518518521</c:v>
                </c:pt>
                <c:pt idx="90">
                  <c:v>0.65271990740740737</c:v>
                </c:pt>
                <c:pt idx="91">
                  <c:v>0.65306712962962965</c:v>
                </c:pt>
                <c:pt idx="92">
                  <c:v>0.65341435185185182</c:v>
                </c:pt>
                <c:pt idx="93">
                  <c:v>0.65376157407407409</c:v>
                </c:pt>
                <c:pt idx="94">
                  <c:v>0.65410879629629626</c:v>
                </c:pt>
                <c:pt idx="95">
                  <c:v>0.65445601851851853</c:v>
                </c:pt>
                <c:pt idx="96">
                  <c:v>0.6548032407407407</c:v>
                </c:pt>
                <c:pt idx="97">
                  <c:v>0.65515046296296298</c:v>
                </c:pt>
                <c:pt idx="98">
                  <c:v>0.65549768518518514</c:v>
                </c:pt>
                <c:pt idx="99">
                  <c:v>0.65584490740740742</c:v>
                </c:pt>
                <c:pt idx="100">
                  <c:v>0.65620370370370373</c:v>
                </c:pt>
                <c:pt idx="101">
                  <c:v>0.65653935185185186</c:v>
                </c:pt>
                <c:pt idx="102">
                  <c:v>0.65689814814814818</c:v>
                </c:pt>
                <c:pt idx="103">
                  <c:v>0.6572337962962963</c:v>
                </c:pt>
                <c:pt idx="104">
                  <c:v>0.65759259259259262</c:v>
                </c:pt>
              </c:numCache>
            </c:numRef>
          </c:cat>
          <c:val>
            <c:numRef>
              <c:f>'[1]Retort Machine data for F0 calc'!$B$129:$B$233</c:f>
              <c:numCache>
                <c:formatCode>General</c:formatCode>
                <c:ptCount val="105"/>
                <c:pt idx="0">
                  <c:v>34.799999999999997</c:v>
                </c:pt>
                <c:pt idx="1">
                  <c:v>34.5</c:v>
                </c:pt>
                <c:pt idx="2">
                  <c:v>35</c:v>
                </c:pt>
                <c:pt idx="3">
                  <c:v>37.200000000000003</c:v>
                </c:pt>
                <c:pt idx="4">
                  <c:v>42.5</c:v>
                </c:pt>
                <c:pt idx="5">
                  <c:v>48.1</c:v>
                </c:pt>
                <c:pt idx="6">
                  <c:v>53.3</c:v>
                </c:pt>
                <c:pt idx="7">
                  <c:v>57.9</c:v>
                </c:pt>
                <c:pt idx="8">
                  <c:v>62.1</c:v>
                </c:pt>
                <c:pt idx="9">
                  <c:v>64.900000000000006</c:v>
                </c:pt>
                <c:pt idx="10">
                  <c:v>67.400000000000006</c:v>
                </c:pt>
                <c:pt idx="11">
                  <c:v>69.7</c:v>
                </c:pt>
                <c:pt idx="12">
                  <c:v>73.400000000000006</c:v>
                </c:pt>
                <c:pt idx="13">
                  <c:v>76.3</c:v>
                </c:pt>
                <c:pt idx="14">
                  <c:v>78.7</c:v>
                </c:pt>
                <c:pt idx="15">
                  <c:v>80</c:v>
                </c:pt>
                <c:pt idx="16">
                  <c:v>81.5</c:v>
                </c:pt>
                <c:pt idx="17">
                  <c:v>82.8</c:v>
                </c:pt>
                <c:pt idx="18">
                  <c:v>84.1</c:v>
                </c:pt>
                <c:pt idx="19">
                  <c:v>84.8</c:v>
                </c:pt>
                <c:pt idx="20">
                  <c:v>85.5</c:v>
                </c:pt>
                <c:pt idx="21">
                  <c:v>86.1</c:v>
                </c:pt>
                <c:pt idx="22">
                  <c:v>86.4</c:v>
                </c:pt>
                <c:pt idx="23">
                  <c:v>87.2</c:v>
                </c:pt>
                <c:pt idx="24">
                  <c:v>88.2</c:v>
                </c:pt>
                <c:pt idx="25">
                  <c:v>89.8</c:v>
                </c:pt>
                <c:pt idx="26">
                  <c:v>92.3</c:v>
                </c:pt>
                <c:pt idx="27">
                  <c:v>94.4</c:v>
                </c:pt>
                <c:pt idx="28">
                  <c:v>96.5</c:v>
                </c:pt>
                <c:pt idx="29">
                  <c:v>98.7</c:v>
                </c:pt>
                <c:pt idx="30">
                  <c:v>100.8</c:v>
                </c:pt>
                <c:pt idx="31">
                  <c:v>103.7</c:v>
                </c:pt>
                <c:pt idx="32">
                  <c:v>106.7</c:v>
                </c:pt>
                <c:pt idx="33">
                  <c:v>109.5</c:v>
                </c:pt>
                <c:pt idx="34">
                  <c:v>111.5</c:v>
                </c:pt>
                <c:pt idx="35">
                  <c:v>112.7</c:v>
                </c:pt>
                <c:pt idx="36">
                  <c:v>113.8</c:v>
                </c:pt>
                <c:pt idx="37">
                  <c:v>114.8</c:v>
                </c:pt>
                <c:pt idx="38">
                  <c:v>115.6</c:v>
                </c:pt>
                <c:pt idx="39">
                  <c:v>116.4</c:v>
                </c:pt>
                <c:pt idx="40">
                  <c:v>117.2</c:v>
                </c:pt>
                <c:pt idx="41">
                  <c:v>118.1</c:v>
                </c:pt>
                <c:pt idx="42">
                  <c:v>118.9</c:v>
                </c:pt>
                <c:pt idx="43">
                  <c:v>119.7</c:v>
                </c:pt>
                <c:pt idx="44">
                  <c:v>120.5</c:v>
                </c:pt>
                <c:pt idx="45">
                  <c:v>121.2</c:v>
                </c:pt>
                <c:pt idx="46">
                  <c:v>121.2</c:v>
                </c:pt>
                <c:pt idx="47">
                  <c:v>120.7</c:v>
                </c:pt>
                <c:pt idx="48">
                  <c:v>122.6</c:v>
                </c:pt>
                <c:pt idx="49">
                  <c:v>122</c:v>
                </c:pt>
                <c:pt idx="50">
                  <c:v>121.1</c:v>
                </c:pt>
                <c:pt idx="51">
                  <c:v>121.1</c:v>
                </c:pt>
                <c:pt idx="52">
                  <c:v>123.4</c:v>
                </c:pt>
                <c:pt idx="53">
                  <c:v>122.7</c:v>
                </c:pt>
                <c:pt idx="54">
                  <c:v>121.9</c:v>
                </c:pt>
                <c:pt idx="55">
                  <c:v>121</c:v>
                </c:pt>
                <c:pt idx="56">
                  <c:v>121.7</c:v>
                </c:pt>
                <c:pt idx="57">
                  <c:v>122.9</c:v>
                </c:pt>
                <c:pt idx="58">
                  <c:v>122.1</c:v>
                </c:pt>
                <c:pt idx="59">
                  <c:v>121.2</c:v>
                </c:pt>
                <c:pt idx="60">
                  <c:v>121.2</c:v>
                </c:pt>
                <c:pt idx="61">
                  <c:v>122.6</c:v>
                </c:pt>
                <c:pt idx="62">
                  <c:v>121.7</c:v>
                </c:pt>
                <c:pt idx="63">
                  <c:v>120.9</c:v>
                </c:pt>
                <c:pt idx="64">
                  <c:v>122.1</c:v>
                </c:pt>
                <c:pt idx="65">
                  <c:v>122.2</c:v>
                </c:pt>
                <c:pt idx="66">
                  <c:v>115.9</c:v>
                </c:pt>
                <c:pt idx="67">
                  <c:v>112.2</c:v>
                </c:pt>
                <c:pt idx="68">
                  <c:v>102</c:v>
                </c:pt>
                <c:pt idx="69">
                  <c:v>85.1</c:v>
                </c:pt>
                <c:pt idx="70">
                  <c:v>79.8</c:v>
                </c:pt>
                <c:pt idx="71">
                  <c:v>75.900000000000006</c:v>
                </c:pt>
                <c:pt idx="72">
                  <c:v>72.2</c:v>
                </c:pt>
                <c:pt idx="73">
                  <c:v>69.099999999999994</c:v>
                </c:pt>
                <c:pt idx="74">
                  <c:v>66.400000000000006</c:v>
                </c:pt>
                <c:pt idx="75">
                  <c:v>64</c:v>
                </c:pt>
                <c:pt idx="76">
                  <c:v>61.5</c:v>
                </c:pt>
                <c:pt idx="77">
                  <c:v>59.6</c:v>
                </c:pt>
                <c:pt idx="78">
                  <c:v>57.9</c:v>
                </c:pt>
                <c:pt idx="79">
                  <c:v>56.3</c:v>
                </c:pt>
                <c:pt idx="80">
                  <c:v>54.9</c:v>
                </c:pt>
                <c:pt idx="81">
                  <c:v>53.7</c:v>
                </c:pt>
                <c:pt idx="82">
                  <c:v>52.6</c:v>
                </c:pt>
                <c:pt idx="83">
                  <c:v>51.6</c:v>
                </c:pt>
                <c:pt idx="84">
                  <c:v>50.7</c:v>
                </c:pt>
                <c:pt idx="85">
                  <c:v>50</c:v>
                </c:pt>
                <c:pt idx="86">
                  <c:v>49.3</c:v>
                </c:pt>
                <c:pt idx="87">
                  <c:v>48.6</c:v>
                </c:pt>
                <c:pt idx="88">
                  <c:v>48.1</c:v>
                </c:pt>
                <c:pt idx="89">
                  <c:v>47.5</c:v>
                </c:pt>
                <c:pt idx="90">
                  <c:v>47</c:v>
                </c:pt>
                <c:pt idx="91">
                  <c:v>46.7</c:v>
                </c:pt>
                <c:pt idx="92">
                  <c:v>46.3</c:v>
                </c:pt>
                <c:pt idx="93">
                  <c:v>45.9</c:v>
                </c:pt>
                <c:pt idx="94">
                  <c:v>45.5</c:v>
                </c:pt>
                <c:pt idx="95">
                  <c:v>45.2</c:v>
                </c:pt>
                <c:pt idx="96">
                  <c:v>45</c:v>
                </c:pt>
                <c:pt idx="97">
                  <c:v>45</c:v>
                </c:pt>
                <c:pt idx="98">
                  <c:v>44.9</c:v>
                </c:pt>
                <c:pt idx="99">
                  <c:v>44.8</c:v>
                </c:pt>
                <c:pt idx="100">
                  <c:v>44.8</c:v>
                </c:pt>
                <c:pt idx="101">
                  <c:v>44.8</c:v>
                </c:pt>
                <c:pt idx="102">
                  <c:v>44.8</c:v>
                </c:pt>
                <c:pt idx="103">
                  <c:v>45</c:v>
                </c:pt>
                <c:pt idx="10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B-494C-A4CA-2B3DB1EAA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324000"/>
        <c:axId val="1626323520"/>
      </c:lineChart>
      <c:catAx>
        <c:axId val="162632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323520"/>
        <c:crosses val="autoZero"/>
        <c:auto val="1"/>
        <c:lblAlgn val="ctr"/>
        <c:lblOffset val="100"/>
        <c:noMultiLvlLbl val="0"/>
      </c:catAx>
      <c:valAx>
        <c:axId val="16263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32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</a:t>
            </a:r>
            <a:r>
              <a:rPr lang="en-US" baseline="0"/>
              <a:t> 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'[1]Retort Machine data for F0 calc'!$B$239</c:f>
              <c:strCache>
                <c:ptCount val="1"/>
                <c:pt idx="0">
                  <c:v>Temprature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'[1]Retort Machine data for F0 calc'!$A$240:$A$409</c:f>
              <c:numCache>
                <c:formatCode>General</c:formatCode>
                <c:ptCount val="170"/>
                <c:pt idx="0">
                  <c:v>0.61641203703703706</c:v>
                </c:pt>
                <c:pt idx="1">
                  <c:v>0.61675925925925923</c:v>
                </c:pt>
                <c:pt idx="2">
                  <c:v>0.61710648148148151</c:v>
                </c:pt>
                <c:pt idx="3">
                  <c:v>0.61745370370370367</c:v>
                </c:pt>
                <c:pt idx="4">
                  <c:v>0.61780092592592595</c:v>
                </c:pt>
                <c:pt idx="5">
                  <c:v>0.61814814814814811</c:v>
                </c:pt>
                <c:pt idx="6">
                  <c:v>0.61849537037037039</c:v>
                </c:pt>
                <c:pt idx="7">
                  <c:v>0.61884259259259256</c:v>
                </c:pt>
                <c:pt idx="8">
                  <c:v>0.61918981481481483</c:v>
                </c:pt>
                <c:pt idx="9">
                  <c:v>0.619537037037037</c:v>
                </c:pt>
                <c:pt idx="10">
                  <c:v>0.61988425925925927</c:v>
                </c:pt>
                <c:pt idx="11">
                  <c:v>0.62023148148148144</c:v>
                </c:pt>
                <c:pt idx="12">
                  <c:v>0.62057870370370372</c:v>
                </c:pt>
                <c:pt idx="13">
                  <c:v>0.62092592592592588</c:v>
                </c:pt>
                <c:pt idx="14">
                  <c:v>0.62127314814814816</c:v>
                </c:pt>
                <c:pt idx="15">
                  <c:v>0.62162037037037032</c:v>
                </c:pt>
                <c:pt idx="16">
                  <c:v>0.6219675925925926</c:v>
                </c:pt>
                <c:pt idx="17">
                  <c:v>0.62231481481481477</c:v>
                </c:pt>
                <c:pt idx="18">
                  <c:v>0.62266203703703704</c:v>
                </c:pt>
                <c:pt idx="19">
                  <c:v>0.62300925925925921</c:v>
                </c:pt>
                <c:pt idx="20">
                  <c:v>0.62335648148148148</c:v>
                </c:pt>
                <c:pt idx="21">
                  <c:v>0.62370370370370365</c:v>
                </c:pt>
                <c:pt idx="22">
                  <c:v>0.62405092592592593</c:v>
                </c:pt>
                <c:pt idx="23">
                  <c:v>0.6243981481481482</c:v>
                </c:pt>
                <c:pt idx="24">
                  <c:v>0.62474537037037037</c:v>
                </c:pt>
                <c:pt idx="25">
                  <c:v>0.62509259259259264</c:v>
                </c:pt>
                <c:pt idx="26">
                  <c:v>0.62543981481481481</c:v>
                </c:pt>
                <c:pt idx="27">
                  <c:v>0.62578703703703709</c:v>
                </c:pt>
                <c:pt idx="28">
                  <c:v>0.62613425925925925</c:v>
                </c:pt>
                <c:pt idx="29">
                  <c:v>0.62648148148148153</c:v>
                </c:pt>
                <c:pt idx="30">
                  <c:v>0.62682870370370369</c:v>
                </c:pt>
                <c:pt idx="31">
                  <c:v>0.62717592592592597</c:v>
                </c:pt>
                <c:pt idx="32">
                  <c:v>0.62752314814814814</c:v>
                </c:pt>
                <c:pt idx="33">
                  <c:v>0.62787037037037041</c:v>
                </c:pt>
                <c:pt idx="34">
                  <c:v>0.62821759259259258</c:v>
                </c:pt>
                <c:pt idx="35">
                  <c:v>0.62856481481481485</c:v>
                </c:pt>
                <c:pt idx="36">
                  <c:v>0.62891203703703702</c:v>
                </c:pt>
                <c:pt idx="37">
                  <c:v>0.6292592592592593</c:v>
                </c:pt>
                <c:pt idx="38">
                  <c:v>0.62960648148148146</c:v>
                </c:pt>
                <c:pt idx="39">
                  <c:v>0.62995370370370374</c:v>
                </c:pt>
                <c:pt idx="40">
                  <c:v>0.6303009259259259</c:v>
                </c:pt>
                <c:pt idx="41">
                  <c:v>0.63064814814814818</c:v>
                </c:pt>
                <c:pt idx="42">
                  <c:v>0.63099537037037035</c:v>
                </c:pt>
                <c:pt idx="43">
                  <c:v>0.63134259259259262</c:v>
                </c:pt>
                <c:pt idx="44">
                  <c:v>0.63168981481481479</c:v>
                </c:pt>
                <c:pt idx="45">
                  <c:v>0.63203703703703706</c:v>
                </c:pt>
                <c:pt idx="46">
                  <c:v>0.63238425925925923</c:v>
                </c:pt>
                <c:pt idx="47">
                  <c:v>0.63273148148148151</c:v>
                </c:pt>
                <c:pt idx="48">
                  <c:v>0.63307870370370367</c:v>
                </c:pt>
                <c:pt idx="49">
                  <c:v>0.63342592592592595</c:v>
                </c:pt>
                <c:pt idx="50">
                  <c:v>0.63377314814814811</c:v>
                </c:pt>
                <c:pt idx="51">
                  <c:v>0.63412037037037039</c:v>
                </c:pt>
                <c:pt idx="52">
                  <c:v>0.63446759259259256</c:v>
                </c:pt>
                <c:pt idx="53">
                  <c:v>0.63481481481481483</c:v>
                </c:pt>
                <c:pt idx="54">
                  <c:v>0.635162037037037</c:v>
                </c:pt>
                <c:pt idx="55">
                  <c:v>0.63550925925925927</c:v>
                </c:pt>
                <c:pt idx="56">
                  <c:v>0.63585648148148144</c:v>
                </c:pt>
                <c:pt idx="57">
                  <c:v>0.63620370370370372</c:v>
                </c:pt>
                <c:pt idx="58">
                  <c:v>0.63655092592592588</c:v>
                </c:pt>
                <c:pt idx="59">
                  <c:v>0.63689814814814816</c:v>
                </c:pt>
                <c:pt idx="60">
                  <c:v>0.63724537037037032</c:v>
                </c:pt>
                <c:pt idx="61">
                  <c:v>0.6375925925925926</c:v>
                </c:pt>
                <c:pt idx="62">
                  <c:v>0.63793981481481477</c:v>
                </c:pt>
                <c:pt idx="63">
                  <c:v>0.63828703703703704</c:v>
                </c:pt>
                <c:pt idx="64">
                  <c:v>0.63863425925925921</c:v>
                </c:pt>
                <c:pt idx="65">
                  <c:v>0.63898148148148148</c:v>
                </c:pt>
                <c:pt idx="66">
                  <c:v>0.63932870370370365</c:v>
                </c:pt>
                <c:pt idx="67">
                  <c:v>0.63967592592592593</c:v>
                </c:pt>
                <c:pt idx="68">
                  <c:v>0.6400231481481482</c:v>
                </c:pt>
                <c:pt idx="69">
                  <c:v>0.64037037037037037</c:v>
                </c:pt>
                <c:pt idx="70">
                  <c:v>0.64071759259259264</c:v>
                </c:pt>
                <c:pt idx="71">
                  <c:v>0.64106481481481481</c:v>
                </c:pt>
                <c:pt idx="72">
                  <c:v>0.64141203703703709</c:v>
                </c:pt>
                <c:pt idx="73">
                  <c:v>0.64175925925925925</c:v>
                </c:pt>
                <c:pt idx="74">
                  <c:v>0.64210648148148153</c:v>
                </c:pt>
                <c:pt idx="75">
                  <c:v>0.64245370370370369</c:v>
                </c:pt>
                <c:pt idx="76">
                  <c:v>0.64280092592592597</c:v>
                </c:pt>
                <c:pt idx="77">
                  <c:v>0.64314814814814814</c:v>
                </c:pt>
                <c:pt idx="78">
                  <c:v>0.64349537037037041</c:v>
                </c:pt>
                <c:pt idx="79">
                  <c:v>0.64384259259259258</c:v>
                </c:pt>
                <c:pt idx="80">
                  <c:v>0.64418981481481485</c:v>
                </c:pt>
                <c:pt idx="81">
                  <c:v>0.64453703703703702</c:v>
                </c:pt>
                <c:pt idx="82">
                  <c:v>0.6448842592592593</c:v>
                </c:pt>
                <c:pt idx="83">
                  <c:v>0.64523148148148146</c:v>
                </c:pt>
                <c:pt idx="84">
                  <c:v>0.64557870370370374</c:v>
                </c:pt>
                <c:pt idx="85">
                  <c:v>0.6459259259259259</c:v>
                </c:pt>
                <c:pt idx="86">
                  <c:v>0.64627314814814818</c:v>
                </c:pt>
                <c:pt idx="87">
                  <c:v>0.64662037037037035</c:v>
                </c:pt>
                <c:pt idx="88">
                  <c:v>0.64696759259259262</c:v>
                </c:pt>
                <c:pt idx="89">
                  <c:v>0.64731481481481479</c:v>
                </c:pt>
                <c:pt idx="90">
                  <c:v>0.64766203703703706</c:v>
                </c:pt>
                <c:pt idx="91">
                  <c:v>0.64800925925925923</c:v>
                </c:pt>
                <c:pt idx="92">
                  <c:v>0.64835648148148151</c:v>
                </c:pt>
                <c:pt idx="93">
                  <c:v>0.64870370370370367</c:v>
                </c:pt>
                <c:pt idx="94">
                  <c:v>0.64905092592592595</c:v>
                </c:pt>
                <c:pt idx="95">
                  <c:v>0.64939814814814811</c:v>
                </c:pt>
                <c:pt idx="96">
                  <c:v>0.64974537037037039</c:v>
                </c:pt>
                <c:pt idx="97">
                  <c:v>0.65009259259259256</c:v>
                </c:pt>
                <c:pt idx="98">
                  <c:v>0.65043981481481483</c:v>
                </c:pt>
                <c:pt idx="99">
                  <c:v>0.650787037037037</c:v>
                </c:pt>
                <c:pt idx="100">
                  <c:v>0.65113425925925927</c:v>
                </c:pt>
                <c:pt idx="101">
                  <c:v>0.65148148148148144</c:v>
                </c:pt>
                <c:pt idx="102">
                  <c:v>0.65182870370370372</c:v>
                </c:pt>
                <c:pt idx="103">
                  <c:v>0.65217592592592588</c:v>
                </c:pt>
                <c:pt idx="104">
                  <c:v>0.65252314814814816</c:v>
                </c:pt>
                <c:pt idx="105">
                  <c:v>0.65287037037037032</c:v>
                </c:pt>
                <c:pt idx="106">
                  <c:v>0.6532175925925926</c:v>
                </c:pt>
                <c:pt idx="107">
                  <c:v>0.65356481481481477</c:v>
                </c:pt>
                <c:pt idx="108">
                  <c:v>0.65391203703703704</c:v>
                </c:pt>
                <c:pt idx="109">
                  <c:v>0.65425925925925921</c:v>
                </c:pt>
                <c:pt idx="110">
                  <c:v>0.65460648148148148</c:v>
                </c:pt>
                <c:pt idx="111">
                  <c:v>0.65495370370370365</c:v>
                </c:pt>
                <c:pt idx="112">
                  <c:v>0.65530092592592593</c:v>
                </c:pt>
                <c:pt idx="113">
                  <c:v>0.6556481481481482</c:v>
                </c:pt>
                <c:pt idx="114">
                  <c:v>0.65599537037037037</c:v>
                </c:pt>
                <c:pt idx="115">
                  <c:v>0.65634259259259264</c:v>
                </c:pt>
                <c:pt idx="116">
                  <c:v>0.65668981481481481</c:v>
                </c:pt>
                <c:pt idx="117">
                  <c:v>0.65703703703703709</c:v>
                </c:pt>
                <c:pt idx="118">
                  <c:v>0.65738425925925925</c:v>
                </c:pt>
                <c:pt idx="119">
                  <c:v>0.65773148148148153</c:v>
                </c:pt>
                <c:pt idx="120">
                  <c:v>0.65807870370370369</c:v>
                </c:pt>
                <c:pt idx="121">
                  <c:v>0.65842592592592597</c:v>
                </c:pt>
                <c:pt idx="122">
                  <c:v>0.65877314814814814</c:v>
                </c:pt>
                <c:pt idx="123">
                  <c:v>0.65912037037037041</c:v>
                </c:pt>
                <c:pt idx="124">
                  <c:v>0.65946759259259258</c:v>
                </c:pt>
                <c:pt idx="125">
                  <c:v>0.65981481481481485</c:v>
                </c:pt>
                <c:pt idx="126">
                  <c:v>0.66016203703703702</c:v>
                </c:pt>
                <c:pt idx="127">
                  <c:v>0.6605092592592593</c:v>
                </c:pt>
                <c:pt idx="128">
                  <c:v>0.66085648148148146</c:v>
                </c:pt>
                <c:pt idx="129">
                  <c:v>0.66120370370370374</c:v>
                </c:pt>
                <c:pt idx="130">
                  <c:v>0.6615509259259259</c:v>
                </c:pt>
                <c:pt idx="131">
                  <c:v>0.66189814814814818</c:v>
                </c:pt>
                <c:pt idx="132">
                  <c:v>0.66224537037037035</c:v>
                </c:pt>
                <c:pt idx="133">
                  <c:v>0.66259259259259262</c:v>
                </c:pt>
                <c:pt idx="134">
                  <c:v>0.66293981481481479</c:v>
                </c:pt>
                <c:pt idx="135">
                  <c:v>0.66328703703703706</c:v>
                </c:pt>
                <c:pt idx="136">
                  <c:v>0.66363425925925923</c:v>
                </c:pt>
                <c:pt idx="137">
                  <c:v>0.66398148148148151</c:v>
                </c:pt>
                <c:pt idx="138">
                  <c:v>0.66432870370370367</c:v>
                </c:pt>
                <c:pt idx="139">
                  <c:v>0.66467592592592595</c:v>
                </c:pt>
                <c:pt idx="140">
                  <c:v>0.66502314814814811</c:v>
                </c:pt>
                <c:pt idx="141">
                  <c:v>0.66537037037037039</c:v>
                </c:pt>
                <c:pt idx="142">
                  <c:v>0.66571759259259256</c:v>
                </c:pt>
                <c:pt idx="143">
                  <c:v>0.66606481481481483</c:v>
                </c:pt>
                <c:pt idx="144">
                  <c:v>0.666412037037037</c:v>
                </c:pt>
                <c:pt idx="145">
                  <c:v>0.66675925925925927</c:v>
                </c:pt>
                <c:pt idx="146">
                  <c:v>0.66710648148148144</c:v>
                </c:pt>
                <c:pt idx="147">
                  <c:v>0.66745370370370372</c:v>
                </c:pt>
                <c:pt idx="148">
                  <c:v>0.66780092592592588</c:v>
                </c:pt>
                <c:pt idx="149">
                  <c:v>0.66814814814814816</c:v>
                </c:pt>
                <c:pt idx="150">
                  <c:v>0.66849537037037032</c:v>
                </c:pt>
                <c:pt idx="151">
                  <c:v>0.6688425925925926</c:v>
                </c:pt>
                <c:pt idx="152">
                  <c:v>0.66918981481481477</c:v>
                </c:pt>
                <c:pt idx="153">
                  <c:v>0.66953703703703704</c:v>
                </c:pt>
                <c:pt idx="154">
                  <c:v>0.66988425925925921</c:v>
                </c:pt>
                <c:pt idx="155">
                  <c:v>0.67023148148148148</c:v>
                </c:pt>
                <c:pt idx="156">
                  <c:v>0.67057870370370365</c:v>
                </c:pt>
                <c:pt idx="157">
                  <c:v>0.67092592592592593</c:v>
                </c:pt>
                <c:pt idx="158">
                  <c:v>0.6712731481481482</c:v>
                </c:pt>
                <c:pt idx="159">
                  <c:v>0.67162037037037037</c:v>
                </c:pt>
                <c:pt idx="160">
                  <c:v>0.67196759259259264</c:v>
                </c:pt>
                <c:pt idx="161">
                  <c:v>0.67231481481481481</c:v>
                </c:pt>
                <c:pt idx="162">
                  <c:v>0.67266203703703709</c:v>
                </c:pt>
                <c:pt idx="163">
                  <c:v>0.67300925925925925</c:v>
                </c:pt>
                <c:pt idx="164">
                  <c:v>0.67335648148148153</c:v>
                </c:pt>
                <c:pt idx="165">
                  <c:v>0.67370370370370369</c:v>
                </c:pt>
                <c:pt idx="166">
                  <c:v>0.67405092592592597</c:v>
                </c:pt>
                <c:pt idx="167">
                  <c:v>0.67439814814814814</c:v>
                </c:pt>
                <c:pt idx="168">
                  <c:v>0.67474537037037041</c:v>
                </c:pt>
                <c:pt idx="169">
                  <c:v>0.67509259259259258</c:v>
                </c:pt>
              </c:numCache>
            </c:numRef>
          </c:cat>
          <c:val>
            <c:numRef>
              <c:f>'[1]Retort Machine data for F0 calc'!$B$240:$B$409</c:f>
              <c:numCache>
                <c:formatCode>General</c:formatCode>
                <c:ptCount val="170"/>
                <c:pt idx="0">
                  <c:v>35</c:v>
                </c:pt>
                <c:pt idx="1">
                  <c:v>35</c:v>
                </c:pt>
                <c:pt idx="2">
                  <c:v>35.1</c:v>
                </c:pt>
                <c:pt idx="3">
                  <c:v>36.200000000000003</c:v>
                </c:pt>
                <c:pt idx="4">
                  <c:v>41.3</c:v>
                </c:pt>
                <c:pt idx="5">
                  <c:v>66.7</c:v>
                </c:pt>
                <c:pt idx="6">
                  <c:v>75.400000000000006</c:v>
                </c:pt>
                <c:pt idx="7">
                  <c:v>81.599999999999994</c:v>
                </c:pt>
                <c:pt idx="8">
                  <c:v>86.4</c:v>
                </c:pt>
                <c:pt idx="9">
                  <c:v>90</c:v>
                </c:pt>
                <c:pt idx="10">
                  <c:v>92.6</c:v>
                </c:pt>
                <c:pt idx="11">
                  <c:v>94.7</c:v>
                </c:pt>
                <c:pt idx="12">
                  <c:v>96.4</c:v>
                </c:pt>
                <c:pt idx="13">
                  <c:v>97.5</c:v>
                </c:pt>
                <c:pt idx="14">
                  <c:v>98.5</c:v>
                </c:pt>
                <c:pt idx="15">
                  <c:v>99.3</c:v>
                </c:pt>
                <c:pt idx="16">
                  <c:v>100.1</c:v>
                </c:pt>
                <c:pt idx="17">
                  <c:v>100.8</c:v>
                </c:pt>
                <c:pt idx="18">
                  <c:v>101.5</c:v>
                </c:pt>
                <c:pt idx="19">
                  <c:v>102.3</c:v>
                </c:pt>
                <c:pt idx="20">
                  <c:v>102.9</c:v>
                </c:pt>
                <c:pt idx="21">
                  <c:v>103.6</c:v>
                </c:pt>
                <c:pt idx="22">
                  <c:v>104.3</c:v>
                </c:pt>
                <c:pt idx="23">
                  <c:v>104.9</c:v>
                </c:pt>
                <c:pt idx="24">
                  <c:v>105.6</c:v>
                </c:pt>
                <c:pt idx="25">
                  <c:v>106.3</c:v>
                </c:pt>
                <c:pt idx="26">
                  <c:v>106.9</c:v>
                </c:pt>
                <c:pt idx="27">
                  <c:v>107.6</c:v>
                </c:pt>
                <c:pt idx="28">
                  <c:v>108.4</c:v>
                </c:pt>
                <c:pt idx="29">
                  <c:v>109</c:v>
                </c:pt>
                <c:pt idx="30">
                  <c:v>109.7</c:v>
                </c:pt>
                <c:pt idx="31">
                  <c:v>110.3</c:v>
                </c:pt>
                <c:pt idx="32">
                  <c:v>110.9</c:v>
                </c:pt>
                <c:pt idx="33">
                  <c:v>111.7</c:v>
                </c:pt>
                <c:pt idx="34">
                  <c:v>112.3</c:v>
                </c:pt>
                <c:pt idx="35">
                  <c:v>112.9</c:v>
                </c:pt>
                <c:pt idx="36">
                  <c:v>113.7</c:v>
                </c:pt>
                <c:pt idx="37">
                  <c:v>114.3</c:v>
                </c:pt>
                <c:pt idx="38">
                  <c:v>115</c:v>
                </c:pt>
                <c:pt idx="39">
                  <c:v>115.6</c:v>
                </c:pt>
                <c:pt idx="40">
                  <c:v>116.2</c:v>
                </c:pt>
                <c:pt idx="41">
                  <c:v>116.9</c:v>
                </c:pt>
                <c:pt idx="42">
                  <c:v>117.5</c:v>
                </c:pt>
                <c:pt idx="43">
                  <c:v>118.1</c:v>
                </c:pt>
                <c:pt idx="44">
                  <c:v>118.7</c:v>
                </c:pt>
                <c:pt idx="45">
                  <c:v>119.4</c:v>
                </c:pt>
                <c:pt idx="46">
                  <c:v>120</c:v>
                </c:pt>
                <c:pt idx="47">
                  <c:v>120.5</c:v>
                </c:pt>
                <c:pt idx="48">
                  <c:v>121</c:v>
                </c:pt>
                <c:pt idx="49">
                  <c:v>121.4</c:v>
                </c:pt>
                <c:pt idx="50">
                  <c:v>121.1</c:v>
                </c:pt>
                <c:pt idx="51">
                  <c:v>120.6</c:v>
                </c:pt>
                <c:pt idx="52">
                  <c:v>121.1</c:v>
                </c:pt>
                <c:pt idx="53">
                  <c:v>122.1</c:v>
                </c:pt>
                <c:pt idx="54">
                  <c:v>121.8</c:v>
                </c:pt>
                <c:pt idx="55">
                  <c:v>121.2</c:v>
                </c:pt>
                <c:pt idx="56">
                  <c:v>120.7</c:v>
                </c:pt>
                <c:pt idx="57">
                  <c:v>120.8</c:v>
                </c:pt>
                <c:pt idx="58">
                  <c:v>121.8</c:v>
                </c:pt>
                <c:pt idx="59">
                  <c:v>121.8</c:v>
                </c:pt>
                <c:pt idx="60">
                  <c:v>121.2</c:v>
                </c:pt>
                <c:pt idx="61">
                  <c:v>120.8</c:v>
                </c:pt>
                <c:pt idx="62">
                  <c:v>120.8</c:v>
                </c:pt>
                <c:pt idx="63">
                  <c:v>121.7</c:v>
                </c:pt>
                <c:pt idx="64">
                  <c:v>121.8</c:v>
                </c:pt>
                <c:pt idx="65">
                  <c:v>120.8</c:v>
                </c:pt>
                <c:pt idx="66">
                  <c:v>120.3</c:v>
                </c:pt>
                <c:pt idx="67">
                  <c:v>121.2</c:v>
                </c:pt>
                <c:pt idx="68">
                  <c:v>121.8</c:v>
                </c:pt>
                <c:pt idx="69">
                  <c:v>121.4</c:v>
                </c:pt>
                <c:pt idx="70">
                  <c:v>121.1</c:v>
                </c:pt>
                <c:pt idx="71">
                  <c:v>120.7</c:v>
                </c:pt>
                <c:pt idx="72">
                  <c:v>121</c:v>
                </c:pt>
                <c:pt idx="73">
                  <c:v>121.6</c:v>
                </c:pt>
                <c:pt idx="74">
                  <c:v>121.4</c:v>
                </c:pt>
                <c:pt idx="75">
                  <c:v>121</c:v>
                </c:pt>
                <c:pt idx="76">
                  <c:v>120.6</c:v>
                </c:pt>
                <c:pt idx="77">
                  <c:v>121.1</c:v>
                </c:pt>
                <c:pt idx="78">
                  <c:v>121.5</c:v>
                </c:pt>
                <c:pt idx="79">
                  <c:v>121.2</c:v>
                </c:pt>
                <c:pt idx="80">
                  <c:v>120.9</c:v>
                </c:pt>
                <c:pt idx="81">
                  <c:v>120.7</c:v>
                </c:pt>
                <c:pt idx="82">
                  <c:v>121.2</c:v>
                </c:pt>
                <c:pt idx="83">
                  <c:v>121.2</c:v>
                </c:pt>
                <c:pt idx="84">
                  <c:v>120.8</c:v>
                </c:pt>
                <c:pt idx="85">
                  <c:v>120.9</c:v>
                </c:pt>
                <c:pt idx="86">
                  <c:v>121.1</c:v>
                </c:pt>
                <c:pt idx="87">
                  <c:v>120.9</c:v>
                </c:pt>
                <c:pt idx="88">
                  <c:v>120.6</c:v>
                </c:pt>
                <c:pt idx="89">
                  <c:v>120.8</c:v>
                </c:pt>
                <c:pt idx="90">
                  <c:v>121</c:v>
                </c:pt>
                <c:pt idx="91">
                  <c:v>120.9</c:v>
                </c:pt>
                <c:pt idx="92">
                  <c:v>120.7</c:v>
                </c:pt>
                <c:pt idx="93">
                  <c:v>120.8</c:v>
                </c:pt>
                <c:pt idx="94">
                  <c:v>120.8</c:v>
                </c:pt>
                <c:pt idx="95">
                  <c:v>120.9</c:v>
                </c:pt>
                <c:pt idx="96">
                  <c:v>120.9</c:v>
                </c:pt>
                <c:pt idx="97">
                  <c:v>120.9</c:v>
                </c:pt>
                <c:pt idx="98">
                  <c:v>120.8</c:v>
                </c:pt>
                <c:pt idx="99">
                  <c:v>120.7</c:v>
                </c:pt>
                <c:pt idx="100">
                  <c:v>120.6</c:v>
                </c:pt>
                <c:pt idx="101">
                  <c:v>120.6</c:v>
                </c:pt>
                <c:pt idx="102">
                  <c:v>120.7</c:v>
                </c:pt>
                <c:pt idx="103">
                  <c:v>120.7</c:v>
                </c:pt>
                <c:pt idx="104">
                  <c:v>120.7</c:v>
                </c:pt>
                <c:pt idx="105">
                  <c:v>120.6</c:v>
                </c:pt>
                <c:pt idx="106">
                  <c:v>120.6</c:v>
                </c:pt>
                <c:pt idx="107">
                  <c:v>120.7</c:v>
                </c:pt>
                <c:pt idx="108">
                  <c:v>120.7</c:v>
                </c:pt>
                <c:pt idx="109">
                  <c:v>119.5</c:v>
                </c:pt>
                <c:pt idx="110">
                  <c:v>112.2</c:v>
                </c:pt>
                <c:pt idx="111">
                  <c:v>93.1</c:v>
                </c:pt>
                <c:pt idx="112">
                  <c:v>82.9</c:v>
                </c:pt>
                <c:pt idx="113">
                  <c:v>78.7</c:v>
                </c:pt>
                <c:pt idx="114">
                  <c:v>74.900000000000006</c:v>
                </c:pt>
                <c:pt idx="115">
                  <c:v>71.400000000000006</c:v>
                </c:pt>
                <c:pt idx="116">
                  <c:v>68.2</c:v>
                </c:pt>
                <c:pt idx="117">
                  <c:v>65.8</c:v>
                </c:pt>
                <c:pt idx="118">
                  <c:v>63.4</c:v>
                </c:pt>
                <c:pt idx="119">
                  <c:v>61.3</c:v>
                </c:pt>
                <c:pt idx="120">
                  <c:v>59.7</c:v>
                </c:pt>
                <c:pt idx="121">
                  <c:v>58</c:v>
                </c:pt>
                <c:pt idx="122">
                  <c:v>56.6</c:v>
                </c:pt>
                <c:pt idx="123">
                  <c:v>55.2</c:v>
                </c:pt>
                <c:pt idx="124">
                  <c:v>54</c:v>
                </c:pt>
                <c:pt idx="125">
                  <c:v>52.9</c:v>
                </c:pt>
                <c:pt idx="126">
                  <c:v>51.9</c:v>
                </c:pt>
                <c:pt idx="127">
                  <c:v>50.9</c:v>
                </c:pt>
                <c:pt idx="128">
                  <c:v>50.2</c:v>
                </c:pt>
                <c:pt idx="129">
                  <c:v>49.3</c:v>
                </c:pt>
                <c:pt idx="130">
                  <c:v>48.8</c:v>
                </c:pt>
                <c:pt idx="131">
                  <c:v>48</c:v>
                </c:pt>
                <c:pt idx="132">
                  <c:v>47.5</c:v>
                </c:pt>
                <c:pt idx="133">
                  <c:v>47.2</c:v>
                </c:pt>
                <c:pt idx="134">
                  <c:v>46.6</c:v>
                </c:pt>
                <c:pt idx="135">
                  <c:v>46.3</c:v>
                </c:pt>
                <c:pt idx="136">
                  <c:v>45.9</c:v>
                </c:pt>
                <c:pt idx="137">
                  <c:v>45.4</c:v>
                </c:pt>
                <c:pt idx="138">
                  <c:v>45.1</c:v>
                </c:pt>
                <c:pt idx="139">
                  <c:v>44.9</c:v>
                </c:pt>
                <c:pt idx="140">
                  <c:v>44.8</c:v>
                </c:pt>
                <c:pt idx="141">
                  <c:v>44.7</c:v>
                </c:pt>
                <c:pt idx="142">
                  <c:v>44.6</c:v>
                </c:pt>
                <c:pt idx="143">
                  <c:v>44.5</c:v>
                </c:pt>
                <c:pt idx="144">
                  <c:v>44.5</c:v>
                </c:pt>
                <c:pt idx="145">
                  <c:v>44.6</c:v>
                </c:pt>
                <c:pt idx="146">
                  <c:v>44.7</c:v>
                </c:pt>
                <c:pt idx="147">
                  <c:v>44.6</c:v>
                </c:pt>
                <c:pt idx="148">
                  <c:v>44.6</c:v>
                </c:pt>
                <c:pt idx="149">
                  <c:v>44.6</c:v>
                </c:pt>
                <c:pt idx="150">
                  <c:v>44.5</c:v>
                </c:pt>
                <c:pt idx="151">
                  <c:v>44.5</c:v>
                </c:pt>
                <c:pt idx="152">
                  <c:v>44.5</c:v>
                </c:pt>
                <c:pt idx="153">
                  <c:v>44.4</c:v>
                </c:pt>
                <c:pt idx="154">
                  <c:v>44.3</c:v>
                </c:pt>
                <c:pt idx="155">
                  <c:v>44.3</c:v>
                </c:pt>
                <c:pt idx="156">
                  <c:v>44.2</c:v>
                </c:pt>
                <c:pt idx="157">
                  <c:v>44.2</c:v>
                </c:pt>
                <c:pt idx="158">
                  <c:v>44.1</c:v>
                </c:pt>
                <c:pt idx="159">
                  <c:v>44.1</c:v>
                </c:pt>
                <c:pt idx="160">
                  <c:v>44</c:v>
                </c:pt>
                <c:pt idx="161">
                  <c:v>43.9</c:v>
                </c:pt>
                <c:pt idx="162">
                  <c:v>43.9</c:v>
                </c:pt>
                <c:pt idx="163">
                  <c:v>43.8</c:v>
                </c:pt>
                <c:pt idx="164">
                  <c:v>43.8</c:v>
                </c:pt>
                <c:pt idx="165">
                  <c:v>43.7</c:v>
                </c:pt>
                <c:pt idx="166">
                  <c:v>43.6</c:v>
                </c:pt>
                <c:pt idx="167">
                  <c:v>43.5</c:v>
                </c:pt>
                <c:pt idx="168">
                  <c:v>43.5</c:v>
                </c:pt>
                <c:pt idx="169">
                  <c:v>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0-44C9-A41D-D8814C780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946032"/>
        <c:axId val="1574944592"/>
      </c:lineChart>
      <c:catAx>
        <c:axId val="157494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44592"/>
        <c:crosses val="autoZero"/>
        <c:auto val="1"/>
        <c:lblAlgn val="ctr"/>
        <c:lblOffset val="100"/>
        <c:noMultiLvlLbl val="0"/>
      </c:catAx>
      <c:valAx>
        <c:axId val="157494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4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'[1]Retort Machine data for F0 calc'!$B$2</c:f>
              <c:strCache>
                <c:ptCount val="1"/>
                <c:pt idx="0">
                  <c:v>Temprature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'[1]Retort Machine data for F0 calc'!$A$3:$A$122</c:f>
              <c:numCache>
                <c:formatCode>General</c:formatCode>
                <c:ptCount val="120"/>
                <c:pt idx="0">
                  <c:v>0.61032407407407407</c:v>
                </c:pt>
                <c:pt idx="1">
                  <c:v>0.61067129629629635</c:v>
                </c:pt>
                <c:pt idx="2">
                  <c:v>0.61103009259259256</c:v>
                </c:pt>
                <c:pt idx="3">
                  <c:v>0.61136574074074079</c:v>
                </c:pt>
                <c:pt idx="4">
                  <c:v>0.61171296296296296</c:v>
                </c:pt>
                <c:pt idx="5">
                  <c:v>0.61207175925925927</c:v>
                </c:pt>
                <c:pt idx="6">
                  <c:v>0.61241898148148144</c:v>
                </c:pt>
                <c:pt idx="7">
                  <c:v>0.61275462962962968</c:v>
                </c:pt>
                <c:pt idx="8">
                  <c:v>0.61310185185185184</c:v>
                </c:pt>
                <c:pt idx="9">
                  <c:v>0.61346064814814816</c:v>
                </c:pt>
                <c:pt idx="10">
                  <c:v>0.61379629629629628</c:v>
                </c:pt>
                <c:pt idx="11">
                  <c:v>0.6141550925925926</c:v>
                </c:pt>
                <c:pt idx="12">
                  <c:v>0.61450231481481477</c:v>
                </c:pt>
                <c:pt idx="13">
                  <c:v>0.614837962962963</c:v>
                </c:pt>
                <c:pt idx="14">
                  <c:v>0.61519675925925921</c:v>
                </c:pt>
                <c:pt idx="15">
                  <c:v>0.61553240740740744</c:v>
                </c:pt>
                <c:pt idx="16">
                  <c:v>0.61589120370370365</c:v>
                </c:pt>
                <c:pt idx="17">
                  <c:v>0.61622685185185189</c:v>
                </c:pt>
                <c:pt idx="18">
                  <c:v>0.6165856481481482</c:v>
                </c:pt>
                <c:pt idx="19">
                  <c:v>0.61692129629629633</c:v>
                </c:pt>
                <c:pt idx="20">
                  <c:v>0.61726851851851849</c:v>
                </c:pt>
                <c:pt idx="21">
                  <c:v>0.61761574074074077</c:v>
                </c:pt>
                <c:pt idx="22">
                  <c:v>0.61797453703703709</c:v>
                </c:pt>
                <c:pt idx="23">
                  <c:v>0.61832175925925925</c:v>
                </c:pt>
                <c:pt idx="24">
                  <c:v>0.61865740740740738</c:v>
                </c:pt>
                <c:pt idx="25">
                  <c:v>0.61900462962962965</c:v>
                </c:pt>
                <c:pt idx="26">
                  <c:v>0.61936342592592597</c:v>
                </c:pt>
                <c:pt idx="27">
                  <c:v>0.61971064814814814</c:v>
                </c:pt>
                <c:pt idx="28">
                  <c:v>0.62004629629629626</c:v>
                </c:pt>
                <c:pt idx="29">
                  <c:v>0.62040509259259258</c:v>
                </c:pt>
                <c:pt idx="30">
                  <c:v>0.6207407407407407</c:v>
                </c:pt>
                <c:pt idx="31">
                  <c:v>0.62109953703703702</c:v>
                </c:pt>
                <c:pt idx="32">
                  <c:v>0.62143518518518515</c:v>
                </c:pt>
                <c:pt idx="33">
                  <c:v>0.62179398148148146</c:v>
                </c:pt>
                <c:pt idx="34">
                  <c:v>0.62214120370370374</c:v>
                </c:pt>
                <c:pt idx="35">
                  <c:v>0.6224884259259259</c:v>
                </c:pt>
                <c:pt idx="36">
                  <c:v>0.62282407407407403</c:v>
                </c:pt>
                <c:pt idx="37">
                  <c:v>0.62318287037037035</c:v>
                </c:pt>
                <c:pt idx="38">
                  <c:v>0.62353009259259262</c:v>
                </c:pt>
                <c:pt idx="39">
                  <c:v>0.62386574074074075</c:v>
                </c:pt>
                <c:pt idx="40">
                  <c:v>0.62422453703703706</c:v>
                </c:pt>
                <c:pt idx="41">
                  <c:v>0.62456018518518519</c:v>
                </c:pt>
                <c:pt idx="42">
                  <c:v>0.62490740740740736</c:v>
                </c:pt>
                <c:pt idx="43">
                  <c:v>0.62526620370370367</c:v>
                </c:pt>
                <c:pt idx="44">
                  <c:v>0.62561342592592595</c:v>
                </c:pt>
                <c:pt idx="45">
                  <c:v>0.62596064814814811</c:v>
                </c:pt>
                <c:pt idx="46">
                  <c:v>0.62630787037037039</c:v>
                </c:pt>
                <c:pt idx="47">
                  <c:v>0.62664351851851852</c:v>
                </c:pt>
                <c:pt idx="48">
                  <c:v>0.62700231481481483</c:v>
                </c:pt>
                <c:pt idx="49">
                  <c:v>0.627349537037037</c:v>
                </c:pt>
                <c:pt idx="50">
                  <c:v>0.62768518518518523</c:v>
                </c:pt>
                <c:pt idx="51">
                  <c:v>0.62804398148148144</c:v>
                </c:pt>
                <c:pt idx="52">
                  <c:v>0.62837962962962968</c:v>
                </c:pt>
                <c:pt idx="53">
                  <c:v>0.62873842592592588</c:v>
                </c:pt>
                <c:pt idx="54">
                  <c:v>0.62908564814814816</c:v>
                </c:pt>
                <c:pt idx="55">
                  <c:v>0.62943287037037032</c:v>
                </c:pt>
                <c:pt idx="56">
                  <c:v>0.6297800925925926</c:v>
                </c:pt>
                <c:pt idx="57">
                  <c:v>0.63012731481481477</c:v>
                </c:pt>
                <c:pt idx="58">
                  <c:v>0.63047453703703704</c:v>
                </c:pt>
                <c:pt idx="59">
                  <c:v>0.63082175925925921</c:v>
                </c:pt>
                <c:pt idx="60">
                  <c:v>0.63116898148148148</c:v>
                </c:pt>
                <c:pt idx="61">
                  <c:v>0.63151620370370365</c:v>
                </c:pt>
                <c:pt idx="62">
                  <c:v>0.63186342592592593</c:v>
                </c:pt>
                <c:pt idx="63">
                  <c:v>0.6322106481481482</c:v>
                </c:pt>
                <c:pt idx="64">
                  <c:v>0.63254629629629633</c:v>
                </c:pt>
                <c:pt idx="65">
                  <c:v>0.63290509259259264</c:v>
                </c:pt>
                <c:pt idx="66">
                  <c:v>0.63325231481481481</c:v>
                </c:pt>
                <c:pt idx="67">
                  <c:v>0.63359953703703709</c:v>
                </c:pt>
                <c:pt idx="68">
                  <c:v>0.63394675925925925</c:v>
                </c:pt>
                <c:pt idx="69">
                  <c:v>0.63429398148148153</c:v>
                </c:pt>
                <c:pt idx="70">
                  <c:v>0.63464120370370369</c:v>
                </c:pt>
                <c:pt idx="71">
                  <c:v>0.63498842592592597</c:v>
                </c:pt>
                <c:pt idx="72">
                  <c:v>0.63533564814814814</c:v>
                </c:pt>
                <c:pt idx="73">
                  <c:v>0.63568287037037041</c:v>
                </c:pt>
                <c:pt idx="74">
                  <c:v>0.63603009259259258</c:v>
                </c:pt>
                <c:pt idx="75">
                  <c:v>0.63637731481481485</c:v>
                </c:pt>
                <c:pt idx="76">
                  <c:v>0.63672453703703702</c:v>
                </c:pt>
                <c:pt idx="77">
                  <c:v>0.6370717592592593</c:v>
                </c:pt>
                <c:pt idx="78">
                  <c:v>0.63741898148148146</c:v>
                </c:pt>
                <c:pt idx="79">
                  <c:v>0.63776620370370374</c:v>
                </c:pt>
                <c:pt idx="80">
                  <c:v>0.6381134259259259</c:v>
                </c:pt>
                <c:pt idx="81">
                  <c:v>0.63846064814814818</c:v>
                </c:pt>
                <c:pt idx="82">
                  <c:v>0.63880787037037035</c:v>
                </c:pt>
                <c:pt idx="83">
                  <c:v>0.63915509259259262</c:v>
                </c:pt>
                <c:pt idx="84">
                  <c:v>0.63950231481481479</c:v>
                </c:pt>
                <c:pt idx="85">
                  <c:v>0.63984953703703706</c:v>
                </c:pt>
                <c:pt idx="86">
                  <c:v>0.64019675925925923</c:v>
                </c:pt>
                <c:pt idx="87">
                  <c:v>0.64054398148148151</c:v>
                </c:pt>
                <c:pt idx="88">
                  <c:v>0.64089120370370367</c:v>
                </c:pt>
                <c:pt idx="89">
                  <c:v>0.64123842592592595</c:v>
                </c:pt>
                <c:pt idx="90">
                  <c:v>0.64158564814814811</c:v>
                </c:pt>
                <c:pt idx="91">
                  <c:v>0.64193287037037039</c:v>
                </c:pt>
                <c:pt idx="92">
                  <c:v>0.64228009259259256</c:v>
                </c:pt>
                <c:pt idx="93">
                  <c:v>0.64262731481481483</c:v>
                </c:pt>
                <c:pt idx="94">
                  <c:v>0.642974537037037</c:v>
                </c:pt>
                <c:pt idx="95">
                  <c:v>0.64332175925925927</c:v>
                </c:pt>
                <c:pt idx="96">
                  <c:v>0.64366898148148144</c:v>
                </c:pt>
                <c:pt idx="97">
                  <c:v>0.64401620370370372</c:v>
                </c:pt>
                <c:pt idx="98">
                  <c:v>0.64436342592592588</c:v>
                </c:pt>
                <c:pt idx="99">
                  <c:v>0.64471064814814816</c:v>
                </c:pt>
                <c:pt idx="100">
                  <c:v>0.64505787037037032</c:v>
                </c:pt>
                <c:pt idx="101">
                  <c:v>0.6454050925925926</c:v>
                </c:pt>
                <c:pt idx="102">
                  <c:v>0.64575231481481477</c:v>
                </c:pt>
                <c:pt idx="103">
                  <c:v>0.64609953703703704</c:v>
                </c:pt>
                <c:pt idx="104">
                  <c:v>0.64644675925925921</c:v>
                </c:pt>
                <c:pt idx="105">
                  <c:v>0.64679398148148148</c:v>
                </c:pt>
                <c:pt idx="106">
                  <c:v>0.64714120370370365</c:v>
                </c:pt>
                <c:pt idx="107">
                  <c:v>0.64748842592592593</c:v>
                </c:pt>
                <c:pt idx="108">
                  <c:v>0.6478356481481482</c:v>
                </c:pt>
                <c:pt idx="109">
                  <c:v>0.64818287037037037</c:v>
                </c:pt>
                <c:pt idx="110">
                  <c:v>0.64853009259259264</c:v>
                </c:pt>
                <c:pt idx="111">
                  <c:v>0.64887731481481481</c:v>
                </c:pt>
                <c:pt idx="112">
                  <c:v>0.64922453703703709</c:v>
                </c:pt>
                <c:pt idx="113">
                  <c:v>0.64957175925925925</c:v>
                </c:pt>
                <c:pt idx="114">
                  <c:v>0.64991898148148153</c:v>
                </c:pt>
                <c:pt idx="115">
                  <c:v>0.65026620370370369</c:v>
                </c:pt>
                <c:pt idx="116">
                  <c:v>0.65061342592592597</c:v>
                </c:pt>
                <c:pt idx="117">
                  <c:v>0.65096064814814814</c:v>
                </c:pt>
                <c:pt idx="118">
                  <c:v>0.65130787037037041</c:v>
                </c:pt>
                <c:pt idx="119">
                  <c:v>0.65165509259259258</c:v>
                </c:pt>
              </c:numCache>
            </c:numRef>
          </c:cat>
          <c:val>
            <c:numRef>
              <c:f>'[1]Retort Machine data for F0 calc'!$B$3:$B$122</c:f>
              <c:numCache>
                <c:formatCode>General</c:formatCode>
                <c:ptCount val="120"/>
                <c:pt idx="0">
                  <c:v>34.299999999999997</c:v>
                </c:pt>
                <c:pt idx="1">
                  <c:v>34.299999999999997</c:v>
                </c:pt>
                <c:pt idx="2">
                  <c:v>34.299999999999997</c:v>
                </c:pt>
                <c:pt idx="3">
                  <c:v>34.6</c:v>
                </c:pt>
                <c:pt idx="4">
                  <c:v>35</c:v>
                </c:pt>
                <c:pt idx="5">
                  <c:v>37.4</c:v>
                </c:pt>
                <c:pt idx="6">
                  <c:v>43</c:v>
                </c:pt>
                <c:pt idx="7">
                  <c:v>49.5</c:v>
                </c:pt>
                <c:pt idx="8">
                  <c:v>54.7</c:v>
                </c:pt>
                <c:pt idx="9">
                  <c:v>59.5</c:v>
                </c:pt>
                <c:pt idx="10">
                  <c:v>63.1</c:v>
                </c:pt>
                <c:pt idx="11">
                  <c:v>67.099999999999994</c:v>
                </c:pt>
                <c:pt idx="12">
                  <c:v>72.400000000000006</c:v>
                </c:pt>
                <c:pt idx="13">
                  <c:v>76.3</c:v>
                </c:pt>
                <c:pt idx="14">
                  <c:v>78.900000000000006</c:v>
                </c:pt>
                <c:pt idx="15">
                  <c:v>80.8</c:v>
                </c:pt>
                <c:pt idx="16">
                  <c:v>82.5</c:v>
                </c:pt>
                <c:pt idx="17">
                  <c:v>83.8</c:v>
                </c:pt>
                <c:pt idx="18">
                  <c:v>85.9</c:v>
                </c:pt>
                <c:pt idx="19">
                  <c:v>87</c:v>
                </c:pt>
                <c:pt idx="20">
                  <c:v>87.9</c:v>
                </c:pt>
                <c:pt idx="21">
                  <c:v>88.5</c:v>
                </c:pt>
                <c:pt idx="22">
                  <c:v>88.7</c:v>
                </c:pt>
                <c:pt idx="23">
                  <c:v>90.2</c:v>
                </c:pt>
                <c:pt idx="24">
                  <c:v>90.8</c:v>
                </c:pt>
                <c:pt idx="25">
                  <c:v>91.5</c:v>
                </c:pt>
                <c:pt idx="26">
                  <c:v>92.2</c:v>
                </c:pt>
                <c:pt idx="27">
                  <c:v>94.2</c:v>
                </c:pt>
                <c:pt idx="28">
                  <c:v>96.1</c:v>
                </c:pt>
                <c:pt idx="29">
                  <c:v>97.7</c:v>
                </c:pt>
                <c:pt idx="30">
                  <c:v>99.3</c:v>
                </c:pt>
                <c:pt idx="31">
                  <c:v>100.9</c:v>
                </c:pt>
                <c:pt idx="32">
                  <c:v>102.9</c:v>
                </c:pt>
                <c:pt idx="33">
                  <c:v>106.7</c:v>
                </c:pt>
                <c:pt idx="34">
                  <c:v>109.7</c:v>
                </c:pt>
                <c:pt idx="35">
                  <c:v>111.2</c:v>
                </c:pt>
                <c:pt idx="36">
                  <c:v>113.1</c:v>
                </c:pt>
                <c:pt idx="37">
                  <c:v>114.3</c:v>
                </c:pt>
                <c:pt idx="38">
                  <c:v>115.3</c:v>
                </c:pt>
                <c:pt idx="39">
                  <c:v>116.8</c:v>
                </c:pt>
                <c:pt idx="40">
                  <c:v>118</c:v>
                </c:pt>
                <c:pt idx="41">
                  <c:v>118.9</c:v>
                </c:pt>
                <c:pt idx="42">
                  <c:v>119.8</c:v>
                </c:pt>
                <c:pt idx="43">
                  <c:v>120.6</c:v>
                </c:pt>
                <c:pt idx="44">
                  <c:v>121</c:v>
                </c:pt>
                <c:pt idx="45">
                  <c:v>121.4</c:v>
                </c:pt>
                <c:pt idx="46">
                  <c:v>120.8</c:v>
                </c:pt>
                <c:pt idx="47">
                  <c:v>119.9</c:v>
                </c:pt>
                <c:pt idx="48">
                  <c:v>122.5</c:v>
                </c:pt>
                <c:pt idx="49">
                  <c:v>121.2</c:v>
                </c:pt>
                <c:pt idx="50">
                  <c:v>121.8</c:v>
                </c:pt>
                <c:pt idx="51">
                  <c:v>122.5</c:v>
                </c:pt>
                <c:pt idx="52">
                  <c:v>122.2</c:v>
                </c:pt>
                <c:pt idx="53">
                  <c:v>121.6</c:v>
                </c:pt>
                <c:pt idx="54">
                  <c:v>122.7</c:v>
                </c:pt>
                <c:pt idx="55">
                  <c:v>120.9</c:v>
                </c:pt>
                <c:pt idx="56">
                  <c:v>123.2</c:v>
                </c:pt>
                <c:pt idx="57">
                  <c:v>121</c:v>
                </c:pt>
                <c:pt idx="58">
                  <c:v>123.4</c:v>
                </c:pt>
                <c:pt idx="59">
                  <c:v>122</c:v>
                </c:pt>
                <c:pt idx="60">
                  <c:v>121.9</c:v>
                </c:pt>
                <c:pt idx="61">
                  <c:v>122.1</c:v>
                </c:pt>
                <c:pt idx="62">
                  <c:v>120.9</c:v>
                </c:pt>
                <c:pt idx="63">
                  <c:v>123</c:v>
                </c:pt>
                <c:pt idx="64">
                  <c:v>120.9</c:v>
                </c:pt>
                <c:pt idx="65">
                  <c:v>123.6</c:v>
                </c:pt>
                <c:pt idx="66">
                  <c:v>122</c:v>
                </c:pt>
                <c:pt idx="67">
                  <c:v>121.6</c:v>
                </c:pt>
                <c:pt idx="68">
                  <c:v>122.6</c:v>
                </c:pt>
                <c:pt idx="69">
                  <c:v>121.2</c:v>
                </c:pt>
                <c:pt idx="70">
                  <c:v>123.4</c:v>
                </c:pt>
                <c:pt idx="71">
                  <c:v>122.3</c:v>
                </c:pt>
                <c:pt idx="72">
                  <c:v>120.7</c:v>
                </c:pt>
                <c:pt idx="73">
                  <c:v>123.8</c:v>
                </c:pt>
                <c:pt idx="74">
                  <c:v>122.3</c:v>
                </c:pt>
                <c:pt idx="75">
                  <c:v>120.9</c:v>
                </c:pt>
                <c:pt idx="76">
                  <c:v>123.3</c:v>
                </c:pt>
                <c:pt idx="77">
                  <c:v>121.9</c:v>
                </c:pt>
                <c:pt idx="78">
                  <c:v>121.3</c:v>
                </c:pt>
                <c:pt idx="79">
                  <c:v>123</c:v>
                </c:pt>
                <c:pt idx="80">
                  <c:v>121.8</c:v>
                </c:pt>
                <c:pt idx="81">
                  <c:v>121.6</c:v>
                </c:pt>
                <c:pt idx="82">
                  <c:v>122.8</c:v>
                </c:pt>
                <c:pt idx="83">
                  <c:v>121.4</c:v>
                </c:pt>
                <c:pt idx="84">
                  <c:v>122.4</c:v>
                </c:pt>
                <c:pt idx="85">
                  <c:v>115.6</c:v>
                </c:pt>
                <c:pt idx="86">
                  <c:v>111.9</c:v>
                </c:pt>
                <c:pt idx="87">
                  <c:v>106.9</c:v>
                </c:pt>
                <c:pt idx="88">
                  <c:v>88</c:v>
                </c:pt>
                <c:pt idx="89">
                  <c:v>81.2</c:v>
                </c:pt>
                <c:pt idx="90">
                  <c:v>76.900000000000006</c:v>
                </c:pt>
                <c:pt idx="91">
                  <c:v>73.099999999999994</c:v>
                </c:pt>
                <c:pt idx="92">
                  <c:v>69.7</c:v>
                </c:pt>
                <c:pt idx="93">
                  <c:v>66.7</c:v>
                </c:pt>
                <c:pt idx="94">
                  <c:v>64.3</c:v>
                </c:pt>
                <c:pt idx="95">
                  <c:v>62.1</c:v>
                </c:pt>
                <c:pt idx="96">
                  <c:v>60.2</c:v>
                </c:pt>
                <c:pt idx="97">
                  <c:v>58.3</c:v>
                </c:pt>
                <c:pt idx="98">
                  <c:v>56.8</c:v>
                </c:pt>
                <c:pt idx="99">
                  <c:v>55.2</c:v>
                </c:pt>
                <c:pt idx="100">
                  <c:v>53.8</c:v>
                </c:pt>
                <c:pt idx="101">
                  <c:v>52.6</c:v>
                </c:pt>
                <c:pt idx="102">
                  <c:v>51.4</c:v>
                </c:pt>
                <c:pt idx="103">
                  <c:v>50.3</c:v>
                </c:pt>
                <c:pt idx="104">
                  <c:v>49.3</c:v>
                </c:pt>
                <c:pt idx="105">
                  <c:v>48.3</c:v>
                </c:pt>
                <c:pt idx="106">
                  <c:v>47.5</c:v>
                </c:pt>
                <c:pt idx="107">
                  <c:v>46.7</c:v>
                </c:pt>
                <c:pt idx="108">
                  <c:v>46.1</c:v>
                </c:pt>
                <c:pt idx="109">
                  <c:v>45.4</c:v>
                </c:pt>
                <c:pt idx="110">
                  <c:v>45</c:v>
                </c:pt>
                <c:pt idx="111">
                  <c:v>44.9</c:v>
                </c:pt>
                <c:pt idx="112">
                  <c:v>44.8</c:v>
                </c:pt>
                <c:pt idx="113">
                  <c:v>44.7</c:v>
                </c:pt>
                <c:pt idx="114">
                  <c:v>44.7</c:v>
                </c:pt>
                <c:pt idx="115">
                  <c:v>44.7</c:v>
                </c:pt>
                <c:pt idx="116">
                  <c:v>44.8</c:v>
                </c:pt>
                <c:pt idx="117">
                  <c:v>45</c:v>
                </c:pt>
                <c:pt idx="118">
                  <c:v>45</c:v>
                </c:pt>
                <c:pt idx="11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5-4C78-A2EE-E6F468D41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552720"/>
        <c:axId val="1926550800"/>
      </c:lineChart>
      <c:catAx>
        <c:axId val="192655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50800"/>
        <c:crosses val="autoZero"/>
        <c:auto val="1"/>
        <c:lblAlgn val="ctr"/>
        <c:lblOffset val="100"/>
        <c:noMultiLvlLbl val="0"/>
      </c:catAx>
      <c:valAx>
        <c:axId val="19265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5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TRIAL</a:t>
            </a:r>
            <a:r>
              <a:rPr lang="en-US" b="1" baseline="0"/>
              <a:t> 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'[1]Retort Machine data for F0 calc'!$B$415</c:f>
              <c:strCache>
                <c:ptCount val="1"/>
                <c:pt idx="0">
                  <c:v>Temprature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'[1]Retort Machine data for F0 calc'!$A$416:$A$537</c:f>
              <c:numCache>
                <c:formatCode>General</c:formatCode>
                <c:ptCount val="122"/>
                <c:pt idx="0">
                  <c:v>0.66609953703703706</c:v>
                </c:pt>
                <c:pt idx="1">
                  <c:v>0.66645833333333337</c:v>
                </c:pt>
                <c:pt idx="2">
                  <c:v>0.66680555555555554</c:v>
                </c:pt>
                <c:pt idx="3">
                  <c:v>0.66714120370370367</c:v>
                </c:pt>
                <c:pt idx="4">
                  <c:v>0.66748842592592594</c:v>
                </c:pt>
                <c:pt idx="5">
                  <c:v>0.66783564814814811</c:v>
                </c:pt>
                <c:pt idx="6">
                  <c:v>0.66818287037037039</c:v>
                </c:pt>
                <c:pt idx="7">
                  <c:v>0.6685416666666667</c:v>
                </c:pt>
                <c:pt idx="8">
                  <c:v>0.66887731481481483</c:v>
                </c:pt>
                <c:pt idx="9">
                  <c:v>0.66922453703703699</c:v>
                </c:pt>
                <c:pt idx="10">
                  <c:v>0.66958333333333331</c:v>
                </c:pt>
                <c:pt idx="11">
                  <c:v>0.66991898148148143</c:v>
                </c:pt>
                <c:pt idx="12">
                  <c:v>0.67026620370370371</c:v>
                </c:pt>
                <c:pt idx="13">
                  <c:v>0.67062500000000003</c:v>
                </c:pt>
                <c:pt idx="14">
                  <c:v>0.67097222222222219</c:v>
                </c:pt>
                <c:pt idx="15">
                  <c:v>0.67131944444444447</c:v>
                </c:pt>
                <c:pt idx="16">
                  <c:v>0.6716550925925926</c:v>
                </c:pt>
                <c:pt idx="17">
                  <c:v>0.67200231481481476</c:v>
                </c:pt>
                <c:pt idx="18">
                  <c:v>0.67234953703703704</c:v>
                </c:pt>
                <c:pt idx="19">
                  <c:v>0.67270833333333335</c:v>
                </c:pt>
                <c:pt idx="20">
                  <c:v>0.67305555555555552</c:v>
                </c:pt>
                <c:pt idx="21">
                  <c:v>0.67340277777777779</c:v>
                </c:pt>
                <c:pt idx="22">
                  <c:v>0.67374999999999996</c:v>
                </c:pt>
                <c:pt idx="23">
                  <c:v>0.6740856481481482</c:v>
                </c:pt>
                <c:pt idx="24">
                  <c:v>0.6744444444444444</c:v>
                </c:pt>
                <c:pt idx="25">
                  <c:v>0.67479166666666668</c:v>
                </c:pt>
                <c:pt idx="26">
                  <c:v>0.67513888888888884</c:v>
                </c:pt>
                <c:pt idx="27">
                  <c:v>0.67548611111111112</c:v>
                </c:pt>
                <c:pt idx="28">
                  <c:v>0.67583333333333329</c:v>
                </c:pt>
                <c:pt idx="29">
                  <c:v>0.67616898148148152</c:v>
                </c:pt>
                <c:pt idx="30">
                  <c:v>0.67652777777777773</c:v>
                </c:pt>
                <c:pt idx="31">
                  <c:v>0.67686342592592597</c:v>
                </c:pt>
                <c:pt idx="32">
                  <c:v>0.67722222222222217</c:v>
                </c:pt>
                <c:pt idx="33">
                  <c:v>0.67755787037037041</c:v>
                </c:pt>
                <c:pt idx="34">
                  <c:v>0.67791666666666661</c:v>
                </c:pt>
                <c:pt idx="35">
                  <c:v>0.67825231481481485</c:v>
                </c:pt>
                <c:pt idx="36">
                  <c:v>0.67859953703703701</c:v>
                </c:pt>
                <c:pt idx="37">
                  <c:v>0.67894675925925929</c:v>
                </c:pt>
                <c:pt idx="38">
                  <c:v>0.67930555555555561</c:v>
                </c:pt>
                <c:pt idx="39">
                  <c:v>0.67965277777777777</c:v>
                </c:pt>
                <c:pt idx="40">
                  <c:v>0.68</c:v>
                </c:pt>
                <c:pt idx="41">
                  <c:v>0.68033564814814818</c:v>
                </c:pt>
                <c:pt idx="42">
                  <c:v>0.68068287037037034</c:v>
                </c:pt>
                <c:pt idx="43">
                  <c:v>0.68103009259259262</c:v>
                </c:pt>
                <c:pt idx="44">
                  <c:v>0.68138888888888893</c:v>
                </c:pt>
                <c:pt idx="45">
                  <c:v>0.6817361111111111</c:v>
                </c:pt>
                <c:pt idx="46">
                  <c:v>0.68208333333333337</c:v>
                </c:pt>
                <c:pt idx="47">
                  <c:v>0.68243055555555554</c:v>
                </c:pt>
                <c:pt idx="48">
                  <c:v>0.68277777777777782</c:v>
                </c:pt>
                <c:pt idx="49">
                  <c:v>0.68312499999999998</c:v>
                </c:pt>
                <c:pt idx="50">
                  <c:v>0.68346064814814811</c:v>
                </c:pt>
                <c:pt idx="51">
                  <c:v>0.68381944444444442</c:v>
                </c:pt>
                <c:pt idx="52">
                  <c:v>0.6841666666666667</c:v>
                </c:pt>
                <c:pt idx="53">
                  <c:v>0.68451388888888887</c:v>
                </c:pt>
                <c:pt idx="54">
                  <c:v>0.68486111111111114</c:v>
                </c:pt>
                <c:pt idx="55">
                  <c:v>0.68519675925925927</c:v>
                </c:pt>
                <c:pt idx="56">
                  <c:v>0.68555555555555558</c:v>
                </c:pt>
                <c:pt idx="57">
                  <c:v>0.68590277777777775</c:v>
                </c:pt>
                <c:pt idx="58">
                  <c:v>0.68625000000000003</c:v>
                </c:pt>
                <c:pt idx="59">
                  <c:v>0.68659722222222219</c:v>
                </c:pt>
                <c:pt idx="60">
                  <c:v>0.68694444444444447</c:v>
                </c:pt>
                <c:pt idx="61">
                  <c:v>0.6872800925925926</c:v>
                </c:pt>
                <c:pt idx="62">
                  <c:v>0.68763888888888891</c:v>
                </c:pt>
                <c:pt idx="63">
                  <c:v>0.68798611111111108</c:v>
                </c:pt>
                <c:pt idx="64">
                  <c:v>0.68833333333333335</c:v>
                </c:pt>
                <c:pt idx="65">
                  <c:v>0.68866898148148148</c:v>
                </c:pt>
                <c:pt idx="66">
                  <c:v>0.68901620370370376</c:v>
                </c:pt>
                <c:pt idx="67">
                  <c:v>0.68936342592592592</c:v>
                </c:pt>
                <c:pt idx="68">
                  <c:v>0.68972222222222224</c:v>
                </c:pt>
                <c:pt idx="69">
                  <c:v>0.69005787037037036</c:v>
                </c:pt>
                <c:pt idx="70">
                  <c:v>0.69041666666666668</c:v>
                </c:pt>
                <c:pt idx="71">
                  <c:v>0.69076388888888884</c:v>
                </c:pt>
                <c:pt idx="72">
                  <c:v>0.69111111111111112</c:v>
                </c:pt>
                <c:pt idx="73">
                  <c:v>0.69145833333333329</c:v>
                </c:pt>
                <c:pt idx="74">
                  <c:v>0.69180555555555556</c:v>
                </c:pt>
                <c:pt idx="75">
                  <c:v>0.69215277777777773</c:v>
                </c:pt>
                <c:pt idx="76">
                  <c:v>0.6925</c:v>
                </c:pt>
                <c:pt idx="77">
                  <c:v>0.69283564814814813</c:v>
                </c:pt>
                <c:pt idx="78">
                  <c:v>0.69319444444444445</c:v>
                </c:pt>
                <c:pt idx="79">
                  <c:v>0.69354166666666661</c:v>
                </c:pt>
                <c:pt idx="80">
                  <c:v>0.69388888888888889</c:v>
                </c:pt>
                <c:pt idx="81">
                  <c:v>0.69423611111111116</c:v>
                </c:pt>
                <c:pt idx="82">
                  <c:v>0.69458333333333333</c:v>
                </c:pt>
                <c:pt idx="83">
                  <c:v>0.69493055555555561</c:v>
                </c:pt>
                <c:pt idx="84">
                  <c:v>0.69527777777777777</c:v>
                </c:pt>
                <c:pt idx="85">
                  <c:v>0.69562500000000005</c:v>
                </c:pt>
                <c:pt idx="86">
                  <c:v>0.69597222222222221</c:v>
                </c:pt>
                <c:pt idx="87">
                  <c:v>0.69631944444444449</c:v>
                </c:pt>
                <c:pt idx="88">
                  <c:v>0.69666666666666666</c:v>
                </c:pt>
                <c:pt idx="89">
                  <c:v>0.69701388888888893</c:v>
                </c:pt>
                <c:pt idx="90">
                  <c:v>0.6973611111111111</c:v>
                </c:pt>
                <c:pt idx="91">
                  <c:v>0.69770833333333337</c:v>
                </c:pt>
                <c:pt idx="92">
                  <c:v>0.69805555555555554</c:v>
                </c:pt>
                <c:pt idx="93">
                  <c:v>0.69840277777777782</c:v>
                </c:pt>
                <c:pt idx="94">
                  <c:v>0.69874999999999998</c:v>
                </c:pt>
                <c:pt idx="95">
                  <c:v>0.69909722222222226</c:v>
                </c:pt>
                <c:pt idx="96">
                  <c:v>0.69944444444444442</c:v>
                </c:pt>
                <c:pt idx="97">
                  <c:v>0.6997916666666667</c:v>
                </c:pt>
                <c:pt idx="98">
                  <c:v>0.70013888888888887</c:v>
                </c:pt>
                <c:pt idx="99">
                  <c:v>0.70048611111111114</c:v>
                </c:pt>
                <c:pt idx="100">
                  <c:v>0.70083333333333331</c:v>
                </c:pt>
                <c:pt idx="101">
                  <c:v>0.70118055555555558</c:v>
                </c:pt>
                <c:pt idx="102">
                  <c:v>0.70152777777777775</c:v>
                </c:pt>
                <c:pt idx="103">
                  <c:v>0.70187500000000003</c:v>
                </c:pt>
                <c:pt idx="104">
                  <c:v>0.70222222222222219</c:v>
                </c:pt>
                <c:pt idx="105">
                  <c:v>0.70256944444444447</c:v>
                </c:pt>
                <c:pt idx="106">
                  <c:v>0.70291666666666663</c:v>
                </c:pt>
                <c:pt idx="107">
                  <c:v>0.70326388888888891</c:v>
                </c:pt>
                <c:pt idx="108">
                  <c:v>0.70361111111111108</c:v>
                </c:pt>
                <c:pt idx="109">
                  <c:v>0.70395833333333335</c:v>
                </c:pt>
                <c:pt idx="110">
                  <c:v>0.70430555555555552</c:v>
                </c:pt>
                <c:pt idx="111">
                  <c:v>0.70465277777777779</c:v>
                </c:pt>
                <c:pt idx="112">
                  <c:v>0.70499999999999996</c:v>
                </c:pt>
                <c:pt idx="113">
                  <c:v>0.70534722222222224</c:v>
                </c:pt>
                <c:pt idx="114">
                  <c:v>0.7056944444444444</c:v>
                </c:pt>
                <c:pt idx="115">
                  <c:v>0.70604166666666668</c:v>
                </c:pt>
                <c:pt idx="116">
                  <c:v>0.70638888888888884</c:v>
                </c:pt>
                <c:pt idx="117">
                  <c:v>0.70673611111111112</c:v>
                </c:pt>
                <c:pt idx="118">
                  <c:v>0.70708333333333329</c:v>
                </c:pt>
                <c:pt idx="119">
                  <c:v>0.70743055555555556</c:v>
                </c:pt>
                <c:pt idx="120">
                  <c:v>0.70777777777777773</c:v>
                </c:pt>
                <c:pt idx="121">
                  <c:v>0.708125</c:v>
                </c:pt>
              </c:numCache>
            </c:numRef>
          </c:cat>
          <c:val>
            <c:numRef>
              <c:f>'[1]Retort Machine data for F0 calc'!$B$416:$B$537</c:f>
              <c:numCache>
                <c:formatCode>General</c:formatCode>
                <c:ptCount val="122"/>
                <c:pt idx="0">
                  <c:v>34.700000000000003</c:v>
                </c:pt>
                <c:pt idx="1">
                  <c:v>34.700000000000003</c:v>
                </c:pt>
                <c:pt idx="2">
                  <c:v>34.700000000000003</c:v>
                </c:pt>
                <c:pt idx="3">
                  <c:v>34.700000000000003</c:v>
                </c:pt>
                <c:pt idx="4">
                  <c:v>34.700000000000003</c:v>
                </c:pt>
                <c:pt idx="5">
                  <c:v>34.700000000000003</c:v>
                </c:pt>
                <c:pt idx="6">
                  <c:v>34.700000000000003</c:v>
                </c:pt>
                <c:pt idx="7">
                  <c:v>34.700000000000003</c:v>
                </c:pt>
                <c:pt idx="8">
                  <c:v>34.700000000000003</c:v>
                </c:pt>
                <c:pt idx="9">
                  <c:v>34.700000000000003</c:v>
                </c:pt>
                <c:pt idx="10">
                  <c:v>35</c:v>
                </c:pt>
                <c:pt idx="11">
                  <c:v>35.4</c:v>
                </c:pt>
                <c:pt idx="12">
                  <c:v>36.9</c:v>
                </c:pt>
                <c:pt idx="13">
                  <c:v>41.5</c:v>
                </c:pt>
                <c:pt idx="14">
                  <c:v>46.7</c:v>
                </c:pt>
                <c:pt idx="15">
                  <c:v>53.4</c:v>
                </c:pt>
                <c:pt idx="16">
                  <c:v>58.3</c:v>
                </c:pt>
                <c:pt idx="17">
                  <c:v>63.3</c:v>
                </c:pt>
                <c:pt idx="18">
                  <c:v>66.2</c:v>
                </c:pt>
                <c:pt idx="19">
                  <c:v>71.400000000000006</c:v>
                </c:pt>
                <c:pt idx="20">
                  <c:v>76.400000000000006</c:v>
                </c:pt>
                <c:pt idx="21">
                  <c:v>80.400000000000006</c:v>
                </c:pt>
                <c:pt idx="22">
                  <c:v>83.1</c:v>
                </c:pt>
                <c:pt idx="23">
                  <c:v>84.5</c:v>
                </c:pt>
                <c:pt idx="24">
                  <c:v>86.4</c:v>
                </c:pt>
                <c:pt idx="25">
                  <c:v>87.9</c:v>
                </c:pt>
                <c:pt idx="26">
                  <c:v>88.6</c:v>
                </c:pt>
                <c:pt idx="27">
                  <c:v>88.9</c:v>
                </c:pt>
                <c:pt idx="28">
                  <c:v>90.6</c:v>
                </c:pt>
                <c:pt idx="29">
                  <c:v>91.7</c:v>
                </c:pt>
                <c:pt idx="30">
                  <c:v>92.3</c:v>
                </c:pt>
                <c:pt idx="31">
                  <c:v>92.6</c:v>
                </c:pt>
                <c:pt idx="32">
                  <c:v>93.3</c:v>
                </c:pt>
                <c:pt idx="33">
                  <c:v>93.3</c:v>
                </c:pt>
                <c:pt idx="34">
                  <c:v>93.8</c:v>
                </c:pt>
                <c:pt idx="35">
                  <c:v>93.9</c:v>
                </c:pt>
                <c:pt idx="36">
                  <c:v>93</c:v>
                </c:pt>
                <c:pt idx="37">
                  <c:v>96.2</c:v>
                </c:pt>
                <c:pt idx="38">
                  <c:v>99.2</c:v>
                </c:pt>
                <c:pt idx="39">
                  <c:v>102.1</c:v>
                </c:pt>
                <c:pt idx="40">
                  <c:v>104.1</c:v>
                </c:pt>
                <c:pt idx="41">
                  <c:v>106.7</c:v>
                </c:pt>
                <c:pt idx="42">
                  <c:v>106</c:v>
                </c:pt>
                <c:pt idx="43">
                  <c:v>107.3</c:v>
                </c:pt>
                <c:pt idx="44">
                  <c:v>110.3</c:v>
                </c:pt>
                <c:pt idx="45">
                  <c:v>113</c:v>
                </c:pt>
                <c:pt idx="46">
                  <c:v>115</c:v>
                </c:pt>
                <c:pt idx="47">
                  <c:v>116.9</c:v>
                </c:pt>
                <c:pt idx="48">
                  <c:v>118.6</c:v>
                </c:pt>
                <c:pt idx="49">
                  <c:v>120.7</c:v>
                </c:pt>
                <c:pt idx="50">
                  <c:v>118.5</c:v>
                </c:pt>
                <c:pt idx="51">
                  <c:v>118.2</c:v>
                </c:pt>
                <c:pt idx="52">
                  <c:v>118.6</c:v>
                </c:pt>
                <c:pt idx="53">
                  <c:v>121.5</c:v>
                </c:pt>
                <c:pt idx="54">
                  <c:v>124.1</c:v>
                </c:pt>
                <c:pt idx="55">
                  <c:v>120.9</c:v>
                </c:pt>
                <c:pt idx="56">
                  <c:v>122.6</c:v>
                </c:pt>
                <c:pt idx="57">
                  <c:v>124.7</c:v>
                </c:pt>
                <c:pt idx="58">
                  <c:v>120.7</c:v>
                </c:pt>
                <c:pt idx="59">
                  <c:v>123.5</c:v>
                </c:pt>
                <c:pt idx="60">
                  <c:v>123.2</c:v>
                </c:pt>
                <c:pt idx="61">
                  <c:v>121.6</c:v>
                </c:pt>
                <c:pt idx="62">
                  <c:v>124.5</c:v>
                </c:pt>
                <c:pt idx="63">
                  <c:v>121.8</c:v>
                </c:pt>
                <c:pt idx="64">
                  <c:v>122.1</c:v>
                </c:pt>
                <c:pt idx="65">
                  <c:v>124.6</c:v>
                </c:pt>
                <c:pt idx="66">
                  <c:v>120.3</c:v>
                </c:pt>
                <c:pt idx="67">
                  <c:v>123</c:v>
                </c:pt>
                <c:pt idx="68">
                  <c:v>124.6</c:v>
                </c:pt>
                <c:pt idx="69">
                  <c:v>121.1</c:v>
                </c:pt>
                <c:pt idx="70">
                  <c:v>124.5</c:v>
                </c:pt>
                <c:pt idx="71">
                  <c:v>121</c:v>
                </c:pt>
                <c:pt idx="72">
                  <c:v>122.3</c:v>
                </c:pt>
                <c:pt idx="73">
                  <c:v>122.3</c:v>
                </c:pt>
                <c:pt idx="74">
                  <c:v>121.3</c:v>
                </c:pt>
                <c:pt idx="75">
                  <c:v>124</c:v>
                </c:pt>
                <c:pt idx="76">
                  <c:v>121.1</c:v>
                </c:pt>
                <c:pt idx="77">
                  <c:v>122.4</c:v>
                </c:pt>
                <c:pt idx="78">
                  <c:v>123.8</c:v>
                </c:pt>
                <c:pt idx="79">
                  <c:v>120.6</c:v>
                </c:pt>
                <c:pt idx="80">
                  <c:v>120.5</c:v>
                </c:pt>
                <c:pt idx="81">
                  <c:v>115.2</c:v>
                </c:pt>
                <c:pt idx="82">
                  <c:v>112.9</c:v>
                </c:pt>
                <c:pt idx="83">
                  <c:v>105.2</c:v>
                </c:pt>
                <c:pt idx="84">
                  <c:v>87.7</c:v>
                </c:pt>
                <c:pt idx="85">
                  <c:v>81.8</c:v>
                </c:pt>
                <c:pt idx="86">
                  <c:v>77.7</c:v>
                </c:pt>
                <c:pt idx="87">
                  <c:v>73.900000000000006</c:v>
                </c:pt>
                <c:pt idx="88">
                  <c:v>70.599999999999994</c:v>
                </c:pt>
                <c:pt idx="89">
                  <c:v>67.599999999999994</c:v>
                </c:pt>
                <c:pt idx="90">
                  <c:v>65.099999999999994</c:v>
                </c:pt>
                <c:pt idx="91">
                  <c:v>62.9</c:v>
                </c:pt>
                <c:pt idx="92">
                  <c:v>61</c:v>
                </c:pt>
                <c:pt idx="93">
                  <c:v>59.3</c:v>
                </c:pt>
                <c:pt idx="94">
                  <c:v>57.6</c:v>
                </c:pt>
                <c:pt idx="95">
                  <c:v>56.2</c:v>
                </c:pt>
                <c:pt idx="96">
                  <c:v>55</c:v>
                </c:pt>
                <c:pt idx="97">
                  <c:v>53.8</c:v>
                </c:pt>
                <c:pt idx="98">
                  <c:v>53.1</c:v>
                </c:pt>
                <c:pt idx="99">
                  <c:v>52.7</c:v>
                </c:pt>
                <c:pt idx="100">
                  <c:v>52.3</c:v>
                </c:pt>
                <c:pt idx="101">
                  <c:v>50.1</c:v>
                </c:pt>
                <c:pt idx="102">
                  <c:v>49.2</c:v>
                </c:pt>
                <c:pt idx="103">
                  <c:v>48.7</c:v>
                </c:pt>
                <c:pt idx="104">
                  <c:v>47.9</c:v>
                </c:pt>
                <c:pt idx="105">
                  <c:v>47.3</c:v>
                </c:pt>
                <c:pt idx="106">
                  <c:v>46.7</c:v>
                </c:pt>
                <c:pt idx="107">
                  <c:v>46.2</c:v>
                </c:pt>
                <c:pt idx="108">
                  <c:v>45.7</c:v>
                </c:pt>
                <c:pt idx="109">
                  <c:v>45.3</c:v>
                </c:pt>
                <c:pt idx="110">
                  <c:v>44.9</c:v>
                </c:pt>
                <c:pt idx="111">
                  <c:v>44.9</c:v>
                </c:pt>
                <c:pt idx="112">
                  <c:v>44.8</c:v>
                </c:pt>
                <c:pt idx="113">
                  <c:v>44.7</c:v>
                </c:pt>
                <c:pt idx="114">
                  <c:v>44.7</c:v>
                </c:pt>
                <c:pt idx="115">
                  <c:v>44.7</c:v>
                </c:pt>
                <c:pt idx="116">
                  <c:v>44.8</c:v>
                </c:pt>
                <c:pt idx="117">
                  <c:v>45</c:v>
                </c:pt>
                <c:pt idx="118">
                  <c:v>45.1</c:v>
                </c:pt>
                <c:pt idx="119">
                  <c:v>45.1</c:v>
                </c:pt>
                <c:pt idx="120">
                  <c:v>45.1</c:v>
                </c:pt>
                <c:pt idx="12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2-44D2-9244-489B7C444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440048"/>
        <c:axId val="1994441488"/>
      </c:lineChart>
      <c:catAx>
        <c:axId val="199444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41488"/>
        <c:crosses val="autoZero"/>
        <c:auto val="1"/>
        <c:lblAlgn val="ctr"/>
        <c:lblOffset val="100"/>
        <c:noMultiLvlLbl val="0"/>
      </c:catAx>
      <c:valAx>
        <c:axId val="19944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4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</a:t>
            </a:r>
            <a:r>
              <a:rPr lang="en-US" baseline="0"/>
              <a:t> 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'[1]Retort Machine data for F0 calc'!$B$128</c:f>
              <c:strCache>
                <c:ptCount val="1"/>
                <c:pt idx="0">
                  <c:v>Temprature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'[1]Retort Machine data for F0 calc'!$A$129:$A$233</c:f>
              <c:numCache>
                <c:formatCode>General</c:formatCode>
                <c:ptCount val="105"/>
                <c:pt idx="0">
                  <c:v>0.62146990740740737</c:v>
                </c:pt>
                <c:pt idx="1">
                  <c:v>0.62181712962962965</c:v>
                </c:pt>
                <c:pt idx="2">
                  <c:v>0.62216435185185182</c:v>
                </c:pt>
                <c:pt idx="3">
                  <c:v>0.62251157407407409</c:v>
                </c:pt>
                <c:pt idx="4">
                  <c:v>0.62285879629629626</c:v>
                </c:pt>
                <c:pt idx="5">
                  <c:v>0.62320601851851853</c:v>
                </c:pt>
                <c:pt idx="6">
                  <c:v>0.6235532407407407</c:v>
                </c:pt>
                <c:pt idx="7">
                  <c:v>0.62390046296296298</c:v>
                </c:pt>
                <c:pt idx="8">
                  <c:v>0.62424768518518514</c:v>
                </c:pt>
                <c:pt idx="9">
                  <c:v>0.62459490740740742</c:v>
                </c:pt>
                <c:pt idx="10">
                  <c:v>0.62494212962962958</c:v>
                </c:pt>
                <c:pt idx="11">
                  <c:v>0.62528935185185186</c:v>
                </c:pt>
                <c:pt idx="12">
                  <c:v>0.62563657407407403</c:v>
                </c:pt>
                <c:pt idx="13">
                  <c:v>0.6259837962962963</c:v>
                </c:pt>
                <c:pt idx="14">
                  <c:v>0.62633101851851847</c:v>
                </c:pt>
                <c:pt idx="15">
                  <c:v>0.62667824074074074</c:v>
                </c:pt>
                <c:pt idx="16">
                  <c:v>0.62702546296296291</c:v>
                </c:pt>
                <c:pt idx="17">
                  <c:v>0.62737268518518519</c:v>
                </c:pt>
                <c:pt idx="18">
                  <c:v>0.62771990740740746</c:v>
                </c:pt>
                <c:pt idx="19">
                  <c:v>0.62806712962962963</c:v>
                </c:pt>
                <c:pt idx="20">
                  <c:v>0.6284143518518519</c:v>
                </c:pt>
                <c:pt idx="21">
                  <c:v>0.62876157407407407</c:v>
                </c:pt>
                <c:pt idx="22">
                  <c:v>0.62910879629629635</c:v>
                </c:pt>
                <c:pt idx="23">
                  <c:v>0.62945601851851851</c:v>
                </c:pt>
                <c:pt idx="24">
                  <c:v>0.62980324074074079</c:v>
                </c:pt>
                <c:pt idx="25">
                  <c:v>0.63015046296296295</c:v>
                </c:pt>
                <c:pt idx="26">
                  <c:v>0.63049768518518523</c:v>
                </c:pt>
                <c:pt idx="27">
                  <c:v>0.6308449074074074</c:v>
                </c:pt>
                <c:pt idx="28">
                  <c:v>0.63119212962962967</c:v>
                </c:pt>
                <c:pt idx="29">
                  <c:v>0.63153935185185184</c:v>
                </c:pt>
                <c:pt idx="30">
                  <c:v>0.63188657407407411</c:v>
                </c:pt>
                <c:pt idx="31">
                  <c:v>0.63223379629629628</c:v>
                </c:pt>
                <c:pt idx="32">
                  <c:v>0.63258101851851856</c:v>
                </c:pt>
                <c:pt idx="33">
                  <c:v>0.63292824074074072</c:v>
                </c:pt>
                <c:pt idx="34">
                  <c:v>0.633275462962963</c:v>
                </c:pt>
                <c:pt idx="35">
                  <c:v>0.63362268518518516</c:v>
                </c:pt>
                <c:pt idx="36">
                  <c:v>0.63396990740740744</c:v>
                </c:pt>
                <c:pt idx="37">
                  <c:v>0.63431712962962961</c:v>
                </c:pt>
                <c:pt idx="38">
                  <c:v>0.63466435185185188</c:v>
                </c:pt>
                <c:pt idx="39">
                  <c:v>0.63501157407407405</c:v>
                </c:pt>
                <c:pt idx="40">
                  <c:v>0.63535879629629632</c:v>
                </c:pt>
                <c:pt idx="41">
                  <c:v>0.63570601851851849</c:v>
                </c:pt>
                <c:pt idx="42">
                  <c:v>0.63605324074074077</c:v>
                </c:pt>
                <c:pt idx="43">
                  <c:v>0.63640046296296293</c:v>
                </c:pt>
                <c:pt idx="44">
                  <c:v>0.63674768518518521</c:v>
                </c:pt>
                <c:pt idx="45">
                  <c:v>0.63709490740740737</c:v>
                </c:pt>
                <c:pt idx="46">
                  <c:v>0.63744212962962965</c:v>
                </c:pt>
                <c:pt idx="47">
                  <c:v>0.63778935185185182</c:v>
                </c:pt>
                <c:pt idx="48">
                  <c:v>0.63813657407407409</c:v>
                </c:pt>
                <c:pt idx="49">
                  <c:v>0.63848379629629626</c:v>
                </c:pt>
                <c:pt idx="50">
                  <c:v>0.63883101851851853</c:v>
                </c:pt>
                <c:pt idx="51">
                  <c:v>0.6391782407407407</c:v>
                </c:pt>
                <c:pt idx="52">
                  <c:v>0.63952546296296298</c:v>
                </c:pt>
                <c:pt idx="53">
                  <c:v>0.63987268518518514</c:v>
                </c:pt>
                <c:pt idx="54">
                  <c:v>0.64021990740740742</c:v>
                </c:pt>
                <c:pt idx="55">
                  <c:v>0.64056712962962958</c:v>
                </c:pt>
                <c:pt idx="56">
                  <c:v>0.64091435185185186</c:v>
                </c:pt>
                <c:pt idx="57">
                  <c:v>0.64126157407407403</c:v>
                </c:pt>
                <c:pt idx="58">
                  <c:v>0.6416087962962963</c:v>
                </c:pt>
                <c:pt idx="59">
                  <c:v>0.64195601851851847</c:v>
                </c:pt>
                <c:pt idx="60">
                  <c:v>0.64230324074074074</c:v>
                </c:pt>
                <c:pt idx="61">
                  <c:v>0.64265046296296291</c:v>
                </c:pt>
                <c:pt idx="62">
                  <c:v>0.64299768518518519</c:v>
                </c:pt>
                <c:pt idx="63">
                  <c:v>0.64334490740740746</c:v>
                </c:pt>
                <c:pt idx="64">
                  <c:v>0.64369212962962963</c:v>
                </c:pt>
                <c:pt idx="65">
                  <c:v>0.6440393518518519</c:v>
                </c:pt>
                <c:pt idx="66">
                  <c:v>0.64438657407407407</c:v>
                </c:pt>
                <c:pt idx="67">
                  <c:v>0.64473379629629635</c:v>
                </c:pt>
                <c:pt idx="68">
                  <c:v>0.64508101851851851</c:v>
                </c:pt>
                <c:pt idx="69">
                  <c:v>0.64542824074074079</c:v>
                </c:pt>
                <c:pt idx="70">
                  <c:v>0.64577546296296295</c:v>
                </c:pt>
                <c:pt idx="71">
                  <c:v>0.64612268518518523</c:v>
                </c:pt>
                <c:pt idx="72">
                  <c:v>0.6464699074074074</c:v>
                </c:pt>
                <c:pt idx="73">
                  <c:v>0.64681712962962967</c:v>
                </c:pt>
                <c:pt idx="74">
                  <c:v>0.64716435185185184</c:v>
                </c:pt>
                <c:pt idx="75">
                  <c:v>0.64751157407407411</c:v>
                </c:pt>
                <c:pt idx="76">
                  <c:v>0.64785879629629628</c:v>
                </c:pt>
                <c:pt idx="77">
                  <c:v>0.64820601851851856</c:v>
                </c:pt>
                <c:pt idx="78">
                  <c:v>0.64855324074074072</c:v>
                </c:pt>
                <c:pt idx="79">
                  <c:v>0.648900462962963</c:v>
                </c:pt>
                <c:pt idx="80">
                  <c:v>0.64924768518518516</c:v>
                </c:pt>
                <c:pt idx="81">
                  <c:v>0.64959490740740744</c:v>
                </c:pt>
                <c:pt idx="82">
                  <c:v>0.64994212962962961</c:v>
                </c:pt>
                <c:pt idx="83">
                  <c:v>0.65028935185185188</c:v>
                </c:pt>
                <c:pt idx="84">
                  <c:v>0.65063657407407405</c:v>
                </c:pt>
                <c:pt idx="85">
                  <c:v>0.65098379629629632</c:v>
                </c:pt>
                <c:pt idx="86">
                  <c:v>0.65133101851851849</c:v>
                </c:pt>
                <c:pt idx="87">
                  <c:v>0.65167824074074077</c:v>
                </c:pt>
                <c:pt idx="88">
                  <c:v>0.65202546296296293</c:v>
                </c:pt>
                <c:pt idx="89">
                  <c:v>0.65237268518518521</c:v>
                </c:pt>
                <c:pt idx="90">
                  <c:v>0.65271990740740737</c:v>
                </c:pt>
                <c:pt idx="91">
                  <c:v>0.65306712962962965</c:v>
                </c:pt>
                <c:pt idx="92">
                  <c:v>0.65341435185185182</c:v>
                </c:pt>
                <c:pt idx="93">
                  <c:v>0.65376157407407409</c:v>
                </c:pt>
                <c:pt idx="94">
                  <c:v>0.65410879629629626</c:v>
                </c:pt>
                <c:pt idx="95">
                  <c:v>0.65445601851851853</c:v>
                </c:pt>
                <c:pt idx="96">
                  <c:v>0.6548032407407407</c:v>
                </c:pt>
                <c:pt idx="97">
                  <c:v>0.65515046296296298</c:v>
                </c:pt>
                <c:pt idx="98">
                  <c:v>0.65549768518518514</c:v>
                </c:pt>
                <c:pt idx="99">
                  <c:v>0.65584490740740742</c:v>
                </c:pt>
                <c:pt idx="100">
                  <c:v>0.65620370370370373</c:v>
                </c:pt>
                <c:pt idx="101">
                  <c:v>0.65653935185185186</c:v>
                </c:pt>
                <c:pt idx="102">
                  <c:v>0.65689814814814818</c:v>
                </c:pt>
                <c:pt idx="103">
                  <c:v>0.6572337962962963</c:v>
                </c:pt>
                <c:pt idx="104">
                  <c:v>0.65759259259259262</c:v>
                </c:pt>
              </c:numCache>
            </c:numRef>
          </c:cat>
          <c:val>
            <c:numRef>
              <c:f>'[1]Retort Machine data for F0 calc'!$B$129:$B$233</c:f>
              <c:numCache>
                <c:formatCode>General</c:formatCode>
                <c:ptCount val="105"/>
                <c:pt idx="0">
                  <c:v>34.799999999999997</c:v>
                </c:pt>
                <c:pt idx="1">
                  <c:v>34.5</c:v>
                </c:pt>
                <c:pt idx="2">
                  <c:v>35</c:v>
                </c:pt>
                <c:pt idx="3">
                  <c:v>37.200000000000003</c:v>
                </c:pt>
                <c:pt idx="4">
                  <c:v>42.5</c:v>
                </c:pt>
                <c:pt idx="5">
                  <c:v>48.1</c:v>
                </c:pt>
                <c:pt idx="6">
                  <c:v>53.3</c:v>
                </c:pt>
                <c:pt idx="7">
                  <c:v>57.9</c:v>
                </c:pt>
                <c:pt idx="8">
                  <c:v>62.1</c:v>
                </c:pt>
                <c:pt idx="9">
                  <c:v>64.900000000000006</c:v>
                </c:pt>
                <c:pt idx="10">
                  <c:v>67.400000000000006</c:v>
                </c:pt>
                <c:pt idx="11">
                  <c:v>69.7</c:v>
                </c:pt>
                <c:pt idx="12">
                  <c:v>73.400000000000006</c:v>
                </c:pt>
                <c:pt idx="13">
                  <c:v>76.3</c:v>
                </c:pt>
                <c:pt idx="14">
                  <c:v>78.7</c:v>
                </c:pt>
                <c:pt idx="15">
                  <c:v>80</c:v>
                </c:pt>
                <c:pt idx="16">
                  <c:v>81.5</c:v>
                </c:pt>
                <c:pt idx="17">
                  <c:v>82.8</c:v>
                </c:pt>
                <c:pt idx="18">
                  <c:v>84.1</c:v>
                </c:pt>
                <c:pt idx="19">
                  <c:v>84.8</c:v>
                </c:pt>
                <c:pt idx="20">
                  <c:v>85.5</c:v>
                </c:pt>
                <c:pt idx="21">
                  <c:v>86.1</c:v>
                </c:pt>
                <c:pt idx="22">
                  <c:v>86.4</c:v>
                </c:pt>
                <c:pt idx="23">
                  <c:v>87.2</c:v>
                </c:pt>
                <c:pt idx="24">
                  <c:v>88.2</c:v>
                </c:pt>
                <c:pt idx="25">
                  <c:v>89.8</c:v>
                </c:pt>
                <c:pt idx="26">
                  <c:v>92.3</c:v>
                </c:pt>
                <c:pt idx="27">
                  <c:v>94.4</c:v>
                </c:pt>
                <c:pt idx="28">
                  <c:v>96.5</c:v>
                </c:pt>
                <c:pt idx="29">
                  <c:v>98.7</c:v>
                </c:pt>
                <c:pt idx="30">
                  <c:v>100.8</c:v>
                </c:pt>
                <c:pt idx="31">
                  <c:v>103.7</c:v>
                </c:pt>
                <c:pt idx="32">
                  <c:v>106.7</c:v>
                </c:pt>
                <c:pt idx="33">
                  <c:v>109.5</c:v>
                </c:pt>
                <c:pt idx="34">
                  <c:v>111.5</c:v>
                </c:pt>
                <c:pt idx="35">
                  <c:v>112.7</c:v>
                </c:pt>
                <c:pt idx="36">
                  <c:v>113.8</c:v>
                </c:pt>
                <c:pt idx="37">
                  <c:v>114.8</c:v>
                </c:pt>
                <c:pt idx="38">
                  <c:v>115.6</c:v>
                </c:pt>
                <c:pt idx="39">
                  <c:v>116.4</c:v>
                </c:pt>
                <c:pt idx="40">
                  <c:v>117.2</c:v>
                </c:pt>
                <c:pt idx="41">
                  <c:v>118.1</c:v>
                </c:pt>
                <c:pt idx="42">
                  <c:v>118.9</c:v>
                </c:pt>
                <c:pt idx="43">
                  <c:v>119.7</c:v>
                </c:pt>
                <c:pt idx="44">
                  <c:v>120.5</c:v>
                </c:pt>
                <c:pt idx="45">
                  <c:v>121.2</c:v>
                </c:pt>
                <c:pt idx="46">
                  <c:v>121.2</c:v>
                </c:pt>
                <c:pt idx="47">
                  <c:v>120.7</c:v>
                </c:pt>
                <c:pt idx="48">
                  <c:v>122.6</c:v>
                </c:pt>
                <c:pt idx="49">
                  <c:v>122</c:v>
                </c:pt>
                <c:pt idx="50">
                  <c:v>121.1</c:v>
                </c:pt>
                <c:pt idx="51">
                  <c:v>121.1</c:v>
                </c:pt>
                <c:pt idx="52">
                  <c:v>123.4</c:v>
                </c:pt>
                <c:pt idx="53">
                  <c:v>122.7</c:v>
                </c:pt>
                <c:pt idx="54">
                  <c:v>121.9</c:v>
                </c:pt>
                <c:pt idx="55">
                  <c:v>121</c:v>
                </c:pt>
                <c:pt idx="56">
                  <c:v>121.7</c:v>
                </c:pt>
                <c:pt idx="57">
                  <c:v>122.9</c:v>
                </c:pt>
                <c:pt idx="58">
                  <c:v>122.1</c:v>
                </c:pt>
                <c:pt idx="59">
                  <c:v>121.2</c:v>
                </c:pt>
                <c:pt idx="60">
                  <c:v>121.2</c:v>
                </c:pt>
                <c:pt idx="61">
                  <c:v>122.6</c:v>
                </c:pt>
                <c:pt idx="62">
                  <c:v>121.7</c:v>
                </c:pt>
                <c:pt idx="63">
                  <c:v>120.9</c:v>
                </c:pt>
                <c:pt idx="64">
                  <c:v>122.1</c:v>
                </c:pt>
                <c:pt idx="65">
                  <c:v>122.2</c:v>
                </c:pt>
                <c:pt idx="66">
                  <c:v>115.9</c:v>
                </c:pt>
                <c:pt idx="67">
                  <c:v>112.2</c:v>
                </c:pt>
                <c:pt idx="68">
                  <c:v>102</c:v>
                </c:pt>
                <c:pt idx="69">
                  <c:v>85.1</c:v>
                </c:pt>
                <c:pt idx="70">
                  <c:v>79.8</c:v>
                </c:pt>
                <c:pt idx="71">
                  <c:v>75.900000000000006</c:v>
                </c:pt>
                <c:pt idx="72">
                  <c:v>72.2</c:v>
                </c:pt>
                <c:pt idx="73">
                  <c:v>69.099999999999994</c:v>
                </c:pt>
                <c:pt idx="74">
                  <c:v>66.400000000000006</c:v>
                </c:pt>
                <c:pt idx="75">
                  <c:v>64</c:v>
                </c:pt>
                <c:pt idx="76">
                  <c:v>61.5</c:v>
                </c:pt>
                <c:pt idx="77">
                  <c:v>59.6</c:v>
                </c:pt>
                <c:pt idx="78">
                  <c:v>57.9</c:v>
                </c:pt>
                <c:pt idx="79">
                  <c:v>56.3</c:v>
                </c:pt>
                <c:pt idx="80">
                  <c:v>54.9</c:v>
                </c:pt>
                <c:pt idx="81">
                  <c:v>53.7</c:v>
                </c:pt>
                <c:pt idx="82">
                  <c:v>52.6</c:v>
                </c:pt>
                <c:pt idx="83">
                  <c:v>51.6</c:v>
                </c:pt>
                <c:pt idx="84">
                  <c:v>50.7</c:v>
                </c:pt>
                <c:pt idx="85">
                  <c:v>50</c:v>
                </c:pt>
                <c:pt idx="86">
                  <c:v>49.3</c:v>
                </c:pt>
                <c:pt idx="87">
                  <c:v>48.6</c:v>
                </c:pt>
                <c:pt idx="88">
                  <c:v>48.1</c:v>
                </c:pt>
                <c:pt idx="89">
                  <c:v>47.5</c:v>
                </c:pt>
                <c:pt idx="90">
                  <c:v>47</c:v>
                </c:pt>
                <c:pt idx="91">
                  <c:v>46.7</c:v>
                </c:pt>
                <c:pt idx="92">
                  <c:v>46.3</c:v>
                </c:pt>
                <c:pt idx="93">
                  <c:v>45.9</c:v>
                </c:pt>
                <c:pt idx="94">
                  <c:v>45.5</c:v>
                </c:pt>
                <c:pt idx="95">
                  <c:v>45.2</c:v>
                </c:pt>
                <c:pt idx="96">
                  <c:v>45</c:v>
                </c:pt>
                <c:pt idx="97">
                  <c:v>45</c:v>
                </c:pt>
                <c:pt idx="98">
                  <c:v>44.9</c:v>
                </c:pt>
                <c:pt idx="99">
                  <c:v>44.8</c:v>
                </c:pt>
                <c:pt idx="100">
                  <c:v>44.8</c:v>
                </c:pt>
                <c:pt idx="101">
                  <c:v>44.8</c:v>
                </c:pt>
                <c:pt idx="102">
                  <c:v>44.8</c:v>
                </c:pt>
                <c:pt idx="103">
                  <c:v>45</c:v>
                </c:pt>
                <c:pt idx="10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8-4604-994E-663DB9295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324000"/>
        <c:axId val="1626323520"/>
      </c:lineChart>
      <c:catAx>
        <c:axId val="162632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323520"/>
        <c:crosses val="autoZero"/>
        <c:auto val="1"/>
        <c:lblAlgn val="ctr"/>
        <c:lblOffset val="100"/>
        <c:noMultiLvlLbl val="0"/>
      </c:catAx>
      <c:valAx>
        <c:axId val="162632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32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</a:t>
            </a:r>
            <a:r>
              <a:rPr lang="en-US" baseline="0"/>
              <a:t> 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'[1]Retort Machine data for F0 calc'!$B$239</c:f>
              <c:strCache>
                <c:ptCount val="1"/>
                <c:pt idx="0">
                  <c:v>Temprature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'[1]Retort Machine data for F0 calc'!$A$240:$A$409</c:f>
              <c:numCache>
                <c:formatCode>General</c:formatCode>
                <c:ptCount val="170"/>
                <c:pt idx="0">
                  <c:v>0.61641203703703706</c:v>
                </c:pt>
                <c:pt idx="1">
                  <c:v>0.61675925925925923</c:v>
                </c:pt>
                <c:pt idx="2">
                  <c:v>0.61710648148148151</c:v>
                </c:pt>
                <c:pt idx="3">
                  <c:v>0.61745370370370367</c:v>
                </c:pt>
                <c:pt idx="4">
                  <c:v>0.61780092592592595</c:v>
                </c:pt>
                <c:pt idx="5">
                  <c:v>0.61814814814814811</c:v>
                </c:pt>
                <c:pt idx="6">
                  <c:v>0.61849537037037039</c:v>
                </c:pt>
                <c:pt idx="7">
                  <c:v>0.61884259259259256</c:v>
                </c:pt>
                <c:pt idx="8">
                  <c:v>0.61918981481481483</c:v>
                </c:pt>
                <c:pt idx="9">
                  <c:v>0.619537037037037</c:v>
                </c:pt>
                <c:pt idx="10">
                  <c:v>0.61988425925925927</c:v>
                </c:pt>
                <c:pt idx="11">
                  <c:v>0.62023148148148144</c:v>
                </c:pt>
                <c:pt idx="12">
                  <c:v>0.62057870370370372</c:v>
                </c:pt>
                <c:pt idx="13">
                  <c:v>0.62092592592592588</c:v>
                </c:pt>
                <c:pt idx="14">
                  <c:v>0.62127314814814816</c:v>
                </c:pt>
                <c:pt idx="15">
                  <c:v>0.62162037037037032</c:v>
                </c:pt>
                <c:pt idx="16">
                  <c:v>0.6219675925925926</c:v>
                </c:pt>
                <c:pt idx="17">
                  <c:v>0.62231481481481477</c:v>
                </c:pt>
                <c:pt idx="18">
                  <c:v>0.62266203703703704</c:v>
                </c:pt>
                <c:pt idx="19">
                  <c:v>0.62300925925925921</c:v>
                </c:pt>
                <c:pt idx="20">
                  <c:v>0.62335648148148148</c:v>
                </c:pt>
                <c:pt idx="21">
                  <c:v>0.62370370370370365</c:v>
                </c:pt>
                <c:pt idx="22">
                  <c:v>0.62405092592592593</c:v>
                </c:pt>
                <c:pt idx="23">
                  <c:v>0.6243981481481482</c:v>
                </c:pt>
                <c:pt idx="24">
                  <c:v>0.62474537037037037</c:v>
                </c:pt>
                <c:pt idx="25">
                  <c:v>0.62509259259259264</c:v>
                </c:pt>
                <c:pt idx="26">
                  <c:v>0.62543981481481481</c:v>
                </c:pt>
                <c:pt idx="27">
                  <c:v>0.62578703703703709</c:v>
                </c:pt>
                <c:pt idx="28">
                  <c:v>0.62613425925925925</c:v>
                </c:pt>
                <c:pt idx="29">
                  <c:v>0.62648148148148153</c:v>
                </c:pt>
                <c:pt idx="30">
                  <c:v>0.62682870370370369</c:v>
                </c:pt>
                <c:pt idx="31">
                  <c:v>0.62717592592592597</c:v>
                </c:pt>
                <c:pt idx="32">
                  <c:v>0.62752314814814814</c:v>
                </c:pt>
                <c:pt idx="33">
                  <c:v>0.62787037037037041</c:v>
                </c:pt>
                <c:pt idx="34">
                  <c:v>0.62821759259259258</c:v>
                </c:pt>
                <c:pt idx="35">
                  <c:v>0.62856481481481485</c:v>
                </c:pt>
                <c:pt idx="36">
                  <c:v>0.62891203703703702</c:v>
                </c:pt>
                <c:pt idx="37">
                  <c:v>0.6292592592592593</c:v>
                </c:pt>
                <c:pt idx="38">
                  <c:v>0.62960648148148146</c:v>
                </c:pt>
                <c:pt idx="39">
                  <c:v>0.62995370370370374</c:v>
                </c:pt>
                <c:pt idx="40">
                  <c:v>0.6303009259259259</c:v>
                </c:pt>
                <c:pt idx="41">
                  <c:v>0.63064814814814818</c:v>
                </c:pt>
                <c:pt idx="42">
                  <c:v>0.63099537037037035</c:v>
                </c:pt>
                <c:pt idx="43">
                  <c:v>0.63134259259259262</c:v>
                </c:pt>
                <c:pt idx="44">
                  <c:v>0.63168981481481479</c:v>
                </c:pt>
                <c:pt idx="45">
                  <c:v>0.63203703703703706</c:v>
                </c:pt>
                <c:pt idx="46">
                  <c:v>0.63238425925925923</c:v>
                </c:pt>
                <c:pt idx="47">
                  <c:v>0.63273148148148151</c:v>
                </c:pt>
                <c:pt idx="48">
                  <c:v>0.63307870370370367</c:v>
                </c:pt>
                <c:pt idx="49">
                  <c:v>0.63342592592592595</c:v>
                </c:pt>
                <c:pt idx="50">
                  <c:v>0.63377314814814811</c:v>
                </c:pt>
                <c:pt idx="51">
                  <c:v>0.63412037037037039</c:v>
                </c:pt>
                <c:pt idx="52">
                  <c:v>0.63446759259259256</c:v>
                </c:pt>
                <c:pt idx="53">
                  <c:v>0.63481481481481483</c:v>
                </c:pt>
                <c:pt idx="54">
                  <c:v>0.635162037037037</c:v>
                </c:pt>
                <c:pt idx="55">
                  <c:v>0.63550925925925927</c:v>
                </c:pt>
                <c:pt idx="56">
                  <c:v>0.63585648148148144</c:v>
                </c:pt>
                <c:pt idx="57">
                  <c:v>0.63620370370370372</c:v>
                </c:pt>
                <c:pt idx="58">
                  <c:v>0.63655092592592588</c:v>
                </c:pt>
                <c:pt idx="59">
                  <c:v>0.63689814814814816</c:v>
                </c:pt>
                <c:pt idx="60">
                  <c:v>0.63724537037037032</c:v>
                </c:pt>
                <c:pt idx="61">
                  <c:v>0.6375925925925926</c:v>
                </c:pt>
                <c:pt idx="62">
                  <c:v>0.63793981481481477</c:v>
                </c:pt>
                <c:pt idx="63">
                  <c:v>0.63828703703703704</c:v>
                </c:pt>
                <c:pt idx="64">
                  <c:v>0.63863425925925921</c:v>
                </c:pt>
                <c:pt idx="65">
                  <c:v>0.63898148148148148</c:v>
                </c:pt>
                <c:pt idx="66">
                  <c:v>0.63932870370370365</c:v>
                </c:pt>
                <c:pt idx="67">
                  <c:v>0.63967592592592593</c:v>
                </c:pt>
                <c:pt idx="68">
                  <c:v>0.6400231481481482</c:v>
                </c:pt>
                <c:pt idx="69">
                  <c:v>0.64037037037037037</c:v>
                </c:pt>
                <c:pt idx="70">
                  <c:v>0.64071759259259264</c:v>
                </c:pt>
                <c:pt idx="71">
                  <c:v>0.64106481481481481</c:v>
                </c:pt>
                <c:pt idx="72">
                  <c:v>0.64141203703703709</c:v>
                </c:pt>
                <c:pt idx="73">
                  <c:v>0.64175925925925925</c:v>
                </c:pt>
                <c:pt idx="74">
                  <c:v>0.64210648148148153</c:v>
                </c:pt>
                <c:pt idx="75">
                  <c:v>0.64245370370370369</c:v>
                </c:pt>
                <c:pt idx="76">
                  <c:v>0.64280092592592597</c:v>
                </c:pt>
                <c:pt idx="77">
                  <c:v>0.64314814814814814</c:v>
                </c:pt>
                <c:pt idx="78">
                  <c:v>0.64349537037037041</c:v>
                </c:pt>
                <c:pt idx="79">
                  <c:v>0.64384259259259258</c:v>
                </c:pt>
                <c:pt idx="80">
                  <c:v>0.64418981481481485</c:v>
                </c:pt>
                <c:pt idx="81">
                  <c:v>0.64453703703703702</c:v>
                </c:pt>
                <c:pt idx="82">
                  <c:v>0.6448842592592593</c:v>
                </c:pt>
                <c:pt idx="83">
                  <c:v>0.64523148148148146</c:v>
                </c:pt>
                <c:pt idx="84">
                  <c:v>0.64557870370370374</c:v>
                </c:pt>
                <c:pt idx="85">
                  <c:v>0.6459259259259259</c:v>
                </c:pt>
                <c:pt idx="86">
                  <c:v>0.64627314814814818</c:v>
                </c:pt>
                <c:pt idx="87">
                  <c:v>0.64662037037037035</c:v>
                </c:pt>
                <c:pt idx="88">
                  <c:v>0.64696759259259262</c:v>
                </c:pt>
                <c:pt idx="89">
                  <c:v>0.64731481481481479</c:v>
                </c:pt>
                <c:pt idx="90">
                  <c:v>0.64766203703703706</c:v>
                </c:pt>
                <c:pt idx="91">
                  <c:v>0.64800925925925923</c:v>
                </c:pt>
                <c:pt idx="92">
                  <c:v>0.64835648148148151</c:v>
                </c:pt>
                <c:pt idx="93">
                  <c:v>0.64870370370370367</c:v>
                </c:pt>
                <c:pt idx="94">
                  <c:v>0.64905092592592595</c:v>
                </c:pt>
                <c:pt idx="95">
                  <c:v>0.64939814814814811</c:v>
                </c:pt>
                <c:pt idx="96">
                  <c:v>0.64974537037037039</c:v>
                </c:pt>
                <c:pt idx="97">
                  <c:v>0.65009259259259256</c:v>
                </c:pt>
                <c:pt idx="98">
                  <c:v>0.65043981481481483</c:v>
                </c:pt>
                <c:pt idx="99">
                  <c:v>0.650787037037037</c:v>
                </c:pt>
                <c:pt idx="100">
                  <c:v>0.65113425925925927</c:v>
                </c:pt>
                <c:pt idx="101">
                  <c:v>0.65148148148148144</c:v>
                </c:pt>
                <c:pt idx="102">
                  <c:v>0.65182870370370372</c:v>
                </c:pt>
                <c:pt idx="103">
                  <c:v>0.65217592592592588</c:v>
                </c:pt>
                <c:pt idx="104">
                  <c:v>0.65252314814814816</c:v>
                </c:pt>
                <c:pt idx="105">
                  <c:v>0.65287037037037032</c:v>
                </c:pt>
                <c:pt idx="106">
                  <c:v>0.6532175925925926</c:v>
                </c:pt>
                <c:pt idx="107">
                  <c:v>0.65356481481481477</c:v>
                </c:pt>
                <c:pt idx="108">
                  <c:v>0.65391203703703704</c:v>
                </c:pt>
                <c:pt idx="109">
                  <c:v>0.65425925925925921</c:v>
                </c:pt>
                <c:pt idx="110">
                  <c:v>0.65460648148148148</c:v>
                </c:pt>
                <c:pt idx="111">
                  <c:v>0.65495370370370365</c:v>
                </c:pt>
                <c:pt idx="112">
                  <c:v>0.65530092592592593</c:v>
                </c:pt>
                <c:pt idx="113">
                  <c:v>0.6556481481481482</c:v>
                </c:pt>
                <c:pt idx="114">
                  <c:v>0.65599537037037037</c:v>
                </c:pt>
                <c:pt idx="115">
                  <c:v>0.65634259259259264</c:v>
                </c:pt>
                <c:pt idx="116">
                  <c:v>0.65668981481481481</c:v>
                </c:pt>
                <c:pt idx="117">
                  <c:v>0.65703703703703709</c:v>
                </c:pt>
                <c:pt idx="118">
                  <c:v>0.65738425925925925</c:v>
                </c:pt>
                <c:pt idx="119">
                  <c:v>0.65773148148148153</c:v>
                </c:pt>
                <c:pt idx="120">
                  <c:v>0.65807870370370369</c:v>
                </c:pt>
                <c:pt idx="121">
                  <c:v>0.65842592592592597</c:v>
                </c:pt>
                <c:pt idx="122">
                  <c:v>0.65877314814814814</c:v>
                </c:pt>
                <c:pt idx="123">
                  <c:v>0.65912037037037041</c:v>
                </c:pt>
                <c:pt idx="124">
                  <c:v>0.65946759259259258</c:v>
                </c:pt>
                <c:pt idx="125">
                  <c:v>0.65981481481481485</c:v>
                </c:pt>
                <c:pt idx="126">
                  <c:v>0.66016203703703702</c:v>
                </c:pt>
                <c:pt idx="127">
                  <c:v>0.6605092592592593</c:v>
                </c:pt>
                <c:pt idx="128">
                  <c:v>0.66085648148148146</c:v>
                </c:pt>
                <c:pt idx="129">
                  <c:v>0.66120370370370374</c:v>
                </c:pt>
                <c:pt idx="130">
                  <c:v>0.6615509259259259</c:v>
                </c:pt>
                <c:pt idx="131">
                  <c:v>0.66189814814814818</c:v>
                </c:pt>
                <c:pt idx="132">
                  <c:v>0.66224537037037035</c:v>
                </c:pt>
                <c:pt idx="133">
                  <c:v>0.66259259259259262</c:v>
                </c:pt>
                <c:pt idx="134">
                  <c:v>0.66293981481481479</c:v>
                </c:pt>
                <c:pt idx="135">
                  <c:v>0.66328703703703706</c:v>
                </c:pt>
                <c:pt idx="136">
                  <c:v>0.66363425925925923</c:v>
                </c:pt>
                <c:pt idx="137">
                  <c:v>0.66398148148148151</c:v>
                </c:pt>
                <c:pt idx="138">
                  <c:v>0.66432870370370367</c:v>
                </c:pt>
                <c:pt idx="139">
                  <c:v>0.66467592592592595</c:v>
                </c:pt>
                <c:pt idx="140">
                  <c:v>0.66502314814814811</c:v>
                </c:pt>
                <c:pt idx="141">
                  <c:v>0.66537037037037039</c:v>
                </c:pt>
                <c:pt idx="142">
                  <c:v>0.66571759259259256</c:v>
                </c:pt>
                <c:pt idx="143">
                  <c:v>0.66606481481481483</c:v>
                </c:pt>
                <c:pt idx="144">
                  <c:v>0.666412037037037</c:v>
                </c:pt>
                <c:pt idx="145">
                  <c:v>0.66675925925925927</c:v>
                </c:pt>
                <c:pt idx="146">
                  <c:v>0.66710648148148144</c:v>
                </c:pt>
                <c:pt idx="147">
                  <c:v>0.66745370370370372</c:v>
                </c:pt>
                <c:pt idx="148">
                  <c:v>0.66780092592592588</c:v>
                </c:pt>
                <c:pt idx="149">
                  <c:v>0.66814814814814816</c:v>
                </c:pt>
                <c:pt idx="150">
                  <c:v>0.66849537037037032</c:v>
                </c:pt>
                <c:pt idx="151">
                  <c:v>0.6688425925925926</c:v>
                </c:pt>
                <c:pt idx="152">
                  <c:v>0.66918981481481477</c:v>
                </c:pt>
                <c:pt idx="153">
                  <c:v>0.66953703703703704</c:v>
                </c:pt>
                <c:pt idx="154">
                  <c:v>0.66988425925925921</c:v>
                </c:pt>
                <c:pt idx="155">
                  <c:v>0.67023148148148148</c:v>
                </c:pt>
                <c:pt idx="156">
                  <c:v>0.67057870370370365</c:v>
                </c:pt>
                <c:pt idx="157">
                  <c:v>0.67092592592592593</c:v>
                </c:pt>
                <c:pt idx="158">
                  <c:v>0.6712731481481482</c:v>
                </c:pt>
                <c:pt idx="159">
                  <c:v>0.67162037037037037</c:v>
                </c:pt>
                <c:pt idx="160">
                  <c:v>0.67196759259259264</c:v>
                </c:pt>
                <c:pt idx="161">
                  <c:v>0.67231481481481481</c:v>
                </c:pt>
                <c:pt idx="162">
                  <c:v>0.67266203703703709</c:v>
                </c:pt>
                <c:pt idx="163">
                  <c:v>0.67300925925925925</c:v>
                </c:pt>
                <c:pt idx="164">
                  <c:v>0.67335648148148153</c:v>
                </c:pt>
                <c:pt idx="165">
                  <c:v>0.67370370370370369</c:v>
                </c:pt>
                <c:pt idx="166">
                  <c:v>0.67405092592592597</c:v>
                </c:pt>
                <c:pt idx="167">
                  <c:v>0.67439814814814814</c:v>
                </c:pt>
                <c:pt idx="168">
                  <c:v>0.67474537037037041</c:v>
                </c:pt>
                <c:pt idx="169">
                  <c:v>0.67509259259259258</c:v>
                </c:pt>
              </c:numCache>
            </c:numRef>
          </c:cat>
          <c:val>
            <c:numRef>
              <c:f>'[1]Retort Machine data for F0 calc'!$B$240:$B$409</c:f>
              <c:numCache>
                <c:formatCode>General</c:formatCode>
                <c:ptCount val="170"/>
                <c:pt idx="0">
                  <c:v>35</c:v>
                </c:pt>
                <c:pt idx="1">
                  <c:v>35</c:v>
                </c:pt>
                <c:pt idx="2">
                  <c:v>35.1</c:v>
                </c:pt>
                <c:pt idx="3">
                  <c:v>36.200000000000003</c:v>
                </c:pt>
                <c:pt idx="4">
                  <c:v>41.3</c:v>
                </c:pt>
                <c:pt idx="5">
                  <c:v>66.7</c:v>
                </c:pt>
                <c:pt idx="6">
                  <c:v>75.400000000000006</c:v>
                </c:pt>
                <c:pt idx="7">
                  <c:v>81.599999999999994</c:v>
                </c:pt>
                <c:pt idx="8">
                  <c:v>86.4</c:v>
                </c:pt>
                <c:pt idx="9">
                  <c:v>90</c:v>
                </c:pt>
                <c:pt idx="10">
                  <c:v>92.6</c:v>
                </c:pt>
                <c:pt idx="11">
                  <c:v>94.7</c:v>
                </c:pt>
                <c:pt idx="12">
                  <c:v>96.4</c:v>
                </c:pt>
                <c:pt idx="13">
                  <c:v>97.5</c:v>
                </c:pt>
                <c:pt idx="14">
                  <c:v>98.5</c:v>
                </c:pt>
                <c:pt idx="15">
                  <c:v>99.3</c:v>
                </c:pt>
                <c:pt idx="16">
                  <c:v>100.1</c:v>
                </c:pt>
                <c:pt idx="17">
                  <c:v>100.8</c:v>
                </c:pt>
                <c:pt idx="18">
                  <c:v>101.5</c:v>
                </c:pt>
                <c:pt idx="19">
                  <c:v>102.3</c:v>
                </c:pt>
                <c:pt idx="20">
                  <c:v>102.9</c:v>
                </c:pt>
                <c:pt idx="21">
                  <c:v>103.6</c:v>
                </c:pt>
                <c:pt idx="22">
                  <c:v>104.3</c:v>
                </c:pt>
                <c:pt idx="23">
                  <c:v>104.9</c:v>
                </c:pt>
                <c:pt idx="24">
                  <c:v>105.6</c:v>
                </c:pt>
                <c:pt idx="25">
                  <c:v>106.3</c:v>
                </c:pt>
                <c:pt idx="26">
                  <c:v>106.9</c:v>
                </c:pt>
                <c:pt idx="27">
                  <c:v>107.6</c:v>
                </c:pt>
                <c:pt idx="28">
                  <c:v>108.4</c:v>
                </c:pt>
                <c:pt idx="29">
                  <c:v>109</c:v>
                </c:pt>
                <c:pt idx="30">
                  <c:v>109.7</c:v>
                </c:pt>
                <c:pt idx="31">
                  <c:v>110.3</c:v>
                </c:pt>
                <c:pt idx="32">
                  <c:v>110.9</c:v>
                </c:pt>
                <c:pt idx="33">
                  <c:v>111.7</c:v>
                </c:pt>
                <c:pt idx="34">
                  <c:v>112.3</c:v>
                </c:pt>
                <c:pt idx="35">
                  <c:v>112.9</c:v>
                </c:pt>
                <c:pt idx="36">
                  <c:v>113.7</c:v>
                </c:pt>
                <c:pt idx="37">
                  <c:v>114.3</c:v>
                </c:pt>
                <c:pt idx="38">
                  <c:v>115</c:v>
                </c:pt>
                <c:pt idx="39">
                  <c:v>115.6</c:v>
                </c:pt>
                <c:pt idx="40">
                  <c:v>116.2</c:v>
                </c:pt>
                <c:pt idx="41">
                  <c:v>116.9</c:v>
                </c:pt>
                <c:pt idx="42">
                  <c:v>117.5</c:v>
                </c:pt>
                <c:pt idx="43">
                  <c:v>118.1</c:v>
                </c:pt>
                <c:pt idx="44">
                  <c:v>118.7</c:v>
                </c:pt>
                <c:pt idx="45">
                  <c:v>119.4</c:v>
                </c:pt>
                <c:pt idx="46">
                  <c:v>120</c:v>
                </c:pt>
                <c:pt idx="47">
                  <c:v>120.5</c:v>
                </c:pt>
                <c:pt idx="48">
                  <c:v>121</c:v>
                </c:pt>
                <c:pt idx="49">
                  <c:v>121.4</c:v>
                </c:pt>
                <c:pt idx="50">
                  <c:v>121.1</c:v>
                </c:pt>
                <c:pt idx="51">
                  <c:v>120.6</c:v>
                </c:pt>
                <c:pt idx="52">
                  <c:v>121.1</c:v>
                </c:pt>
                <c:pt idx="53">
                  <c:v>122.1</c:v>
                </c:pt>
                <c:pt idx="54">
                  <c:v>121.8</c:v>
                </c:pt>
                <c:pt idx="55">
                  <c:v>121.2</c:v>
                </c:pt>
                <c:pt idx="56">
                  <c:v>120.7</c:v>
                </c:pt>
                <c:pt idx="57">
                  <c:v>120.8</c:v>
                </c:pt>
                <c:pt idx="58">
                  <c:v>121.8</c:v>
                </c:pt>
                <c:pt idx="59">
                  <c:v>121.8</c:v>
                </c:pt>
                <c:pt idx="60">
                  <c:v>121.2</c:v>
                </c:pt>
                <c:pt idx="61">
                  <c:v>120.8</c:v>
                </c:pt>
                <c:pt idx="62">
                  <c:v>120.8</c:v>
                </c:pt>
                <c:pt idx="63">
                  <c:v>121.7</c:v>
                </c:pt>
                <c:pt idx="64">
                  <c:v>121.8</c:v>
                </c:pt>
                <c:pt idx="65">
                  <c:v>120.8</c:v>
                </c:pt>
                <c:pt idx="66">
                  <c:v>120.3</c:v>
                </c:pt>
                <c:pt idx="67">
                  <c:v>121.2</c:v>
                </c:pt>
                <c:pt idx="68">
                  <c:v>121.8</c:v>
                </c:pt>
                <c:pt idx="69">
                  <c:v>121.4</c:v>
                </c:pt>
                <c:pt idx="70">
                  <c:v>121.1</c:v>
                </c:pt>
                <c:pt idx="71">
                  <c:v>120.7</c:v>
                </c:pt>
                <c:pt idx="72">
                  <c:v>121</c:v>
                </c:pt>
                <c:pt idx="73">
                  <c:v>121.6</c:v>
                </c:pt>
                <c:pt idx="74">
                  <c:v>121.4</c:v>
                </c:pt>
                <c:pt idx="75">
                  <c:v>121</c:v>
                </c:pt>
                <c:pt idx="76">
                  <c:v>120.6</c:v>
                </c:pt>
                <c:pt idx="77">
                  <c:v>121.1</c:v>
                </c:pt>
                <c:pt idx="78">
                  <c:v>121.5</c:v>
                </c:pt>
                <c:pt idx="79">
                  <c:v>121.2</c:v>
                </c:pt>
                <c:pt idx="80">
                  <c:v>120.9</c:v>
                </c:pt>
                <c:pt idx="81">
                  <c:v>120.7</c:v>
                </c:pt>
                <c:pt idx="82">
                  <c:v>121.2</c:v>
                </c:pt>
                <c:pt idx="83">
                  <c:v>121.2</c:v>
                </c:pt>
                <c:pt idx="84">
                  <c:v>120.8</c:v>
                </c:pt>
                <c:pt idx="85">
                  <c:v>120.9</c:v>
                </c:pt>
                <c:pt idx="86">
                  <c:v>121.1</c:v>
                </c:pt>
                <c:pt idx="87">
                  <c:v>120.9</c:v>
                </c:pt>
                <c:pt idx="88">
                  <c:v>120.6</c:v>
                </c:pt>
                <c:pt idx="89">
                  <c:v>120.8</c:v>
                </c:pt>
                <c:pt idx="90">
                  <c:v>121</c:v>
                </c:pt>
                <c:pt idx="91">
                  <c:v>120.9</c:v>
                </c:pt>
                <c:pt idx="92">
                  <c:v>120.7</c:v>
                </c:pt>
                <c:pt idx="93">
                  <c:v>120.8</c:v>
                </c:pt>
                <c:pt idx="94">
                  <c:v>120.8</c:v>
                </c:pt>
                <c:pt idx="95">
                  <c:v>120.9</c:v>
                </c:pt>
                <c:pt idx="96">
                  <c:v>120.9</c:v>
                </c:pt>
                <c:pt idx="97">
                  <c:v>120.9</c:v>
                </c:pt>
                <c:pt idx="98">
                  <c:v>120.8</c:v>
                </c:pt>
                <c:pt idx="99">
                  <c:v>120.7</c:v>
                </c:pt>
                <c:pt idx="100">
                  <c:v>120.6</c:v>
                </c:pt>
                <c:pt idx="101">
                  <c:v>120.6</c:v>
                </c:pt>
                <c:pt idx="102">
                  <c:v>120.7</c:v>
                </c:pt>
                <c:pt idx="103">
                  <c:v>120.7</c:v>
                </c:pt>
                <c:pt idx="104">
                  <c:v>120.7</c:v>
                </c:pt>
                <c:pt idx="105">
                  <c:v>120.6</c:v>
                </c:pt>
                <c:pt idx="106">
                  <c:v>120.6</c:v>
                </c:pt>
                <c:pt idx="107">
                  <c:v>120.7</c:v>
                </c:pt>
                <c:pt idx="108">
                  <c:v>120.7</c:v>
                </c:pt>
                <c:pt idx="109">
                  <c:v>119.5</c:v>
                </c:pt>
                <c:pt idx="110">
                  <c:v>112.2</c:v>
                </c:pt>
                <c:pt idx="111">
                  <c:v>93.1</c:v>
                </c:pt>
                <c:pt idx="112">
                  <c:v>82.9</c:v>
                </c:pt>
                <c:pt idx="113">
                  <c:v>78.7</c:v>
                </c:pt>
                <c:pt idx="114">
                  <c:v>74.900000000000006</c:v>
                </c:pt>
                <c:pt idx="115">
                  <c:v>71.400000000000006</c:v>
                </c:pt>
                <c:pt idx="116">
                  <c:v>68.2</c:v>
                </c:pt>
                <c:pt idx="117">
                  <c:v>65.8</c:v>
                </c:pt>
                <c:pt idx="118">
                  <c:v>63.4</c:v>
                </c:pt>
                <c:pt idx="119">
                  <c:v>61.3</c:v>
                </c:pt>
                <c:pt idx="120">
                  <c:v>59.7</c:v>
                </c:pt>
                <c:pt idx="121">
                  <c:v>58</c:v>
                </c:pt>
                <c:pt idx="122">
                  <c:v>56.6</c:v>
                </c:pt>
                <c:pt idx="123">
                  <c:v>55.2</c:v>
                </c:pt>
                <c:pt idx="124">
                  <c:v>54</c:v>
                </c:pt>
                <c:pt idx="125">
                  <c:v>52.9</c:v>
                </c:pt>
                <c:pt idx="126">
                  <c:v>51.9</c:v>
                </c:pt>
                <c:pt idx="127">
                  <c:v>50.9</c:v>
                </c:pt>
                <c:pt idx="128">
                  <c:v>50.2</c:v>
                </c:pt>
                <c:pt idx="129">
                  <c:v>49.3</c:v>
                </c:pt>
                <c:pt idx="130">
                  <c:v>48.8</c:v>
                </c:pt>
                <c:pt idx="131">
                  <c:v>48</c:v>
                </c:pt>
                <c:pt idx="132">
                  <c:v>47.5</c:v>
                </c:pt>
                <c:pt idx="133">
                  <c:v>47.2</c:v>
                </c:pt>
                <c:pt idx="134">
                  <c:v>46.6</c:v>
                </c:pt>
                <c:pt idx="135">
                  <c:v>46.3</c:v>
                </c:pt>
                <c:pt idx="136">
                  <c:v>45.9</c:v>
                </c:pt>
                <c:pt idx="137">
                  <c:v>45.4</c:v>
                </c:pt>
                <c:pt idx="138">
                  <c:v>45.1</c:v>
                </c:pt>
                <c:pt idx="139">
                  <c:v>44.9</c:v>
                </c:pt>
                <c:pt idx="140">
                  <c:v>44.8</c:v>
                </c:pt>
                <c:pt idx="141">
                  <c:v>44.7</c:v>
                </c:pt>
                <c:pt idx="142">
                  <c:v>44.6</c:v>
                </c:pt>
                <c:pt idx="143">
                  <c:v>44.5</c:v>
                </c:pt>
                <c:pt idx="144">
                  <c:v>44.5</c:v>
                </c:pt>
                <c:pt idx="145">
                  <c:v>44.6</c:v>
                </c:pt>
                <c:pt idx="146">
                  <c:v>44.7</c:v>
                </c:pt>
                <c:pt idx="147">
                  <c:v>44.6</c:v>
                </c:pt>
                <c:pt idx="148">
                  <c:v>44.6</c:v>
                </c:pt>
                <c:pt idx="149">
                  <c:v>44.6</c:v>
                </c:pt>
                <c:pt idx="150">
                  <c:v>44.5</c:v>
                </c:pt>
                <c:pt idx="151">
                  <c:v>44.5</c:v>
                </c:pt>
                <c:pt idx="152">
                  <c:v>44.5</c:v>
                </c:pt>
                <c:pt idx="153">
                  <c:v>44.4</c:v>
                </c:pt>
                <c:pt idx="154">
                  <c:v>44.3</c:v>
                </c:pt>
                <c:pt idx="155">
                  <c:v>44.3</c:v>
                </c:pt>
                <c:pt idx="156">
                  <c:v>44.2</c:v>
                </c:pt>
                <c:pt idx="157">
                  <c:v>44.2</c:v>
                </c:pt>
                <c:pt idx="158">
                  <c:v>44.1</c:v>
                </c:pt>
                <c:pt idx="159">
                  <c:v>44.1</c:v>
                </c:pt>
                <c:pt idx="160">
                  <c:v>44</c:v>
                </c:pt>
                <c:pt idx="161">
                  <c:v>43.9</c:v>
                </c:pt>
                <c:pt idx="162">
                  <c:v>43.9</c:v>
                </c:pt>
                <c:pt idx="163">
                  <c:v>43.8</c:v>
                </c:pt>
                <c:pt idx="164">
                  <c:v>43.8</c:v>
                </c:pt>
                <c:pt idx="165">
                  <c:v>43.7</c:v>
                </c:pt>
                <c:pt idx="166">
                  <c:v>43.6</c:v>
                </c:pt>
                <c:pt idx="167">
                  <c:v>43.5</c:v>
                </c:pt>
                <c:pt idx="168">
                  <c:v>43.5</c:v>
                </c:pt>
                <c:pt idx="169">
                  <c:v>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A-4FD2-AAC8-828ACAD3A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946032"/>
        <c:axId val="1574944592"/>
      </c:lineChart>
      <c:catAx>
        <c:axId val="157494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44592"/>
        <c:crosses val="autoZero"/>
        <c:auto val="1"/>
        <c:lblAlgn val="ctr"/>
        <c:lblOffset val="100"/>
        <c:noMultiLvlLbl val="0"/>
      </c:catAx>
      <c:valAx>
        <c:axId val="157494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4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'[1]Retort Machine data for F0 calc'!$B$2</c:f>
              <c:strCache>
                <c:ptCount val="1"/>
                <c:pt idx="0">
                  <c:v>Temprature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'[1]Retort Machine data for F0 calc'!$A$3:$A$122</c:f>
              <c:numCache>
                <c:formatCode>General</c:formatCode>
                <c:ptCount val="120"/>
                <c:pt idx="0">
                  <c:v>0.61032407407407407</c:v>
                </c:pt>
                <c:pt idx="1">
                  <c:v>0.61067129629629635</c:v>
                </c:pt>
                <c:pt idx="2">
                  <c:v>0.61103009259259256</c:v>
                </c:pt>
                <c:pt idx="3">
                  <c:v>0.61136574074074079</c:v>
                </c:pt>
                <c:pt idx="4">
                  <c:v>0.61171296296296296</c:v>
                </c:pt>
                <c:pt idx="5">
                  <c:v>0.61207175925925927</c:v>
                </c:pt>
                <c:pt idx="6">
                  <c:v>0.61241898148148144</c:v>
                </c:pt>
                <c:pt idx="7">
                  <c:v>0.61275462962962968</c:v>
                </c:pt>
                <c:pt idx="8">
                  <c:v>0.61310185185185184</c:v>
                </c:pt>
                <c:pt idx="9">
                  <c:v>0.61346064814814816</c:v>
                </c:pt>
                <c:pt idx="10">
                  <c:v>0.61379629629629628</c:v>
                </c:pt>
                <c:pt idx="11">
                  <c:v>0.6141550925925926</c:v>
                </c:pt>
                <c:pt idx="12">
                  <c:v>0.61450231481481477</c:v>
                </c:pt>
                <c:pt idx="13">
                  <c:v>0.614837962962963</c:v>
                </c:pt>
                <c:pt idx="14">
                  <c:v>0.61519675925925921</c:v>
                </c:pt>
                <c:pt idx="15">
                  <c:v>0.61553240740740744</c:v>
                </c:pt>
                <c:pt idx="16">
                  <c:v>0.61589120370370365</c:v>
                </c:pt>
                <c:pt idx="17">
                  <c:v>0.61622685185185189</c:v>
                </c:pt>
                <c:pt idx="18">
                  <c:v>0.6165856481481482</c:v>
                </c:pt>
                <c:pt idx="19">
                  <c:v>0.61692129629629633</c:v>
                </c:pt>
                <c:pt idx="20">
                  <c:v>0.61726851851851849</c:v>
                </c:pt>
                <c:pt idx="21">
                  <c:v>0.61761574074074077</c:v>
                </c:pt>
                <c:pt idx="22">
                  <c:v>0.61797453703703709</c:v>
                </c:pt>
                <c:pt idx="23">
                  <c:v>0.61832175925925925</c:v>
                </c:pt>
                <c:pt idx="24">
                  <c:v>0.61865740740740738</c:v>
                </c:pt>
                <c:pt idx="25">
                  <c:v>0.61900462962962965</c:v>
                </c:pt>
                <c:pt idx="26">
                  <c:v>0.61936342592592597</c:v>
                </c:pt>
                <c:pt idx="27">
                  <c:v>0.61971064814814814</c:v>
                </c:pt>
                <c:pt idx="28">
                  <c:v>0.62004629629629626</c:v>
                </c:pt>
                <c:pt idx="29">
                  <c:v>0.62040509259259258</c:v>
                </c:pt>
                <c:pt idx="30">
                  <c:v>0.6207407407407407</c:v>
                </c:pt>
                <c:pt idx="31">
                  <c:v>0.62109953703703702</c:v>
                </c:pt>
                <c:pt idx="32">
                  <c:v>0.62143518518518515</c:v>
                </c:pt>
                <c:pt idx="33">
                  <c:v>0.62179398148148146</c:v>
                </c:pt>
                <c:pt idx="34">
                  <c:v>0.62214120370370374</c:v>
                </c:pt>
                <c:pt idx="35">
                  <c:v>0.6224884259259259</c:v>
                </c:pt>
                <c:pt idx="36">
                  <c:v>0.62282407407407403</c:v>
                </c:pt>
                <c:pt idx="37">
                  <c:v>0.62318287037037035</c:v>
                </c:pt>
                <c:pt idx="38">
                  <c:v>0.62353009259259262</c:v>
                </c:pt>
                <c:pt idx="39">
                  <c:v>0.62386574074074075</c:v>
                </c:pt>
                <c:pt idx="40">
                  <c:v>0.62422453703703706</c:v>
                </c:pt>
                <c:pt idx="41">
                  <c:v>0.62456018518518519</c:v>
                </c:pt>
                <c:pt idx="42">
                  <c:v>0.62490740740740736</c:v>
                </c:pt>
                <c:pt idx="43">
                  <c:v>0.62526620370370367</c:v>
                </c:pt>
                <c:pt idx="44">
                  <c:v>0.62561342592592595</c:v>
                </c:pt>
                <c:pt idx="45">
                  <c:v>0.62596064814814811</c:v>
                </c:pt>
                <c:pt idx="46">
                  <c:v>0.62630787037037039</c:v>
                </c:pt>
                <c:pt idx="47">
                  <c:v>0.62664351851851852</c:v>
                </c:pt>
                <c:pt idx="48">
                  <c:v>0.62700231481481483</c:v>
                </c:pt>
                <c:pt idx="49">
                  <c:v>0.627349537037037</c:v>
                </c:pt>
                <c:pt idx="50">
                  <c:v>0.62768518518518523</c:v>
                </c:pt>
                <c:pt idx="51">
                  <c:v>0.62804398148148144</c:v>
                </c:pt>
                <c:pt idx="52">
                  <c:v>0.62837962962962968</c:v>
                </c:pt>
                <c:pt idx="53">
                  <c:v>0.62873842592592588</c:v>
                </c:pt>
                <c:pt idx="54">
                  <c:v>0.62908564814814816</c:v>
                </c:pt>
                <c:pt idx="55">
                  <c:v>0.62943287037037032</c:v>
                </c:pt>
                <c:pt idx="56">
                  <c:v>0.6297800925925926</c:v>
                </c:pt>
                <c:pt idx="57">
                  <c:v>0.63012731481481477</c:v>
                </c:pt>
                <c:pt idx="58">
                  <c:v>0.63047453703703704</c:v>
                </c:pt>
                <c:pt idx="59">
                  <c:v>0.63082175925925921</c:v>
                </c:pt>
                <c:pt idx="60">
                  <c:v>0.63116898148148148</c:v>
                </c:pt>
                <c:pt idx="61">
                  <c:v>0.63151620370370365</c:v>
                </c:pt>
                <c:pt idx="62">
                  <c:v>0.63186342592592593</c:v>
                </c:pt>
                <c:pt idx="63">
                  <c:v>0.6322106481481482</c:v>
                </c:pt>
                <c:pt idx="64">
                  <c:v>0.63254629629629633</c:v>
                </c:pt>
                <c:pt idx="65">
                  <c:v>0.63290509259259264</c:v>
                </c:pt>
                <c:pt idx="66">
                  <c:v>0.63325231481481481</c:v>
                </c:pt>
                <c:pt idx="67">
                  <c:v>0.63359953703703709</c:v>
                </c:pt>
                <c:pt idx="68">
                  <c:v>0.63394675925925925</c:v>
                </c:pt>
                <c:pt idx="69">
                  <c:v>0.63429398148148153</c:v>
                </c:pt>
                <c:pt idx="70">
                  <c:v>0.63464120370370369</c:v>
                </c:pt>
                <c:pt idx="71">
                  <c:v>0.63498842592592597</c:v>
                </c:pt>
                <c:pt idx="72">
                  <c:v>0.63533564814814814</c:v>
                </c:pt>
                <c:pt idx="73">
                  <c:v>0.63568287037037041</c:v>
                </c:pt>
                <c:pt idx="74">
                  <c:v>0.63603009259259258</c:v>
                </c:pt>
                <c:pt idx="75">
                  <c:v>0.63637731481481485</c:v>
                </c:pt>
                <c:pt idx="76">
                  <c:v>0.63672453703703702</c:v>
                </c:pt>
                <c:pt idx="77">
                  <c:v>0.6370717592592593</c:v>
                </c:pt>
                <c:pt idx="78">
                  <c:v>0.63741898148148146</c:v>
                </c:pt>
                <c:pt idx="79">
                  <c:v>0.63776620370370374</c:v>
                </c:pt>
                <c:pt idx="80">
                  <c:v>0.6381134259259259</c:v>
                </c:pt>
                <c:pt idx="81">
                  <c:v>0.63846064814814818</c:v>
                </c:pt>
                <c:pt idx="82">
                  <c:v>0.63880787037037035</c:v>
                </c:pt>
                <c:pt idx="83">
                  <c:v>0.63915509259259262</c:v>
                </c:pt>
                <c:pt idx="84">
                  <c:v>0.63950231481481479</c:v>
                </c:pt>
                <c:pt idx="85">
                  <c:v>0.63984953703703706</c:v>
                </c:pt>
                <c:pt idx="86">
                  <c:v>0.64019675925925923</c:v>
                </c:pt>
                <c:pt idx="87">
                  <c:v>0.64054398148148151</c:v>
                </c:pt>
                <c:pt idx="88">
                  <c:v>0.64089120370370367</c:v>
                </c:pt>
                <c:pt idx="89">
                  <c:v>0.64123842592592595</c:v>
                </c:pt>
                <c:pt idx="90">
                  <c:v>0.64158564814814811</c:v>
                </c:pt>
                <c:pt idx="91">
                  <c:v>0.64193287037037039</c:v>
                </c:pt>
                <c:pt idx="92">
                  <c:v>0.64228009259259256</c:v>
                </c:pt>
                <c:pt idx="93">
                  <c:v>0.64262731481481483</c:v>
                </c:pt>
                <c:pt idx="94">
                  <c:v>0.642974537037037</c:v>
                </c:pt>
                <c:pt idx="95">
                  <c:v>0.64332175925925927</c:v>
                </c:pt>
                <c:pt idx="96">
                  <c:v>0.64366898148148144</c:v>
                </c:pt>
                <c:pt idx="97">
                  <c:v>0.64401620370370372</c:v>
                </c:pt>
                <c:pt idx="98">
                  <c:v>0.64436342592592588</c:v>
                </c:pt>
                <c:pt idx="99">
                  <c:v>0.64471064814814816</c:v>
                </c:pt>
                <c:pt idx="100">
                  <c:v>0.64505787037037032</c:v>
                </c:pt>
                <c:pt idx="101">
                  <c:v>0.6454050925925926</c:v>
                </c:pt>
                <c:pt idx="102">
                  <c:v>0.64575231481481477</c:v>
                </c:pt>
                <c:pt idx="103">
                  <c:v>0.64609953703703704</c:v>
                </c:pt>
                <c:pt idx="104">
                  <c:v>0.64644675925925921</c:v>
                </c:pt>
                <c:pt idx="105">
                  <c:v>0.64679398148148148</c:v>
                </c:pt>
                <c:pt idx="106">
                  <c:v>0.64714120370370365</c:v>
                </c:pt>
                <c:pt idx="107">
                  <c:v>0.64748842592592593</c:v>
                </c:pt>
                <c:pt idx="108">
                  <c:v>0.6478356481481482</c:v>
                </c:pt>
                <c:pt idx="109">
                  <c:v>0.64818287037037037</c:v>
                </c:pt>
                <c:pt idx="110">
                  <c:v>0.64853009259259264</c:v>
                </c:pt>
                <c:pt idx="111">
                  <c:v>0.64887731481481481</c:v>
                </c:pt>
                <c:pt idx="112">
                  <c:v>0.64922453703703709</c:v>
                </c:pt>
                <c:pt idx="113">
                  <c:v>0.64957175925925925</c:v>
                </c:pt>
                <c:pt idx="114">
                  <c:v>0.64991898148148153</c:v>
                </c:pt>
                <c:pt idx="115">
                  <c:v>0.65026620370370369</c:v>
                </c:pt>
                <c:pt idx="116">
                  <c:v>0.65061342592592597</c:v>
                </c:pt>
                <c:pt idx="117">
                  <c:v>0.65096064814814814</c:v>
                </c:pt>
                <c:pt idx="118">
                  <c:v>0.65130787037037041</c:v>
                </c:pt>
                <c:pt idx="119">
                  <c:v>0.65165509259259258</c:v>
                </c:pt>
              </c:numCache>
            </c:numRef>
          </c:cat>
          <c:val>
            <c:numRef>
              <c:f>'[1]Retort Machine data for F0 calc'!$B$3:$B$122</c:f>
              <c:numCache>
                <c:formatCode>General</c:formatCode>
                <c:ptCount val="120"/>
                <c:pt idx="0">
                  <c:v>34.299999999999997</c:v>
                </c:pt>
                <c:pt idx="1">
                  <c:v>34.299999999999997</c:v>
                </c:pt>
                <c:pt idx="2">
                  <c:v>34.299999999999997</c:v>
                </c:pt>
                <c:pt idx="3">
                  <c:v>34.6</c:v>
                </c:pt>
                <c:pt idx="4">
                  <c:v>35</c:v>
                </c:pt>
                <c:pt idx="5">
                  <c:v>37.4</c:v>
                </c:pt>
                <c:pt idx="6">
                  <c:v>43</c:v>
                </c:pt>
                <c:pt idx="7">
                  <c:v>49.5</c:v>
                </c:pt>
                <c:pt idx="8">
                  <c:v>54.7</c:v>
                </c:pt>
                <c:pt idx="9">
                  <c:v>59.5</c:v>
                </c:pt>
                <c:pt idx="10">
                  <c:v>63.1</c:v>
                </c:pt>
                <c:pt idx="11">
                  <c:v>67.099999999999994</c:v>
                </c:pt>
                <c:pt idx="12">
                  <c:v>72.400000000000006</c:v>
                </c:pt>
                <c:pt idx="13">
                  <c:v>76.3</c:v>
                </c:pt>
                <c:pt idx="14">
                  <c:v>78.900000000000006</c:v>
                </c:pt>
                <c:pt idx="15">
                  <c:v>80.8</c:v>
                </c:pt>
                <c:pt idx="16">
                  <c:v>82.5</c:v>
                </c:pt>
                <c:pt idx="17">
                  <c:v>83.8</c:v>
                </c:pt>
                <c:pt idx="18">
                  <c:v>85.9</c:v>
                </c:pt>
                <c:pt idx="19">
                  <c:v>87</c:v>
                </c:pt>
                <c:pt idx="20">
                  <c:v>87.9</c:v>
                </c:pt>
                <c:pt idx="21">
                  <c:v>88.5</c:v>
                </c:pt>
                <c:pt idx="22">
                  <c:v>88.7</c:v>
                </c:pt>
                <c:pt idx="23">
                  <c:v>90.2</c:v>
                </c:pt>
                <c:pt idx="24">
                  <c:v>90.8</c:v>
                </c:pt>
                <c:pt idx="25">
                  <c:v>91.5</c:v>
                </c:pt>
                <c:pt idx="26">
                  <c:v>92.2</c:v>
                </c:pt>
                <c:pt idx="27">
                  <c:v>94.2</c:v>
                </c:pt>
                <c:pt idx="28">
                  <c:v>96.1</c:v>
                </c:pt>
                <c:pt idx="29">
                  <c:v>97.7</c:v>
                </c:pt>
                <c:pt idx="30">
                  <c:v>99.3</c:v>
                </c:pt>
                <c:pt idx="31">
                  <c:v>100.9</c:v>
                </c:pt>
                <c:pt idx="32">
                  <c:v>102.9</c:v>
                </c:pt>
                <c:pt idx="33">
                  <c:v>106.7</c:v>
                </c:pt>
                <c:pt idx="34">
                  <c:v>109.7</c:v>
                </c:pt>
                <c:pt idx="35">
                  <c:v>111.2</c:v>
                </c:pt>
                <c:pt idx="36">
                  <c:v>113.1</c:v>
                </c:pt>
                <c:pt idx="37">
                  <c:v>114.3</c:v>
                </c:pt>
                <c:pt idx="38">
                  <c:v>115.3</c:v>
                </c:pt>
                <c:pt idx="39">
                  <c:v>116.8</c:v>
                </c:pt>
                <c:pt idx="40">
                  <c:v>118</c:v>
                </c:pt>
                <c:pt idx="41">
                  <c:v>118.9</c:v>
                </c:pt>
                <c:pt idx="42">
                  <c:v>119.8</c:v>
                </c:pt>
                <c:pt idx="43">
                  <c:v>120.6</c:v>
                </c:pt>
                <c:pt idx="44">
                  <c:v>121</c:v>
                </c:pt>
                <c:pt idx="45">
                  <c:v>121.4</c:v>
                </c:pt>
                <c:pt idx="46">
                  <c:v>120.8</c:v>
                </c:pt>
                <c:pt idx="47">
                  <c:v>119.9</c:v>
                </c:pt>
                <c:pt idx="48">
                  <c:v>122.5</c:v>
                </c:pt>
                <c:pt idx="49">
                  <c:v>121.2</c:v>
                </c:pt>
                <c:pt idx="50">
                  <c:v>121.8</c:v>
                </c:pt>
                <c:pt idx="51">
                  <c:v>122.5</c:v>
                </c:pt>
                <c:pt idx="52">
                  <c:v>122.2</c:v>
                </c:pt>
                <c:pt idx="53">
                  <c:v>121.6</c:v>
                </c:pt>
                <c:pt idx="54">
                  <c:v>122.7</c:v>
                </c:pt>
                <c:pt idx="55">
                  <c:v>120.9</c:v>
                </c:pt>
                <c:pt idx="56">
                  <c:v>123.2</c:v>
                </c:pt>
                <c:pt idx="57">
                  <c:v>121</c:v>
                </c:pt>
                <c:pt idx="58">
                  <c:v>123.4</c:v>
                </c:pt>
                <c:pt idx="59">
                  <c:v>122</c:v>
                </c:pt>
                <c:pt idx="60">
                  <c:v>121.9</c:v>
                </c:pt>
                <c:pt idx="61">
                  <c:v>122.1</c:v>
                </c:pt>
                <c:pt idx="62">
                  <c:v>120.9</c:v>
                </c:pt>
                <c:pt idx="63">
                  <c:v>123</c:v>
                </c:pt>
                <c:pt idx="64">
                  <c:v>120.9</c:v>
                </c:pt>
                <c:pt idx="65">
                  <c:v>123.6</c:v>
                </c:pt>
                <c:pt idx="66">
                  <c:v>122</c:v>
                </c:pt>
                <c:pt idx="67">
                  <c:v>121.6</c:v>
                </c:pt>
                <c:pt idx="68">
                  <c:v>122.6</c:v>
                </c:pt>
                <c:pt idx="69">
                  <c:v>121.2</c:v>
                </c:pt>
                <c:pt idx="70">
                  <c:v>123.4</c:v>
                </c:pt>
                <c:pt idx="71">
                  <c:v>122.3</c:v>
                </c:pt>
                <c:pt idx="72">
                  <c:v>120.7</c:v>
                </c:pt>
                <c:pt idx="73">
                  <c:v>123.8</c:v>
                </c:pt>
                <c:pt idx="74">
                  <c:v>122.3</c:v>
                </c:pt>
                <c:pt idx="75">
                  <c:v>120.9</c:v>
                </c:pt>
                <c:pt idx="76">
                  <c:v>123.3</c:v>
                </c:pt>
                <c:pt idx="77">
                  <c:v>121.9</c:v>
                </c:pt>
                <c:pt idx="78">
                  <c:v>121.3</c:v>
                </c:pt>
                <c:pt idx="79">
                  <c:v>123</c:v>
                </c:pt>
                <c:pt idx="80">
                  <c:v>121.8</c:v>
                </c:pt>
                <c:pt idx="81">
                  <c:v>121.6</c:v>
                </c:pt>
                <c:pt idx="82">
                  <c:v>122.8</c:v>
                </c:pt>
                <c:pt idx="83">
                  <c:v>121.4</c:v>
                </c:pt>
                <c:pt idx="84">
                  <c:v>122.4</c:v>
                </c:pt>
                <c:pt idx="85">
                  <c:v>115.6</c:v>
                </c:pt>
                <c:pt idx="86">
                  <c:v>111.9</c:v>
                </c:pt>
                <c:pt idx="87">
                  <c:v>106.9</c:v>
                </c:pt>
                <c:pt idx="88">
                  <c:v>88</c:v>
                </c:pt>
                <c:pt idx="89">
                  <c:v>81.2</c:v>
                </c:pt>
                <c:pt idx="90">
                  <c:v>76.900000000000006</c:v>
                </c:pt>
                <c:pt idx="91">
                  <c:v>73.099999999999994</c:v>
                </c:pt>
                <c:pt idx="92">
                  <c:v>69.7</c:v>
                </c:pt>
                <c:pt idx="93">
                  <c:v>66.7</c:v>
                </c:pt>
                <c:pt idx="94">
                  <c:v>64.3</c:v>
                </c:pt>
                <c:pt idx="95">
                  <c:v>62.1</c:v>
                </c:pt>
                <c:pt idx="96">
                  <c:v>60.2</c:v>
                </c:pt>
                <c:pt idx="97">
                  <c:v>58.3</c:v>
                </c:pt>
                <c:pt idx="98">
                  <c:v>56.8</c:v>
                </c:pt>
                <c:pt idx="99">
                  <c:v>55.2</c:v>
                </c:pt>
                <c:pt idx="100">
                  <c:v>53.8</c:v>
                </c:pt>
                <c:pt idx="101">
                  <c:v>52.6</c:v>
                </c:pt>
                <c:pt idx="102">
                  <c:v>51.4</c:v>
                </c:pt>
                <c:pt idx="103">
                  <c:v>50.3</c:v>
                </c:pt>
                <c:pt idx="104">
                  <c:v>49.3</c:v>
                </c:pt>
                <c:pt idx="105">
                  <c:v>48.3</c:v>
                </c:pt>
                <c:pt idx="106">
                  <c:v>47.5</c:v>
                </c:pt>
                <c:pt idx="107">
                  <c:v>46.7</c:v>
                </c:pt>
                <c:pt idx="108">
                  <c:v>46.1</c:v>
                </c:pt>
                <c:pt idx="109">
                  <c:v>45.4</c:v>
                </c:pt>
                <c:pt idx="110">
                  <c:v>45</c:v>
                </c:pt>
                <c:pt idx="111">
                  <c:v>44.9</c:v>
                </c:pt>
                <c:pt idx="112">
                  <c:v>44.8</c:v>
                </c:pt>
                <c:pt idx="113">
                  <c:v>44.7</c:v>
                </c:pt>
                <c:pt idx="114">
                  <c:v>44.7</c:v>
                </c:pt>
                <c:pt idx="115">
                  <c:v>44.7</c:v>
                </c:pt>
                <c:pt idx="116">
                  <c:v>44.8</c:v>
                </c:pt>
                <c:pt idx="117">
                  <c:v>45</c:v>
                </c:pt>
                <c:pt idx="118">
                  <c:v>45</c:v>
                </c:pt>
                <c:pt idx="11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1-4362-B804-95492D70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552720"/>
        <c:axId val="1926550800"/>
      </c:lineChart>
      <c:catAx>
        <c:axId val="192655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50800"/>
        <c:crosses val="autoZero"/>
        <c:auto val="1"/>
        <c:lblAlgn val="ctr"/>
        <c:lblOffset val="100"/>
        <c:noMultiLvlLbl val="0"/>
      </c:catAx>
      <c:valAx>
        <c:axId val="19265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5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TRIAL</a:t>
            </a:r>
            <a:r>
              <a:rPr lang="en-US" b="1" baseline="0"/>
              <a:t> 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'[1]Retort Machine data for F0 calc'!$B$415</c:f>
              <c:strCache>
                <c:ptCount val="1"/>
                <c:pt idx="0">
                  <c:v>Temprature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'[1]Retort Machine data for F0 calc'!$A$416:$A$537</c:f>
              <c:numCache>
                <c:formatCode>General</c:formatCode>
                <c:ptCount val="122"/>
                <c:pt idx="0">
                  <c:v>0.66609953703703706</c:v>
                </c:pt>
                <c:pt idx="1">
                  <c:v>0.66645833333333337</c:v>
                </c:pt>
                <c:pt idx="2">
                  <c:v>0.66680555555555554</c:v>
                </c:pt>
                <c:pt idx="3">
                  <c:v>0.66714120370370367</c:v>
                </c:pt>
                <c:pt idx="4">
                  <c:v>0.66748842592592594</c:v>
                </c:pt>
                <c:pt idx="5">
                  <c:v>0.66783564814814811</c:v>
                </c:pt>
                <c:pt idx="6">
                  <c:v>0.66818287037037039</c:v>
                </c:pt>
                <c:pt idx="7">
                  <c:v>0.6685416666666667</c:v>
                </c:pt>
                <c:pt idx="8">
                  <c:v>0.66887731481481483</c:v>
                </c:pt>
                <c:pt idx="9">
                  <c:v>0.66922453703703699</c:v>
                </c:pt>
                <c:pt idx="10">
                  <c:v>0.66958333333333331</c:v>
                </c:pt>
                <c:pt idx="11">
                  <c:v>0.66991898148148143</c:v>
                </c:pt>
                <c:pt idx="12">
                  <c:v>0.67026620370370371</c:v>
                </c:pt>
                <c:pt idx="13">
                  <c:v>0.67062500000000003</c:v>
                </c:pt>
                <c:pt idx="14">
                  <c:v>0.67097222222222219</c:v>
                </c:pt>
                <c:pt idx="15">
                  <c:v>0.67131944444444447</c:v>
                </c:pt>
                <c:pt idx="16">
                  <c:v>0.6716550925925926</c:v>
                </c:pt>
                <c:pt idx="17">
                  <c:v>0.67200231481481476</c:v>
                </c:pt>
                <c:pt idx="18">
                  <c:v>0.67234953703703704</c:v>
                </c:pt>
                <c:pt idx="19">
                  <c:v>0.67270833333333335</c:v>
                </c:pt>
                <c:pt idx="20">
                  <c:v>0.67305555555555552</c:v>
                </c:pt>
                <c:pt idx="21">
                  <c:v>0.67340277777777779</c:v>
                </c:pt>
                <c:pt idx="22">
                  <c:v>0.67374999999999996</c:v>
                </c:pt>
                <c:pt idx="23">
                  <c:v>0.6740856481481482</c:v>
                </c:pt>
                <c:pt idx="24">
                  <c:v>0.6744444444444444</c:v>
                </c:pt>
                <c:pt idx="25">
                  <c:v>0.67479166666666668</c:v>
                </c:pt>
                <c:pt idx="26">
                  <c:v>0.67513888888888884</c:v>
                </c:pt>
                <c:pt idx="27">
                  <c:v>0.67548611111111112</c:v>
                </c:pt>
                <c:pt idx="28">
                  <c:v>0.67583333333333329</c:v>
                </c:pt>
                <c:pt idx="29">
                  <c:v>0.67616898148148152</c:v>
                </c:pt>
                <c:pt idx="30">
                  <c:v>0.67652777777777773</c:v>
                </c:pt>
                <c:pt idx="31">
                  <c:v>0.67686342592592597</c:v>
                </c:pt>
                <c:pt idx="32">
                  <c:v>0.67722222222222217</c:v>
                </c:pt>
                <c:pt idx="33">
                  <c:v>0.67755787037037041</c:v>
                </c:pt>
                <c:pt idx="34">
                  <c:v>0.67791666666666661</c:v>
                </c:pt>
                <c:pt idx="35">
                  <c:v>0.67825231481481485</c:v>
                </c:pt>
                <c:pt idx="36">
                  <c:v>0.67859953703703701</c:v>
                </c:pt>
                <c:pt idx="37">
                  <c:v>0.67894675925925929</c:v>
                </c:pt>
                <c:pt idx="38">
                  <c:v>0.67930555555555561</c:v>
                </c:pt>
                <c:pt idx="39">
                  <c:v>0.67965277777777777</c:v>
                </c:pt>
                <c:pt idx="40">
                  <c:v>0.68</c:v>
                </c:pt>
                <c:pt idx="41">
                  <c:v>0.68033564814814818</c:v>
                </c:pt>
                <c:pt idx="42">
                  <c:v>0.68068287037037034</c:v>
                </c:pt>
                <c:pt idx="43">
                  <c:v>0.68103009259259262</c:v>
                </c:pt>
                <c:pt idx="44">
                  <c:v>0.68138888888888893</c:v>
                </c:pt>
                <c:pt idx="45">
                  <c:v>0.6817361111111111</c:v>
                </c:pt>
                <c:pt idx="46">
                  <c:v>0.68208333333333337</c:v>
                </c:pt>
                <c:pt idx="47">
                  <c:v>0.68243055555555554</c:v>
                </c:pt>
                <c:pt idx="48">
                  <c:v>0.68277777777777782</c:v>
                </c:pt>
                <c:pt idx="49">
                  <c:v>0.68312499999999998</c:v>
                </c:pt>
                <c:pt idx="50">
                  <c:v>0.68346064814814811</c:v>
                </c:pt>
                <c:pt idx="51">
                  <c:v>0.68381944444444442</c:v>
                </c:pt>
                <c:pt idx="52">
                  <c:v>0.6841666666666667</c:v>
                </c:pt>
                <c:pt idx="53">
                  <c:v>0.68451388888888887</c:v>
                </c:pt>
                <c:pt idx="54">
                  <c:v>0.68486111111111114</c:v>
                </c:pt>
                <c:pt idx="55">
                  <c:v>0.68519675925925927</c:v>
                </c:pt>
                <c:pt idx="56">
                  <c:v>0.68555555555555558</c:v>
                </c:pt>
                <c:pt idx="57">
                  <c:v>0.68590277777777775</c:v>
                </c:pt>
                <c:pt idx="58">
                  <c:v>0.68625000000000003</c:v>
                </c:pt>
                <c:pt idx="59">
                  <c:v>0.68659722222222219</c:v>
                </c:pt>
                <c:pt idx="60">
                  <c:v>0.68694444444444447</c:v>
                </c:pt>
                <c:pt idx="61">
                  <c:v>0.6872800925925926</c:v>
                </c:pt>
                <c:pt idx="62">
                  <c:v>0.68763888888888891</c:v>
                </c:pt>
                <c:pt idx="63">
                  <c:v>0.68798611111111108</c:v>
                </c:pt>
                <c:pt idx="64">
                  <c:v>0.68833333333333335</c:v>
                </c:pt>
                <c:pt idx="65">
                  <c:v>0.68866898148148148</c:v>
                </c:pt>
                <c:pt idx="66">
                  <c:v>0.68901620370370376</c:v>
                </c:pt>
                <c:pt idx="67">
                  <c:v>0.68936342592592592</c:v>
                </c:pt>
                <c:pt idx="68">
                  <c:v>0.68972222222222224</c:v>
                </c:pt>
                <c:pt idx="69">
                  <c:v>0.69005787037037036</c:v>
                </c:pt>
                <c:pt idx="70">
                  <c:v>0.69041666666666668</c:v>
                </c:pt>
                <c:pt idx="71">
                  <c:v>0.69076388888888884</c:v>
                </c:pt>
                <c:pt idx="72">
                  <c:v>0.69111111111111112</c:v>
                </c:pt>
                <c:pt idx="73">
                  <c:v>0.69145833333333329</c:v>
                </c:pt>
                <c:pt idx="74">
                  <c:v>0.69180555555555556</c:v>
                </c:pt>
                <c:pt idx="75">
                  <c:v>0.69215277777777773</c:v>
                </c:pt>
                <c:pt idx="76">
                  <c:v>0.6925</c:v>
                </c:pt>
                <c:pt idx="77">
                  <c:v>0.69283564814814813</c:v>
                </c:pt>
                <c:pt idx="78">
                  <c:v>0.69319444444444445</c:v>
                </c:pt>
                <c:pt idx="79">
                  <c:v>0.69354166666666661</c:v>
                </c:pt>
                <c:pt idx="80">
                  <c:v>0.69388888888888889</c:v>
                </c:pt>
                <c:pt idx="81">
                  <c:v>0.69423611111111116</c:v>
                </c:pt>
                <c:pt idx="82">
                  <c:v>0.69458333333333333</c:v>
                </c:pt>
                <c:pt idx="83">
                  <c:v>0.69493055555555561</c:v>
                </c:pt>
                <c:pt idx="84">
                  <c:v>0.69527777777777777</c:v>
                </c:pt>
                <c:pt idx="85">
                  <c:v>0.69562500000000005</c:v>
                </c:pt>
                <c:pt idx="86">
                  <c:v>0.69597222222222221</c:v>
                </c:pt>
                <c:pt idx="87">
                  <c:v>0.69631944444444449</c:v>
                </c:pt>
                <c:pt idx="88">
                  <c:v>0.69666666666666666</c:v>
                </c:pt>
                <c:pt idx="89">
                  <c:v>0.69701388888888893</c:v>
                </c:pt>
                <c:pt idx="90">
                  <c:v>0.6973611111111111</c:v>
                </c:pt>
                <c:pt idx="91">
                  <c:v>0.69770833333333337</c:v>
                </c:pt>
                <c:pt idx="92">
                  <c:v>0.69805555555555554</c:v>
                </c:pt>
                <c:pt idx="93">
                  <c:v>0.69840277777777782</c:v>
                </c:pt>
                <c:pt idx="94">
                  <c:v>0.69874999999999998</c:v>
                </c:pt>
                <c:pt idx="95">
                  <c:v>0.69909722222222226</c:v>
                </c:pt>
                <c:pt idx="96">
                  <c:v>0.69944444444444442</c:v>
                </c:pt>
                <c:pt idx="97">
                  <c:v>0.6997916666666667</c:v>
                </c:pt>
                <c:pt idx="98">
                  <c:v>0.70013888888888887</c:v>
                </c:pt>
                <c:pt idx="99">
                  <c:v>0.70048611111111114</c:v>
                </c:pt>
                <c:pt idx="100">
                  <c:v>0.70083333333333331</c:v>
                </c:pt>
                <c:pt idx="101">
                  <c:v>0.70118055555555558</c:v>
                </c:pt>
                <c:pt idx="102">
                  <c:v>0.70152777777777775</c:v>
                </c:pt>
                <c:pt idx="103">
                  <c:v>0.70187500000000003</c:v>
                </c:pt>
                <c:pt idx="104">
                  <c:v>0.70222222222222219</c:v>
                </c:pt>
                <c:pt idx="105">
                  <c:v>0.70256944444444447</c:v>
                </c:pt>
                <c:pt idx="106">
                  <c:v>0.70291666666666663</c:v>
                </c:pt>
                <c:pt idx="107">
                  <c:v>0.70326388888888891</c:v>
                </c:pt>
                <c:pt idx="108">
                  <c:v>0.70361111111111108</c:v>
                </c:pt>
                <c:pt idx="109">
                  <c:v>0.70395833333333335</c:v>
                </c:pt>
                <c:pt idx="110">
                  <c:v>0.70430555555555552</c:v>
                </c:pt>
                <c:pt idx="111">
                  <c:v>0.70465277777777779</c:v>
                </c:pt>
                <c:pt idx="112">
                  <c:v>0.70499999999999996</c:v>
                </c:pt>
                <c:pt idx="113">
                  <c:v>0.70534722222222224</c:v>
                </c:pt>
                <c:pt idx="114">
                  <c:v>0.7056944444444444</c:v>
                </c:pt>
                <c:pt idx="115">
                  <c:v>0.70604166666666668</c:v>
                </c:pt>
                <c:pt idx="116">
                  <c:v>0.70638888888888884</c:v>
                </c:pt>
                <c:pt idx="117">
                  <c:v>0.70673611111111112</c:v>
                </c:pt>
                <c:pt idx="118">
                  <c:v>0.70708333333333329</c:v>
                </c:pt>
                <c:pt idx="119">
                  <c:v>0.70743055555555556</c:v>
                </c:pt>
                <c:pt idx="120">
                  <c:v>0.70777777777777773</c:v>
                </c:pt>
                <c:pt idx="121">
                  <c:v>0.708125</c:v>
                </c:pt>
              </c:numCache>
            </c:numRef>
          </c:cat>
          <c:val>
            <c:numRef>
              <c:f>'[1]Retort Machine data for F0 calc'!$B$416:$B$537</c:f>
              <c:numCache>
                <c:formatCode>General</c:formatCode>
                <c:ptCount val="122"/>
                <c:pt idx="0">
                  <c:v>34.700000000000003</c:v>
                </c:pt>
                <c:pt idx="1">
                  <c:v>34.700000000000003</c:v>
                </c:pt>
                <c:pt idx="2">
                  <c:v>34.700000000000003</c:v>
                </c:pt>
                <c:pt idx="3">
                  <c:v>34.700000000000003</c:v>
                </c:pt>
                <c:pt idx="4">
                  <c:v>34.700000000000003</c:v>
                </c:pt>
                <c:pt idx="5">
                  <c:v>34.700000000000003</c:v>
                </c:pt>
                <c:pt idx="6">
                  <c:v>34.700000000000003</c:v>
                </c:pt>
                <c:pt idx="7">
                  <c:v>34.700000000000003</c:v>
                </c:pt>
                <c:pt idx="8">
                  <c:v>34.700000000000003</c:v>
                </c:pt>
                <c:pt idx="9">
                  <c:v>34.700000000000003</c:v>
                </c:pt>
                <c:pt idx="10">
                  <c:v>35</c:v>
                </c:pt>
                <c:pt idx="11">
                  <c:v>35.4</c:v>
                </c:pt>
                <c:pt idx="12">
                  <c:v>36.9</c:v>
                </c:pt>
                <c:pt idx="13">
                  <c:v>41.5</c:v>
                </c:pt>
                <c:pt idx="14">
                  <c:v>46.7</c:v>
                </c:pt>
                <c:pt idx="15">
                  <c:v>53.4</c:v>
                </c:pt>
                <c:pt idx="16">
                  <c:v>58.3</c:v>
                </c:pt>
                <c:pt idx="17">
                  <c:v>63.3</c:v>
                </c:pt>
                <c:pt idx="18">
                  <c:v>66.2</c:v>
                </c:pt>
                <c:pt idx="19">
                  <c:v>71.400000000000006</c:v>
                </c:pt>
                <c:pt idx="20">
                  <c:v>76.400000000000006</c:v>
                </c:pt>
                <c:pt idx="21">
                  <c:v>80.400000000000006</c:v>
                </c:pt>
                <c:pt idx="22">
                  <c:v>83.1</c:v>
                </c:pt>
                <c:pt idx="23">
                  <c:v>84.5</c:v>
                </c:pt>
                <c:pt idx="24">
                  <c:v>86.4</c:v>
                </c:pt>
                <c:pt idx="25">
                  <c:v>87.9</c:v>
                </c:pt>
                <c:pt idx="26">
                  <c:v>88.6</c:v>
                </c:pt>
                <c:pt idx="27">
                  <c:v>88.9</c:v>
                </c:pt>
                <c:pt idx="28">
                  <c:v>90.6</c:v>
                </c:pt>
                <c:pt idx="29">
                  <c:v>91.7</c:v>
                </c:pt>
                <c:pt idx="30">
                  <c:v>92.3</c:v>
                </c:pt>
                <c:pt idx="31">
                  <c:v>92.6</c:v>
                </c:pt>
                <c:pt idx="32">
                  <c:v>93.3</c:v>
                </c:pt>
                <c:pt idx="33">
                  <c:v>93.3</c:v>
                </c:pt>
                <c:pt idx="34">
                  <c:v>93.8</c:v>
                </c:pt>
                <c:pt idx="35">
                  <c:v>93.9</c:v>
                </c:pt>
                <c:pt idx="36">
                  <c:v>93</c:v>
                </c:pt>
                <c:pt idx="37">
                  <c:v>96.2</c:v>
                </c:pt>
                <c:pt idx="38">
                  <c:v>99.2</c:v>
                </c:pt>
                <c:pt idx="39">
                  <c:v>102.1</c:v>
                </c:pt>
                <c:pt idx="40">
                  <c:v>104.1</c:v>
                </c:pt>
                <c:pt idx="41">
                  <c:v>106.7</c:v>
                </c:pt>
                <c:pt idx="42">
                  <c:v>106</c:v>
                </c:pt>
                <c:pt idx="43">
                  <c:v>107.3</c:v>
                </c:pt>
                <c:pt idx="44">
                  <c:v>110.3</c:v>
                </c:pt>
                <c:pt idx="45">
                  <c:v>113</c:v>
                </c:pt>
                <c:pt idx="46">
                  <c:v>115</c:v>
                </c:pt>
                <c:pt idx="47">
                  <c:v>116.9</c:v>
                </c:pt>
                <c:pt idx="48">
                  <c:v>118.6</c:v>
                </c:pt>
                <c:pt idx="49">
                  <c:v>120.7</c:v>
                </c:pt>
                <c:pt idx="50">
                  <c:v>118.5</c:v>
                </c:pt>
                <c:pt idx="51">
                  <c:v>118.2</c:v>
                </c:pt>
                <c:pt idx="52">
                  <c:v>118.6</c:v>
                </c:pt>
                <c:pt idx="53">
                  <c:v>121.5</c:v>
                </c:pt>
                <c:pt idx="54">
                  <c:v>124.1</c:v>
                </c:pt>
                <c:pt idx="55">
                  <c:v>120.9</c:v>
                </c:pt>
                <c:pt idx="56">
                  <c:v>122.6</c:v>
                </c:pt>
                <c:pt idx="57">
                  <c:v>124.7</c:v>
                </c:pt>
                <c:pt idx="58">
                  <c:v>120.7</c:v>
                </c:pt>
                <c:pt idx="59">
                  <c:v>123.5</c:v>
                </c:pt>
                <c:pt idx="60">
                  <c:v>123.2</c:v>
                </c:pt>
                <c:pt idx="61">
                  <c:v>121.6</c:v>
                </c:pt>
                <c:pt idx="62">
                  <c:v>124.5</c:v>
                </c:pt>
                <c:pt idx="63">
                  <c:v>121.8</c:v>
                </c:pt>
                <c:pt idx="64">
                  <c:v>122.1</c:v>
                </c:pt>
                <c:pt idx="65">
                  <c:v>124.6</c:v>
                </c:pt>
                <c:pt idx="66">
                  <c:v>120.3</c:v>
                </c:pt>
                <c:pt idx="67">
                  <c:v>123</c:v>
                </c:pt>
                <c:pt idx="68">
                  <c:v>124.6</c:v>
                </c:pt>
                <c:pt idx="69">
                  <c:v>121.1</c:v>
                </c:pt>
                <c:pt idx="70">
                  <c:v>124.5</c:v>
                </c:pt>
                <c:pt idx="71">
                  <c:v>121</c:v>
                </c:pt>
                <c:pt idx="72">
                  <c:v>122.3</c:v>
                </c:pt>
                <c:pt idx="73">
                  <c:v>122.3</c:v>
                </c:pt>
                <c:pt idx="74">
                  <c:v>121.3</c:v>
                </c:pt>
                <c:pt idx="75">
                  <c:v>124</c:v>
                </c:pt>
                <c:pt idx="76">
                  <c:v>121.1</c:v>
                </c:pt>
                <c:pt idx="77">
                  <c:v>122.4</c:v>
                </c:pt>
                <c:pt idx="78">
                  <c:v>123.8</c:v>
                </c:pt>
                <c:pt idx="79">
                  <c:v>120.6</c:v>
                </c:pt>
                <c:pt idx="80">
                  <c:v>120.5</c:v>
                </c:pt>
                <c:pt idx="81">
                  <c:v>115.2</c:v>
                </c:pt>
                <c:pt idx="82">
                  <c:v>112.9</c:v>
                </c:pt>
                <c:pt idx="83">
                  <c:v>105.2</c:v>
                </c:pt>
                <c:pt idx="84">
                  <c:v>87.7</c:v>
                </c:pt>
                <c:pt idx="85">
                  <c:v>81.8</c:v>
                </c:pt>
                <c:pt idx="86">
                  <c:v>77.7</c:v>
                </c:pt>
                <c:pt idx="87">
                  <c:v>73.900000000000006</c:v>
                </c:pt>
                <c:pt idx="88">
                  <c:v>70.599999999999994</c:v>
                </c:pt>
                <c:pt idx="89">
                  <c:v>67.599999999999994</c:v>
                </c:pt>
                <c:pt idx="90">
                  <c:v>65.099999999999994</c:v>
                </c:pt>
                <c:pt idx="91">
                  <c:v>62.9</c:v>
                </c:pt>
                <c:pt idx="92">
                  <c:v>61</c:v>
                </c:pt>
                <c:pt idx="93">
                  <c:v>59.3</c:v>
                </c:pt>
                <c:pt idx="94">
                  <c:v>57.6</c:v>
                </c:pt>
                <c:pt idx="95">
                  <c:v>56.2</c:v>
                </c:pt>
                <c:pt idx="96">
                  <c:v>55</c:v>
                </c:pt>
                <c:pt idx="97">
                  <c:v>53.8</c:v>
                </c:pt>
                <c:pt idx="98">
                  <c:v>53.1</c:v>
                </c:pt>
                <c:pt idx="99">
                  <c:v>52.7</c:v>
                </c:pt>
                <c:pt idx="100">
                  <c:v>52.3</c:v>
                </c:pt>
                <c:pt idx="101">
                  <c:v>50.1</c:v>
                </c:pt>
                <c:pt idx="102">
                  <c:v>49.2</c:v>
                </c:pt>
                <c:pt idx="103">
                  <c:v>48.7</c:v>
                </c:pt>
                <c:pt idx="104">
                  <c:v>47.9</c:v>
                </c:pt>
                <c:pt idx="105">
                  <c:v>47.3</c:v>
                </c:pt>
                <c:pt idx="106">
                  <c:v>46.7</c:v>
                </c:pt>
                <c:pt idx="107">
                  <c:v>46.2</c:v>
                </c:pt>
                <c:pt idx="108">
                  <c:v>45.7</c:v>
                </c:pt>
                <c:pt idx="109">
                  <c:v>45.3</c:v>
                </c:pt>
                <c:pt idx="110">
                  <c:v>44.9</c:v>
                </c:pt>
                <c:pt idx="111">
                  <c:v>44.9</c:v>
                </c:pt>
                <c:pt idx="112">
                  <c:v>44.8</c:v>
                </c:pt>
                <c:pt idx="113">
                  <c:v>44.7</c:v>
                </c:pt>
                <c:pt idx="114">
                  <c:v>44.7</c:v>
                </c:pt>
                <c:pt idx="115">
                  <c:v>44.7</c:v>
                </c:pt>
                <c:pt idx="116">
                  <c:v>44.8</c:v>
                </c:pt>
                <c:pt idx="117">
                  <c:v>45</c:v>
                </c:pt>
                <c:pt idx="118">
                  <c:v>45.1</c:v>
                </c:pt>
                <c:pt idx="119">
                  <c:v>45.1</c:v>
                </c:pt>
                <c:pt idx="120">
                  <c:v>45.1</c:v>
                </c:pt>
                <c:pt idx="12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9-4E52-8C7B-FEABB56D0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440048"/>
        <c:axId val="1994441488"/>
      </c:lineChart>
      <c:catAx>
        <c:axId val="199444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41488"/>
        <c:crosses val="autoZero"/>
        <c:auto val="1"/>
        <c:lblAlgn val="ctr"/>
        <c:lblOffset val="100"/>
        <c:noMultiLvlLbl val="0"/>
      </c:catAx>
      <c:valAx>
        <c:axId val="19944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44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'[1]Retort Machine data for F0 calc'!$B$1276</c:f>
              <c:strCache>
                <c:ptCount val="1"/>
                <c:pt idx="0">
                  <c:v>Temprature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'[1]Retort Machine data for F0 calc'!$A$1277:$A$1430</c:f>
              <c:numCache>
                <c:formatCode>General</c:formatCode>
                <c:ptCount val="154"/>
                <c:pt idx="0">
                  <c:v>0.63509259259259254</c:v>
                </c:pt>
                <c:pt idx="1">
                  <c:v>0.63543981481481482</c:v>
                </c:pt>
                <c:pt idx="2">
                  <c:v>0.63579861111111113</c:v>
                </c:pt>
                <c:pt idx="3">
                  <c:v>0.6361458333333333</c:v>
                </c:pt>
                <c:pt idx="4">
                  <c:v>0.63649305555555558</c:v>
                </c:pt>
                <c:pt idx="5">
                  <c:v>0.63684027777777774</c:v>
                </c:pt>
                <c:pt idx="6">
                  <c:v>0.63717592592592598</c:v>
                </c:pt>
                <c:pt idx="7">
                  <c:v>0.63753472222222218</c:v>
                </c:pt>
                <c:pt idx="8">
                  <c:v>0.63788194444444446</c:v>
                </c:pt>
                <c:pt idx="9">
                  <c:v>0.63822916666666663</c:v>
                </c:pt>
                <c:pt idx="10">
                  <c:v>0.63856481481481486</c:v>
                </c:pt>
                <c:pt idx="11">
                  <c:v>0.63891203703703703</c:v>
                </c:pt>
                <c:pt idx="12">
                  <c:v>0.63927083333333334</c:v>
                </c:pt>
                <c:pt idx="13">
                  <c:v>0.63961805555555551</c:v>
                </c:pt>
                <c:pt idx="14">
                  <c:v>0.63995370370370375</c:v>
                </c:pt>
                <c:pt idx="15">
                  <c:v>0.64031249999999995</c:v>
                </c:pt>
                <c:pt idx="16">
                  <c:v>0.64065972222222223</c:v>
                </c:pt>
                <c:pt idx="17">
                  <c:v>0.64100694444444439</c:v>
                </c:pt>
                <c:pt idx="18">
                  <c:v>0.64135416666666667</c:v>
                </c:pt>
                <c:pt idx="19">
                  <c:v>0.64170138888888884</c:v>
                </c:pt>
                <c:pt idx="20">
                  <c:v>0.64204861111111111</c:v>
                </c:pt>
                <c:pt idx="21">
                  <c:v>0.64239583333333339</c:v>
                </c:pt>
                <c:pt idx="22">
                  <c:v>0.64274305555555555</c:v>
                </c:pt>
                <c:pt idx="23">
                  <c:v>0.64309027777777783</c:v>
                </c:pt>
                <c:pt idx="24">
                  <c:v>0.64342592592592596</c:v>
                </c:pt>
                <c:pt idx="25">
                  <c:v>0.64378472222222227</c:v>
                </c:pt>
                <c:pt idx="26">
                  <c:v>0.64413194444444444</c:v>
                </c:pt>
                <c:pt idx="27">
                  <c:v>0.64446759259259256</c:v>
                </c:pt>
                <c:pt idx="28">
                  <c:v>0.64482638888888888</c:v>
                </c:pt>
                <c:pt idx="29">
                  <c:v>0.64517361111111116</c:v>
                </c:pt>
                <c:pt idx="30">
                  <c:v>0.64552083333333332</c:v>
                </c:pt>
                <c:pt idx="31">
                  <c:v>0.64585648148148145</c:v>
                </c:pt>
                <c:pt idx="32">
                  <c:v>0.64621527777777776</c:v>
                </c:pt>
                <c:pt idx="33">
                  <c:v>0.64656250000000004</c:v>
                </c:pt>
                <c:pt idx="34">
                  <c:v>0.64690972222222221</c:v>
                </c:pt>
                <c:pt idx="35">
                  <c:v>0.64725694444444448</c:v>
                </c:pt>
                <c:pt idx="36">
                  <c:v>0.64760416666666665</c:v>
                </c:pt>
                <c:pt idx="37">
                  <c:v>0.64795138888888892</c:v>
                </c:pt>
                <c:pt idx="38">
                  <c:v>0.64829861111111109</c:v>
                </c:pt>
                <c:pt idx="39">
                  <c:v>0.64863425925925922</c:v>
                </c:pt>
                <c:pt idx="40">
                  <c:v>0.64899305555555553</c:v>
                </c:pt>
                <c:pt idx="41">
                  <c:v>0.64934027777777781</c:v>
                </c:pt>
                <c:pt idx="42">
                  <c:v>0.64968749999999997</c:v>
                </c:pt>
                <c:pt idx="43">
                  <c:v>0.65003472222222225</c:v>
                </c:pt>
                <c:pt idx="44">
                  <c:v>0.65038194444444442</c:v>
                </c:pt>
                <c:pt idx="45">
                  <c:v>0.65072916666666669</c:v>
                </c:pt>
                <c:pt idx="46">
                  <c:v>0.65107638888888886</c:v>
                </c:pt>
                <c:pt idx="47">
                  <c:v>0.65142361111111113</c:v>
                </c:pt>
                <c:pt idx="48">
                  <c:v>0.6517708333333333</c:v>
                </c:pt>
                <c:pt idx="49">
                  <c:v>0.65211805555555558</c:v>
                </c:pt>
                <c:pt idx="50">
                  <c:v>0.65246527777777774</c:v>
                </c:pt>
                <c:pt idx="51">
                  <c:v>0.65281250000000002</c:v>
                </c:pt>
                <c:pt idx="52">
                  <c:v>0.65315972222222218</c:v>
                </c:pt>
                <c:pt idx="53">
                  <c:v>0.65350694444444446</c:v>
                </c:pt>
                <c:pt idx="54">
                  <c:v>0.65385416666666663</c:v>
                </c:pt>
                <c:pt idx="55">
                  <c:v>0.6542013888888889</c:v>
                </c:pt>
                <c:pt idx="56">
                  <c:v>0.65454861111111107</c:v>
                </c:pt>
                <c:pt idx="57">
                  <c:v>0.65489583333333334</c:v>
                </c:pt>
                <c:pt idx="58">
                  <c:v>0.65524305555555551</c:v>
                </c:pt>
                <c:pt idx="59">
                  <c:v>0.65559027777777779</c:v>
                </c:pt>
                <c:pt idx="60">
                  <c:v>0.65593749999999995</c:v>
                </c:pt>
                <c:pt idx="61">
                  <c:v>0.65628472222222223</c:v>
                </c:pt>
                <c:pt idx="62">
                  <c:v>0.65663194444444439</c:v>
                </c:pt>
                <c:pt idx="63">
                  <c:v>0.65697916666666667</c:v>
                </c:pt>
                <c:pt idx="64">
                  <c:v>0.65732638888888884</c:v>
                </c:pt>
                <c:pt idx="65">
                  <c:v>0.65767361111111111</c:v>
                </c:pt>
                <c:pt idx="66">
                  <c:v>0.65802083333333339</c:v>
                </c:pt>
                <c:pt idx="67">
                  <c:v>0.65836805555555555</c:v>
                </c:pt>
                <c:pt idx="68">
                  <c:v>0.65871527777777783</c:v>
                </c:pt>
                <c:pt idx="69">
                  <c:v>0.6590625</c:v>
                </c:pt>
                <c:pt idx="70">
                  <c:v>0.65940972222222227</c:v>
                </c:pt>
                <c:pt idx="71">
                  <c:v>0.65975694444444444</c:v>
                </c:pt>
                <c:pt idx="72">
                  <c:v>0.66010416666666671</c:v>
                </c:pt>
                <c:pt idx="73">
                  <c:v>0.66045138888888888</c:v>
                </c:pt>
                <c:pt idx="74">
                  <c:v>0.66079861111111116</c:v>
                </c:pt>
                <c:pt idx="75">
                  <c:v>0.66114583333333332</c:v>
                </c:pt>
                <c:pt idx="76">
                  <c:v>0.6614930555555556</c:v>
                </c:pt>
                <c:pt idx="77">
                  <c:v>0.66184027777777776</c:v>
                </c:pt>
                <c:pt idx="78">
                  <c:v>0.66218750000000004</c:v>
                </c:pt>
                <c:pt idx="79">
                  <c:v>0.66253472222222221</c:v>
                </c:pt>
                <c:pt idx="80">
                  <c:v>0.66288194444444448</c:v>
                </c:pt>
                <c:pt idx="81">
                  <c:v>0.66322916666666665</c:v>
                </c:pt>
                <c:pt idx="82">
                  <c:v>0.66357638888888892</c:v>
                </c:pt>
                <c:pt idx="83">
                  <c:v>0.66392361111111109</c:v>
                </c:pt>
                <c:pt idx="84">
                  <c:v>0.66427083333333337</c:v>
                </c:pt>
                <c:pt idx="85">
                  <c:v>0.66461805555555553</c:v>
                </c:pt>
                <c:pt idx="86">
                  <c:v>0.66496527777777781</c:v>
                </c:pt>
                <c:pt idx="87">
                  <c:v>0.66531249999999997</c:v>
                </c:pt>
                <c:pt idx="88">
                  <c:v>0.66565972222222225</c:v>
                </c:pt>
                <c:pt idx="89">
                  <c:v>0.66600694444444442</c:v>
                </c:pt>
                <c:pt idx="90">
                  <c:v>0.66635416666666669</c:v>
                </c:pt>
                <c:pt idx="91">
                  <c:v>0.66670138888888886</c:v>
                </c:pt>
                <c:pt idx="92">
                  <c:v>0.66704861111111113</c:v>
                </c:pt>
                <c:pt idx="93">
                  <c:v>0.6673958333333333</c:v>
                </c:pt>
                <c:pt idx="94">
                  <c:v>0.66774305555555558</c:v>
                </c:pt>
                <c:pt idx="95">
                  <c:v>0.66809027777777774</c:v>
                </c:pt>
                <c:pt idx="96">
                  <c:v>0.66843750000000002</c:v>
                </c:pt>
                <c:pt idx="97">
                  <c:v>0.66878472222222218</c:v>
                </c:pt>
                <c:pt idx="98">
                  <c:v>0.66913194444444446</c:v>
                </c:pt>
                <c:pt idx="99">
                  <c:v>0.66947916666666663</c:v>
                </c:pt>
                <c:pt idx="100">
                  <c:v>0.6698263888888889</c:v>
                </c:pt>
                <c:pt idx="101">
                  <c:v>0.67017361111111107</c:v>
                </c:pt>
                <c:pt idx="102">
                  <c:v>0.67052083333333334</c:v>
                </c:pt>
                <c:pt idx="103">
                  <c:v>0.67086805555555551</c:v>
                </c:pt>
                <c:pt idx="104">
                  <c:v>0.67121527777777779</c:v>
                </c:pt>
                <c:pt idx="105">
                  <c:v>0.67156249999999995</c:v>
                </c:pt>
                <c:pt idx="106">
                  <c:v>0.67190972222222223</c:v>
                </c:pt>
                <c:pt idx="107">
                  <c:v>0.67225694444444439</c:v>
                </c:pt>
                <c:pt idx="108">
                  <c:v>0.67260416666666667</c:v>
                </c:pt>
                <c:pt idx="109">
                  <c:v>0.67295138888888884</c:v>
                </c:pt>
                <c:pt idx="110">
                  <c:v>0.67329861111111111</c:v>
                </c:pt>
                <c:pt idx="111">
                  <c:v>0.67364583333333339</c:v>
                </c:pt>
                <c:pt idx="112">
                  <c:v>0.67399305555555555</c:v>
                </c:pt>
                <c:pt idx="113">
                  <c:v>0.67434027777777783</c:v>
                </c:pt>
                <c:pt idx="114">
                  <c:v>0.6746875</c:v>
                </c:pt>
                <c:pt idx="115">
                  <c:v>0.67503472222222227</c:v>
                </c:pt>
                <c:pt idx="116">
                  <c:v>0.67538194444444444</c:v>
                </c:pt>
                <c:pt idx="117">
                  <c:v>0.67572916666666671</c:v>
                </c:pt>
                <c:pt idx="118">
                  <c:v>0.67607638888888888</c:v>
                </c:pt>
                <c:pt idx="119">
                  <c:v>0.67642361111111116</c:v>
                </c:pt>
                <c:pt idx="120">
                  <c:v>0.67677083333333332</c:v>
                </c:pt>
                <c:pt idx="121">
                  <c:v>0.6771180555555556</c:v>
                </c:pt>
                <c:pt idx="122">
                  <c:v>0.67746527777777776</c:v>
                </c:pt>
                <c:pt idx="123">
                  <c:v>0.67781250000000004</c:v>
                </c:pt>
                <c:pt idx="124">
                  <c:v>0.67815972222222221</c:v>
                </c:pt>
                <c:pt idx="125">
                  <c:v>0.67850694444444448</c:v>
                </c:pt>
                <c:pt idx="126">
                  <c:v>0.67885416666666665</c:v>
                </c:pt>
                <c:pt idx="127">
                  <c:v>0.67920138888888892</c:v>
                </c:pt>
                <c:pt idx="128">
                  <c:v>0.67954861111111109</c:v>
                </c:pt>
                <c:pt idx="129">
                  <c:v>0.67989583333333337</c:v>
                </c:pt>
                <c:pt idx="130">
                  <c:v>0.68024305555555553</c:v>
                </c:pt>
                <c:pt idx="131">
                  <c:v>0.68059027777777781</c:v>
                </c:pt>
                <c:pt idx="132">
                  <c:v>0.68093749999999997</c:v>
                </c:pt>
                <c:pt idx="133">
                  <c:v>0.68128472222222225</c:v>
                </c:pt>
                <c:pt idx="134">
                  <c:v>0.68163194444444442</c:v>
                </c:pt>
                <c:pt idx="135">
                  <c:v>0.68197916666666669</c:v>
                </c:pt>
                <c:pt idx="136">
                  <c:v>0.68232638888888886</c:v>
                </c:pt>
                <c:pt idx="137">
                  <c:v>0.68267361111111113</c:v>
                </c:pt>
                <c:pt idx="138">
                  <c:v>0.6830208333333333</c:v>
                </c:pt>
                <c:pt idx="139">
                  <c:v>0.68336805555555558</c:v>
                </c:pt>
                <c:pt idx="140">
                  <c:v>0.68371527777777774</c:v>
                </c:pt>
                <c:pt idx="141">
                  <c:v>0.68406250000000002</c:v>
                </c:pt>
                <c:pt idx="142">
                  <c:v>0.68440972222222218</c:v>
                </c:pt>
                <c:pt idx="143">
                  <c:v>0.68475694444444446</c:v>
                </c:pt>
                <c:pt idx="144">
                  <c:v>0.68510416666666663</c:v>
                </c:pt>
                <c:pt idx="145">
                  <c:v>0.6854513888888889</c:v>
                </c:pt>
                <c:pt idx="146">
                  <c:v>0.68579861111111107</c:v>
                </c:pt>
                <c:pt idx="147">
                  <c:v>0.68614583333333334</c:v>
                </c:pt>
                <c:pt idx="148">
                  <c:v>0.68649305555555551</c:v>
                </c:pt>
                <c:pt idx="149">
                  <c:v>0.68684027777777779</c:v>
                </c:pt>
                <c:pt idx="150">
                  <c:v>0.68718749999999995</c:v>
                </c:pt>
                <c:pt idx="151">
                  <c:v>0.68753472222222223</c:v>
                </c:pt>
                <c:pt idx="152">
                  <c:v>0.68788194444444439</c:v>
                </c:pt>
                <c:pt idx="153">
                  <c:v>0.68822916666666667</c:v>
                </c:pt>
              </c:numCache>
            </c:numRef>
          </c:cat>
          <c:val>
            <c:numRef>
              <c:f>'[1]Retort Machine data for F0 calc'!$B$1277:$B$1430</c:f>
              <c:numCache>
                <c:formatCode>General</c:formatCode>
                <c:ptCount val="154"/>
                <c:pt idx="0">
                  <c:v>36.4</c:v>
                </c:pt>
                <c:pt idx="1">
                  <c:v>46.1</c:v>
                </c:pt>
                <c:pt idx="2">
                  <c:v>61.8</c:v>
                </c:pt>
                <c:pt idx="3">
                  <c:v>72.400000000000006</c:v>
                </c:pt>
                <c:pt idx="4">
                  <c:v>80.099999999999994</c:v>
                </c:pt>
                <c:pt idx="5">
                  <c:v>85.9</c:v>
                </c:pt>
                <c:pt idx="6">
                  <c:v>90.3</c:v>
                </c:pt>
                <c:pt idx="7">
                  <c:v>93.4</c:v>
                </c:pt>
                <c:pt idx="8">
                  <c:v>95.4</c:v>
                </c:pt>
                <c:pt idx="9">
                  <c:v>97.6</c:v>
                </c:pt>
                <c:pt idx="10">
                  <c:v>99</c:v>
                </c:pt>
                <c:pt idx="11">
                  <c:v>100.5</c:v>
                </c:pt>
                <c:pt idx="12">
                  <c:v>101.6</c:v>
                </c:pt>
                <c:pt idx="13">
                  <c:v>102.4</c:v>
                </c:pt>
                <c:pt idx="14">
                  <c:v>103.3</c:v>
                </c:pt>
                <c:pt idx="15">
                  <c:v>104.2</c:v>
                </c:pt>
                <c:pt idx="16">
                  <c:v>105</c:v>
                </c:pt>
                <c:pt idx="17">
                  <c:v>105.6</c:v>
                </c:pt>
                <c:pt idx="18">
                  <c:v>106.3</c:v>
                </c:pt>
                <c:pt idx="19">
                  <c:v>107.2</c:v>
                </c:pt>
                <c:pt idx="20">
                  <c:v>108</c:v>
                </c:pt>
                <c:pt idx="21">
                  <c:v>108.7</c:v>
                </c:pt>
                <c:pt idx="22">
                  <c:v>109.5</c:v>
                </c:pt>
                <c:pt idx="23">
                  <c:v>110.2</c:v>
                </c:pt>
                <c:pt idx="24">
                  <c:v>110.9</c:v>
                </c:pt>
                <c:pt idx="25">
                  <c:v>111.7</c:v>
                </c:pt>
                <c:pt idx="26">
                  <c:v>112.5</c:v>
                </c:pt>
                <c:pt idx="27">
                  <c:v>113.2</c:v>
                </c:pt>
                <c:pt idx="28">
                  <c:v>114</c:v>
                </c:pt>
                <c:pt idx="29">
                  <c:v>114.6</c:v>
                </c:pt>
                <c:pt idx="30">
                  <c:v>115.3</c:v>
                </c:pt>
                <c:pt idx="31">
                  <c:v>115.9</c:v>
                </c:pt>
                <c:pt idx="32">
                  <c:v>116.7</c:v>
                </c:pt>
                <c:pt idx="33">
                  <c:v>116.4</c:v>
                </c:pt>
                <c:pt idx="34">
                  <c:v>115.8</c:v>
                </c:pt>
                <c:pt idx="35">
                  <c:v>116.2</c:v>
                </c:pt>
                <c:pt idx="36">
                  <c:v>118.4</c:v>
                </c:pt>
                <c:pt idx="37">
                  <c:v>118.3</c:v>
                </c:pt>
                <c:pt idx="38">
                  <c:v>117.7</c:v>
                </c:pt>
                <c:pt idx="39">
                  <c:v>117.1</c:v>
                </c:pt>
                <c:pt idx="40">
                  <c:v>116.6</c:v>
                </c:pt>
                <c:pt idx="41">
                  <c:v>116.1</c:v>
                </c:pt>
                <c:pt idx="42">
                  <c:v>115.6</c:v>
                </c:pt>
                <c:pt idx="43">
                  <c:v>117.1</c:v>
                </c:pt>
                <c:pt idx="44">
                  <c:v>118.9</c:v>
                </c:pt>
                <c:pt idx="45">
                  <c:v>118.4</c:v>
                </c:pt>
                <c:pt idx="46">
                  <c:v>118</c:v>
                </c:pt>
                <c:pt idx="47">
                  <c:v>117.5</c:v>
                </c:pt>
                <c:pt idx="48">
                  <c:v>117</c:v>
                </c:pt>
                <c:pt idx="49">
                  <c:v>116.5</c:v>
                </c:pt>
                <c:pt idx="50">
                  <c:v>116.1</c:v>
                </c:pt>
                <c:pt idx="51">
                  <c:v>115.5</c:v>
                </c:pt>
                <c:pt idx="52">
                  <c:v>117.1</c:v>
                </c:pt>
                <c:pt idx="53">
                  <c:v>118.7</c:v>
                </c:pt>
                <c:pt idx="54">
                  <c:v>118.1</c:v>
                </c:pt>
                <c:pt idx="55">
                  <c:v>117.6</c:v>
                </c:pt>
                <c:pt idx="56">
                  <c:v>117.2</c:v>
                </c:pt>
                <c:pt idx="57">
                  <c:v>116.7</c:v>
                </c:pt>
                <c:pt idx="58">
                  <c:v>116.3</c:v>
                </c:pt>
                <c:pt idx="59">
                  <c:v>115.9</c:v>
                </c:pt>
                <c:pt idx="60">
                  <c:v>116</c:v>
                </c:pt>
                <c:pt idx="61">
                  <c:v>118.3</c:v>
                </c:pt>
                <c:pt idx="62">
                  <c:v>118.3</c:v>
                </c:pt>
                <c:pt idx="63">
                  <c:v>118</c:v>
                </c:pt>
                <c:pt idx="64">
                  <c:v>117.5</c:v>
                </c:pt>
                <c:pt idx="65">
                  <c:v>117.1</c:v>
                </c:pt>
                <c:pt idx="66">
                  <c:v>116.6</c:v>
                </c:pt>
                <c:pt idx="67">
                  <c:v>116.2</c:v>
                </c:pt>
                <c:pt idx="68">
                  <c:v>116</c:v>
                </c:pt>
                <c:pt idx="69">
                  <c:v>115.8</c:v>
                </c:pt>
                <c:pt idx="70">
                  <c:v>117.6</c:v>
                </c:pt>
                <c:pt idx="71">
                  <c:v>118.4</c:v>
                </c:pt>
                <c:pt idx="72">
                  <c:v>117.9</c:v>
                </c:pt>
                <c:pt idx="73">
                  <c:v>117.6</c:v>
                </c:pt>
                <c:pt idx="74">
                  <c:v>117.1</c:v>
                </c:pt>
                <c:pt idx="75">
                  <c:v>116.8</c:v>
                </c:pt>
                <c:pt idx="76">
                  <c:v>116.4</c:v>
                </c:pt>
                <c:pt idx="77">
                  <c:v>116</c:v>
                </c:pt>
                <c:pt idx="78">
                  <c:v>115.6</c:v>
                </c:pt>
                <c:pt idx="79">
                  <c:v>117.7</c:v>
                </c:pt>
                <c:pt idx="80">
                  <c:v>118.2</c:v>
                </c:pt>
                <c:pt idx="81">
                  <c:v>117.7</c:v>
                </c:pt>
                <c:pt idx="82">
                  <c:v>116.9</c:v>
                </c:pt>
                <c:pt idx="83">
                  <c:v>106.6</c:v>
                </c:pt>
                <c:pt idx="84">
                  <c:v>86.9</c:v>
                </c:pt>
                <c:pt idx="85">
                  <c:v>80.099999999999994</c:v>
                </c:pt>
                <c:pt idx="86">
                  <c:v>76.900000000000006</c:v>
                </c:pt>
                <c:pt idx="87">
                  <c:v>73.5</c:v>
                </c:pt>
                <c:pt idx="88">
                  <c:v>70.5</c:v>
                </c:pt>
                <c:pt idx="89">
                  <c:v>68.3</c:v>
                </c:pt>
                <c:pt idx="90">
                  <c:v>66.2</c:v>
                </c:pt>
                <c:pt idx="91">
                  <c:v>64.400000000000006</c:v>
                </c:pt>
                <c:pt idx="92">
                  <c:v>62.7</c:v>
                </c:pt>
                <c:pt idx="93">
                  <c:v>61.2</c:v>
                </c:pt>
                <c:pt idx="94">
                  <c:v>59.8</c:v>
                </c:pt>
                <c:pt idx="95">
                  <c:v>58.4</c:v>
                </c:pt>
                <c:pt idx="96">
                  <c:v>57.2</c:v>
                </c:pt>
                <c:pt idx="97">
                  <c:v>56.1</c:v>
                </c:pt>
                <c:pt idx="98">
                  <c:v>55.1</c:v>
                </c:pt>
                <c:pt idx="99">
                  <c:v>54.2</c:v>
                </c:pt>
                <c:pt idx="100">
                  <c:v>53.4</c:v>
                </c:pt>
                <c:pt idx="101">
                  <c:v>52.7</c:v>
                </c:pt>
                <c:pt idx="102">
                  <c:v>52</c:v>
                </c:pt>
                <c:pt idx="103">
                  <c:v>51.5</c:v>
                </c:pt>
                <c:pt idx="104">
                  <c:v>51</c:v>
                </c:pt>
                <c:pt idx="105">
                  <c:v>50.5</c:v>
                </c:pt>
                <c:pt idx="106">
                  <c:v>50.1</c:v>
                </c:pt>
                <c:pt idx="107">
                  <c:v>49.7</c:v>
                </c:pt>
                <c:pt idx="108">
                  <c:v>49.3</c:v>
                </c:pt>
                <c:pt idx="109">
                  <c:v>49</c:v>
                </c:pt>
                <c:pt idx="110">
                  <c:v>48.7</c:v>
                </c:pt>
                <c:pt idx="111">
                  <c:v>48.5</c:v>
                </c:pt>
                <c:pt idx="112">
                  <c:v>48.2</c:v>
                </c:pt>
                <c:pt idx="113">
                  <c:v>48</c:v>
                </c:pt>
                <c:pt idx="114">
                  <c:v>47.7</c:v>
                </c:pt>
                <c:pt idx="115">
                  <c:v>47.5</c:v>
                </c:pt>
                <c:pt idx="116">
                  <c:v>47.3</c:v>
                </c:pt>
                <c:pt idx="117">
                  <c:v>47.1</c:v>
                </c:pt>
                <c:pt idx="118">
                  <c:v>46.9</c:v>
                </c:pt>
                <c:pt idx="119">
                  <c:v>46.8</c:v>
                </c:pt>
                <c:pt idx="120">
                  <c:v>46.7</c:v>
                </c:pt>
                <c:pt idx="121">
                  <c:v>46.5</c:v>
                </c:pt>
                <c:pt idx="122">
                  <c:v>46.4</c:v>
                </c:pt>
                <c:pt idx="123">
                  <c:v>46.3</c:v>
                </c:pt>
                <c:pt idx="124">
                  <c:v>46.1</c:v>
                </c:pt>
                <c:pt idx="125">
                  <c:v>46</c:v>
                </c:pt>
                <c:pt idx="126">
                  <c:v>45.8</c:v>
                </c:pt>
                <c:pt idx="127">
                  <c:v>45.8</c:v>
                </c:pt>
                <c:pt idx="128">
                  <c:v>45.8</c:v>
                </c:pt>
                <c:pt idx="129">
                  <c:v>45.8</c:v>
                </c:pt>
                <c:pt idx="130">
                  <c:v>45.8</c:v>
                </c:pt>
                <c:pt idx="131">
                  <c:v>45.8</c:v>
                </c:pt>
                <c:pt idx="132">
                  <c:v>45.8</c:v>
                </c:pt>
                <c:pt idx="133">
                  <c:v>45.5</c:v>
                </c:pt>
                <c:pt idx="134">
                  <c:v>45.4</c:v>
                </c:pt>
                <c:pt idx="135">
                  <c:v>45.2</c:v>
                </c:pt>
                <c:pt idx="136">
                  <c:v>44.9</c:v>
                </c:pt>
                <c:pt idx="137">
                  <c:v>44.9</c:v>
                </c:pt>
                <c:pt idx="138">
                  <c:v>44.8</c:v>
                </c:pt>
                <c:pt idx="139">
                  <c:v>44.7</c:v>
                </c:pt>
                <c:pt idx="140">
                  <c:v>44.6</c:v>
                </c:pt>
                <c:pt idx="141">
                  <c:v>44.5</c:v>
                </c:pt>
                <c:pt idx="142">
                  <c:v>44.4</c:v>
                </c:pt>
                <c:pt idx="143">
                  <c:v>44.3</c:v>
                </c:pt>
                <c:pt idx="144">
                  <c:v>44.2</c:v>
                </c:pt>
                <c:pt idx="145">
                  <c:v>44.1</c:v>
                </c:pt>
                <c:pt idx="146">
                  <c:v>44</c:v>
                </c:pt>
                <c:pt idx="147">
                  <c:v>44</c:v>
                </c:pt>
                <c:pt idx="148">
                  <c:v>44</c:v>
                </c:pt>
                <c:pt idx="149">
                  <c:v>43.9</c:v>
                </c:pt>
                <c:pt idx="150">
                  <c:v>43.9</c:v>
                </c:pt>
                <c:pt idx="151">
                  <c:v>43.9</c:v>
                </c:pt>
                <c:pt idx="152">
                  <c:v>43.8</c:v>
                </c:pt>
                <c:pt idx="15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DD-440B-BC52-685FDEDE5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697103"/>
        <c:axId val="1186699503"/>
      </c:lineChart>
      <c:catAx>
        <c:axId val="118669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99503"/>
        <c:crosses val="autoZero"/>
        <c:auto val="1"/>
        <c:lblAlgn val="ctr"/>
        <c:lblOffset val="100"/>
        <c:noMultiLvlLbl val="0"/>
      </c:catAx>
      <c:valAx>
        <c:axId val="118669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9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Sample:</a:t>
            </a:r>
            <a:r>
              <a:rPr lang="en-US" baseline="0"/>
              <a:t> Retort Pack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[4]Sheet1!$B$7</c:f>
              <c:strCache>
                <c:ptCount val="1"/>
                <c:pt idx="0">
                  <c:v>Weight (g)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[4]Sheet1!$A$8:$A$12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[4]Sheet1!$B$8:$B$12</c:f>
              <c:numCache>
                <c:formatCode>General</c:formatCode>
                <c:ptCount val="5"/>
                <c:pt idx="0">
                  <c:v>150.52000000000001</c:v>
                </c:pt>
                <c:pt idx="1">
                  <c:v>150.44999999999999</c:v>
                </c:pt>
                <c:pt idx="2">
                  <c:v>150.38</c:v>
                </c:pt>
                <c:pt idx="3">
                  <c:v>150.31299999999999</c:v>
                </c:pt>
                <c:pt idx="4">
                  <c:v>150.24299999999999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D-4193-9C61-E32DC8722F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72073216"/>
        <c:axId val="1777441936"/>
      </c:lineChart>
      <c:catAx>
        <c:axId val="1772073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441936"/>
        <c:crosses val="autoZero"/>
        <c:auto val="1"/>
        <c:lblAlgn val="ctr"/>
        <c:lblOffset val="100"/>
        <c:noMultiLvlLbl val="0"/>
      </c:catAx>
      <c:valAx>
        <c:axId val="17774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Weight</a:t>
                </a:r>
                <a:r>
                  <a:rPr lang="en-IN" baseline="0"/>
                  <a:t> (g)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07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173</xdr:row>
      <xdr:rowOff>15240</xdr:rowOff>
    </xdr:from>
    <xdr:to>
      <xdr:col>16</xdr:col>
      <xdr:colOff>22860</xdr:colOff>
      <xdr:row>192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7A657-390E-487A-AFA2-D5666DDA4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426720</xdr:colOff>
      <xdr:row>308</xdr:row>
      <xdr:rowOff>83820</xdr:rowOff>
    </xdr:from>
    <xdr:to>
      <xdr:col>15</xdr:col>
      <xdr:colOff>304800</xdr:colOff>
      <xdr:row>326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EFCD64-B12B-4B9D-A141-78C071314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45720</xdr:colOff>
      <xdr:row>52</xdr:row>
      <xdr:rowOff>76200</xdr:rowOff>
    </xdr:from>
    <xdr:to>
      <xdr:col>16</xdr:col>
      <xdr:colOff>213360</xdr:colOff>
      <xdr:row>73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898FB0-2F3B-42C5-819E-86E3770F8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320040</xdr:colOff>
      <xdr:row>475</xdr:row>
      <xdr:rowOff>110490</xdr:rowOff>
    </xdr:from>
    <xdr:to>
      <xdr:col>15</xdr:col>
      <xdr:colOff>15240</xdr:colOff>
      <xdr:row>490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17D36A-EEBD-45BD-87AF-99278E557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457200</xdr:colOff>
      <xdr:row>173</xdr:row>
      <xdr:rowOff>15240</xdr:rowOff>
    </xdr:from>
    <xdr:to>
      <xdr:col>16</xdr:col>
      <xdr:colOff>22860</xdr:colOff>
      <xdr:row>192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3BA859-D870-490B-BBE1-044903330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426720</xdr:colOff>
      <xdr:row>308</xdr:row>
      <xdr:rowOff>83820</xdr:rowOff>
    </xdr:from>
    <xdr:to>
      <xdr:col>15</xdr:col>
      <xdr:colOff>304800</xdr:colOff>
      <xdr:row>326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3F9036-FF1A-460D-B95A-D131EFE3B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45720</xdr:colOff>
      <xdr:row>52</xdr:row>
      <xdr:rowOff>76200</xdr:rowOff>
    </xdr:from>
    <xdr:to>
      <xdr:col>16</xdr:col>
      <xdr:colOff>213360</xdr:colOff>
      <xdr:row>73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80FC9C-89F1-494C-A697-077DF8C6A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320040</xdr:colOff>
      <xdr:row>475</xdr:row>
      <xdr:rowOff>110490</xdr:rowOff>
    </xdr:from>
    <xdr:to>
      <xdr:col>15</xdr:col>
      <xdr:colOff>15240</xdr:colOff>
      <xdr:row>490</xdr:row>
      <xdr:rowOff>110490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58C1A78-3036-4A80-96CB-CDA95574B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339090</xdr:colOff>
      <xdr:row>1328</xdr:row>
      <xdr:rowOff>15240</xdr:rowOff>
    </xdr:from>
    <xdr:to>
      <xdr:col>14</xdr:col>
      <xdr:colOff>381000</xdr:colOff>
      <xdr:row>1348</xdr:row>
      <xdr:rowOff>102870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C56E45D-F8BD-4756-BCD4-D9726E4A4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63</xdr:row>
      <xdr:rowOff>95250</xdr:rowOff>
    </xdr:from>
    <xdr:to>
      <xdr:col>18</xdr:col>
      <xdr:colOff>15240</xdr:colOff>
      <xdr:row>82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248E4F-775A-49CD-A83B-410539B12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0.21853</cdr:x>
      <cdr:y>0.28939</cdr:y>
    </cdr:from>
    <cdr:to>
      <cdr:x>0.38451</cdr:x>
      <cdr:y>0.29162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6E4034B1-49D7-0BFA-477E-AFD95EC7E79C}"/>
            </a:ext>
          </a:extLst>
        </cdr:cNvPr>
        <cdr:cNvCxnSpPr/>
      </cdr:nvCxnSpPr>
      <cdr:spPr>
        <a:xfrm xmlns:a="http://schemas.openxmlformats.org/drawingml/2006/main" flipV="1">
          <a:off x="1203960" y="986790"/>
          <a:ext cx="914400" cy="76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0.2213</cdr:x>
      <cdr:y>0.18212</cdr:y>
    </cdr:from>
    <cdr:to>
      <cdr:x>0.22268</cdr:x>
      <cdr:y>0.29609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40DB840F-B303-D4B0-0BF5-7AABA52CFB66}"/>
            </a:ext>
          </a:extLst>
        </cdr:cNvPr>
        <cdr:cNvCxnSpPr/>
      </cdr:nvCxnSpPr>
      <cdr:spPr>
        <a:xfrm xmlns:a="http://schemas.openxmlformats.org/drawingml/2006/main">
          <a:off x="1219200" y="621030"/>
          <a:ext cx="7620" cy="3886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0.37898</cdr:x>
      <cdr:y>0.40112</cdr:y>
    </cdr:from>
    <cdr:to>
      <cdr:x>0.55602</cdr:x>
      <cdr:y>0.40335</cdr:y>
    </cdr:to>
    <cdr:cxnSp macro="">
      <cdr:nvCxnSpPr>
        <cdr:cNvPr id="26" name="Straight Connector 25">
          <a:extLst xmlns:a="http://schemas.openxmlformats.org/drawingml/2006/main">
            <a:ext uri="{FF2B5EF4-FFF2-40B4-BE49-F238E27FC236}">
              <a16:creationId xmlns:a16="http://schemas.microsoft.com/office/drawing/2014/main" id="{12E4F216-F44A-DEEA-C796-5FB047F3D397}"/>
            </a:ext>
          </a:extLst>
        </cdr:cNvPr>
        <cdr:cNvCxnSpPr/>
      </cdr:nvCxnSpPr>
      <cdr:spPr>
        <a:xfrm xmlns:a="http://schemas.openxmlformats.org/drawingml/2006/main">
          <a:off x="2087880" y="1367790"/>
          <a:ext cx="975360" cy="76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0.38036</cdr:x>
      <cdr:y>0.28715</cdr:y>
    </cdr:from>
    <cdr:to>
      <cdr:x>0.38036</cdr:x>
      <cdr:y>0.40112</cdr:y>
    </cdr:to>
    <cdr:cxnSp macro="">
      <cdr:nvCxnSpPr>
        <cdr:cNvPr id="29" name="Straight Connector 28">
          <a:extLst xmlns:a="http://schemas.openxmlformats.org/drawingml/2006/main">
            <a:ext uri="{FF2B5EF4-FFF2-40B4-BE49-F238E27FC236}">
              <a16:creationId xmlns:a16="http://schemas.microsoft.com/office/drawing/2014/main" id="{C91F07D2-9D86-2114-E950-39686B01A5E1}"/>
            </a:ext>
          </a:extLst>
        </cdr:cNvPr>
        <cdr:cNvCxnSpPr/>
      </cdr:nvCxnSpPr>
      <cdr:spPr>
        <a:xfrm xmlns:a="http://schemas.openxmlformats.org/drawingml/2006/main">
          <a:off x="2095500" y="979170"/>
          <a:ext cx="0" cy="3886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0.55463</cdr:x>
      <cdr:y>0.50838</cdr:y>
    </cdr:from>
    <cdr:to>
      <cdr:x>0.72891</cdr:x>
      <cdr:y>0.51061</cdr:y>
    </cdr:to>
    <cdr:cxnSp macro="">
      <cdr:nvCxnSpPr>
        <cdr:cNvPr id="41" name="Straight Connector 40">
          <a:extLst xmlns:a="http://schemas.openxmlformats.org/drawingml/2006/main">
            <a:ext uri="{FF2B5EF4-FFF2-40B4-BE49-F238E27FC236}">
              <a16:creationId xmlns:a16="http://schemas.microsoft.com/office/drawing/2014/main" id="{8F8ACC39-ABEA-7526-B467-D513816404C1}"/>
            </a:ext>
          </a:extLst>
        </cdr:cNvPr>
        <cdr:cNvCxnSpPr/>
      </cdr:nvCxnSpPr>
      <cdr:spPr>
        <a:xfrm xmlns:a="http://schemas.openxmlformats.org/drawingml/2006/main">
          <a:off x="3055620" y="1733550"/>
          <a:ext cx="960120" cy="76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0.55187</cdr:x>
      <cdr:y>0.40559</cdr:y>
    </cdr:from>
    <cdr:to>
      <cdr:x>0.55325</cdr:x>
      <cdr:y>0.51061</cdr:y>
    </cdr:to>
    <cdr:cxnSp macro="">
      <cdr:nvCxnSpPr>
        <cdr:cNvPr id="46" name="Straight Connector 45">
          <a:extLst xmlns:a="http://schemas.openxmlformats.org/drawingml/2006/main">
            <a:ext uri="{FF2B5EF4-FFF2-40B4-BE49-F238E27FC236}">
              <a16:creationId xmlns:a16="http://schemas.microsoft.com/office/drawing/2014/main" id="{D311A1E6-B14C-FA9F-5ED7-D06DC577E14E}"/>
            </a:ext>
          </a:extLst>
        </cdr:cNvPr>
        <cdr:cNvCxnSpPr/>
      </cdr:nvCxnSpPr>
      <cdr:spPr>
        <a:xfrm xmlns:a="http://schemas.openxmlformats.org/drawingml/2006/main">
          <a:off x="3040380" y="1383030"/>
          <a:ext cx="7620" cy="35814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0.73029</cdr:x>
      <cdr:y>0.61341</cdr:y>
    </cdr:from>
    <cdr:to>
      <cdr:x>0.89073</cdr:x>
      <cdr:y>0.61788</cdr:y>
    </cdr:to>
    <cdr:cxnSp macro="">
      <cdr:nvCxnSpPr>
        <cdr:cNvPr id="50" name="Straight Connector 49">
          <a:extLst xmlns:a="http://schemas.openxmlformats.org/drawingml/2006/main">
            <a:ext uri="{FF2B5EF4-FFF2-40B4-BE49-F238E27FC236}">
              <a16:creationId xmlns:a16="http://schemas.microsoft.com/office/drawing/2014/main" id="{A13592FF-C3BE-15BE-DF10-8556214DECC1}"/>
            </a:ext>
          </a:extLst>
        </cdr:cNvPr>
        <cdr:cNvCxnSpPr/>
      </cdr:nvCxnSpPr>
      <cdr:spPr>
        <a:xfrm xmlns:a="http://schemas.openxmlformats.org/drawingml/2006/main">
          <a:off x="4023360" y="2091690"/>
          <a:ext cx="883920" cy="1524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0.72891</cdr:x>
      <cdr:y>0.51061</cdr:y>
    </cdr:from>
    <cdr:to>
      <cdr:x>0.72891</cdr:x>
      <cdr:y>0.61341</cdr:y>
    </cdr:to>
    <cdr:cxnSp macro="">
      <cdr:nvCxnSpPr>
        <cdr:cNvPr id="53" name="Straight Connector 52">
          <a:extLst xmlns:a="http://schemas.openxmlformats.org/drawingml/2006/main">
            <a:ext uri="{FF2B5EF4-FFF2-40B4-BE49-F238E27FC236}">
              <a16:creationId xmlns:a16="http://schemas.microsoft.com/office/drawing/2014/main" id="{267B1135-F97F-2389-B3AB-437A6C4F3E4D}"/>
            </a:ext>
          </a:extLst>
        </cdr:cNvPr>
        <cdr:cNvCxnSpPr/>
      </cdr:nvCxnSpPr>
      <cdr:spPr>
        <a:xfrm xmlns:a="http://schemas.openxmlformats.org/drawingml/2006/main">
          <a:off x="4015740" y="1741170"/>
          <a:ext cx="0" cy="3505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6)%20Fourth%20Semester%20M%20Tech\Masters%20Thesis%20Research\Experimental%20Data\My%20Retort%20trials%20F0%20Calculation.xlsx" TargetMode="External"/><Relationship Id="rId1" Type="http://schemas.openxmlformats.org/officeDocument/2006/relationships/externalLinkPath" Target="My%20Retort%20trials%20F0%20Calc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6)%20Fourth%20Semester%20M%20Tech\Masters%20Thesis%20Research\Experimental%20Data\Packaging%20Material%20Test\WVTR\Retort%20Pack%20WVTR%20analysis%20results.xlsx" TargetMode="External"/><Relationship Id="rId1" Type="http://schemas.openxmlformats.org/officeDocument/2006/relationships/externalLinkPath" Target="Packaging%20Material%20Test/WVTR/Retort%20Pack%20WVTR%20analysis%20resul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OneDrive\Documents\Packaging%20Material%20Test\WVTR\Retort%20Pack%20WVTR%20analysis%20result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6)%20Fourth%20Semester%20M%20Tech\Masters%20Thesis%20Research\Experimental%20Data\Packaging%20Material%20Test\WVTR\Retort%20Pack%20WVTR%20analysis%20results.xlsx" TargetMode="External"/><Relationship Id="rId1" Type="http://schemas.openxmlformats.org/officeDocument/2006/relationships/externalLinkPath" Target="Packaging%20Material%20Test/WVTR/Retort%20Pack%20WVTR%20analysis%20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ort Machine data for F0 calc"/>
    </sheetNames>
    <sheetDataSet>
      <sheetData sheetId="0">
        <row r="2">
          <cell r="B2" t="str">
            <v>Temprature</v>
          </cell>
        </row>
        <row r="3">
          <cell r="A3">
            <v>0.61032407407407407</v>
          </cell>
          <cell r="B3">
            <v>34.299999999999997</v>
          </cell>
        </row>
        <row r="4">
          <cell r="A4">
            <v>0.61067129629629635</v>
          </cell>
          <cell r="B4">
            <v>34.299999999999997</v>
          </cell>
        </row>
        <row r="5">
          <cell r="A5">
            <v>0.61103009259259256</v>
          </cell>
          <cell r="B5">
            <v>34.299999999999997</v>
          </cell>
        </row>
        <row r="6">
          <cell r="A6">
            <v>0.61136574074074079</v>
          </cell>
          <cell r="B6">
            <v>34.6</v>
          </cell>
        </row>
        <row r="7">
          <cell r="A7">
            <v>0.61171296296296296</v>
          </cell>
          <cell r="B7">
            <v>35</v>
          </cell>
        </row>
        <row r="8">
          <cell r="A8">
            <v>0.61207175925925927</v>
          </cell>
          <cell r="B8">
            <v>37.4</v>
          </cell>
        </row>
        <row r="9">
          <cell r="A9">
            <v>0.61241898148148144</v>
          </cell>
          <cell r="B9">
            <v>43</v>
          </cell>
        </row>
        <row r="10">
          <cell r="A10">
            <v>0.61275462962962968</v>
          </cell>
          <cell r="B10">
            <v>49.5</v>
          </cell>
        </row>
        <row r="11">
          <cell r="A11">
            <v>0.61310185185185184</v>
          </cell>
          <cell r="B11">
            <v>54.7</v>
          </cell>
        </row>
        <row r="12">
          <cell r="A12">
            <v>0.61346064814814816</v>
          </cell>
          <cell r="B12">
            <v>59.5</v>
          </cell>
        </row>
        <row r="13">
          <cell r="A13">
            <v>0.61379629629629628</v>
          </cell>
          <cell r="B13">
            <v>63.1</v>
          </cell>
        </row>
        <row r="14">
          <cell r="A14">
            <v>0.6141550925925926</v>
          </cell>
          <cell r="B14">
            <v>67.099999999999994</v>
          </cell>
        </row>
        <row r="15">
          <cell r="A15">
            <v>0.61450231481481477</v>
          </cell>
          <cell r="B15">
            <v>72.400000000000006</v>
          </cell>
        </row>
        <row r="16">
          <cell r="A16">
            <v>0.614837962962963</v>
          </cell>
          <cell r="B16">
            <v>76.3</v>
          </cell>
        </row>
        <row r="17">
          <cell r="A17">
            <v>0.61519675925925921</v>
          </cell>
          <cell r="B17">
            <v>78.900000000000006</v>
          </cell>
        </row>
        <row r="18">
          <cell r="A18">
            <v>0.61553240740740744</v>
          </cell>
          <cell r="B18">
            <v>80.8</v>
          </cell>
        </row>
        <row r="19">
          <cell r="A19">
            <v>0.61589120370370365</v>
          </cell>
          <cell r="B19">
            <v>82.5</v>
          </cell>
        </row>
        <row r="20">
          <cell r="A20">
            <v>0.61622685185185189</v>
          </cell>
          <cell r="B20">
            <v>83.8</v>
          </cell>
        </row>
        <row r="21">
          <cell r="A21">
            <v>0.6165856481481482</v>
          </cell>
          <cell r="B21">
            <v>85.9</v>
          </cell>
        </row>
        <row r="22">
          <cell r="A22">
            <v>0.61692129629629633</v>
          </cell>
          <cell r="B22">
            <v>87</v>
          </cell>
        </row>
        <row r="23">
          <cell r="A23">
            <v>0.61726851851851849</v>
          </cell>
          <cell r="B23">
            <v>87.9</v>
          </cell>
        </row>
        <row r="24">
          <cell r="A24">
            <v>0.61761574074074077</v>
          </cell>
          <cell r="B24">
            <v>88.5</v>
          </cell>
        </row>
        <row r="25">
          <cell r="A25">
            <v>0.61797453703703709</v>
          </cell>
          <cell r="B25">
            <v>88.7</v>
          </cell>
        </row>
        <row r="26">
          <cell r="A26">
            <v>0.61832175925925925</v>
          </cell>
          <cell r="B26">
            <v>90.2</v>
          </cell>
        </row>
        <row r="27">
          <cell r="A27">
            <v>0.61865740740740738</v>
          </cell>
          <cell r="B27">
            <v>90.8</v>
          </cell>
        </row>
        <row r="28">
          <cell r="A28">
            <v>0.61900462962962965</v>
          </cell>
          <cell r="B28">
            <v>91.5</v>
          </cell>
        </row>
        <row r="29">
          <cell r="A29">
            <v>0.61936342592592597</v>
          </cell>
          <cell r="B29">
            <v>92.2</v>
          </cell>
        </row>
        <row r="30">
          <cell r="A30">
            <v>0.61971064814814814</v>
          </cell>
          <cell r="B30">
            <v>94.2</v>
          </cell>
        </row>
        <row r="31">
          <cell r="A31">
            <v>0.62004629629629626</v>
          </cell>
          <cell r="B31">
            <v>96.1</v>
          </cell>
        </row>
        <row r="32">
          <cell r="A32">
            <v>0.62040509259259258</v>
          </cell>
          <cell r="B32">
            <v>97.7</v>
          </cell>
        </row>
        <row r="33">
          <cell r="A33">
            <v>0.6207407407407407</v>
          </cell>
          <cell r="B33">
            <v>99.3</v>
          </cell>
        </row>
        <row r="34">
          <cell r="A34">
            <v>0.62109953703703702</v>
          </cell>
          <cell r="B34">
            <v>100.9</v>
          </cell>
        </row>
        <row r="35">
          <cell r="A35">
            <v>0.62143518518518515</v>
          </cell>
          <cell r="B35">
            <v>102.9</v>
          </cell>
        </row>
        <row r="36">
          <cell r="A36">
            <v>0.62179398148148146</v>
          </cell>
          <cell r="B36">
            <v>106.7</v>
          </cell>
        </row>
        <row r="37">
          <cell r="A37">
            <v>0.62214120370370374</v>
          </cell>
          <cell r="B37">
            <v>109.7</v>
          </cell>
        </row>
        <row r="38">
          <cell r="A38">
            <v>0.6224884259259259</v>
          </cell>
          <cell r="B38">
            <v>111.2</v>
          </cell>
        </row>
        <row r="39">
          <cell r="A39">
            <v>0.62282407407407403</v>
          </cell>
          <cell r="B39">
            <v>113.1</v>
          </cell>
        </row>
        <row r="40">
          <cell r="A40">
            <v>0.62318287037037035</v>
          </cell>
          <cell r="B40">
            <v>114.3</v>
          </cell>
        </row>
        <row r="41">
          <cell r="A41">
            <v>0.62353009259259262</v>
          </cell>
          <cell r="B41">
            <v>115.3</v>
          </cell>
        </row>
        <row r="42">
          <cell r="A42">
            <v>0.62386574074074075</v>
          </cell>
          <cell r="B42">
            <v>116.8</v>
          </cell>
        </row>
        <row r="43">
          <cell r="A43">
            <v>0.62422453703703706</v>
          </cell>
          <cell r="B43">
            <v>118</v>
          </cell>
        </row>
        <row r="44">
          <cell r="A44">
            <v>0.62456018518518519</v>
          </cell>
          <cell r="B44">
            <v>118.9</v>
          </cell>
        </row>
        <row r="45">
          <cell r="A45">
            <v>0.62490740740740736</v>
          </cell>
          <cell r="B45">
            <v>119.8</v>
          </cell>
        </row>
        <row r="46">
          <cell r="A46">
            <v>0.62526620370370367</v>
          </cell>
          <cell r="B46">
            <v>120.6</v>
          </cell>
        </row>
        <row r="47">
          <cell r="A47">
            <v>0.62561342592592595</v>
          </cell>
          <cell r="B47">
            <v>121</v>
          </cell>
        </row>
        <row r="48">
          <cell r="A48">
            <v>0.62596064814814811</v>
          </cell>
          <cell r="B48">
            <v>121.4</v>
          </cell>
        </row>
        <row r="49">
          <cell r="A49">
            <v>0.62630787037037039</v>
          </cell>
          <cell r="B49">
            <v>120.8</v>
          </cell>
        </row>
        <row r="50">
          <cell r="A50">
            <v>0.62664351851851852</v>
          </cell>
          <cell r="B50">
            <v>119.9</v>
          </cell>
        </row>
        <row r="51">
          <cell r="A51">
            <v>0.62700231481481483</v>
          </cell>
          <cell r="B51">
            <v>122.5</v>
          </cell>
        </row>
        <row r="52">
          <cell r="A52">
            <v>0.627349537037037</v>
          </cell>
          <cell r="B52">
            <v>121.2</v>
          </cell>
        </row>
        <row r="53">
          <cell r="A53">
            <v>0.62768518518518523</v>
          </cell>
          <cell r="B53">
            <v>121.8</v>
          </cell>
        </row>
        <row r="54">
          <cell r="A54">
            <v>0.62804398148148144</v>
          </cell>
          <cell r="B54">
            <v>122.5</v>
          </cell>
        </row>
        <row r="55">
          <cell r="A55">
            <v>0.62837962962962968</v>
          </cell>
          <cell r="B55">
            <v>122.2</v>
          </cell>
        </row>
        <row r="56">
          <cell r="A56">
            <v>0.62873842592592588</v>
          </cell>
          <cell r="B56">
            <v>121.6</v>
          </cell>
        </row>
        <row r="57">
          <cell r="A57">
            <v>0.62908564814814816</v>
          </cell>
          <cell r="B57">
            <v>122.7</v>
          </cell>
        </row>
        <row r="58">
          <cell r="A58">
            <v>0.62943287037037032</v>
          </cell>
          <cell r="B58">
            <v>120.9</v>
          </cell>
        </row>
        <row r="59">
          <cell r="A59">
            <v>0.6297800925925926</v>
          </cell>
          <cell r="B59">
            <v>123.2</v>
          </cell>
        </row>
        <row r="60">
          <cell r="A60">
            <v>0.63012731481481477</v>
          </cell>
          <cell r="B60">
            <v>121</v>
          </cell>
        </row>
        <row r="61">
          <cell r="A61">
            <v>0.63047453703703704</v>
          </cell>
          <cell r="B61">
            <v>123.4</v>
          </cell>
        </row>
        <row r="62">
          <cell r="A62">
            <v>0.63082175925925921</v>
          </cell>
          <cell r="B62">
            <v>122</v>
          </cell>
        </row>
        <row r="63">
          <cell r="A63">
            <v>0.63116898148148148</v>
          </cell>
          <cell r="B63">
            <v>121.9</v>
          </cell>
        </row>
        <row r="64">
          <cell r="A64">
            <v>0.63151620370370365</v>
          </cell>
          <cell r="B64">
            <v>122.1</v>
          </cell>
        </row>
        <row r="65">
          <cell r="A65">
            <v>0.63186342592592593</v>
          </cell>
          <cell r="B65">
            <v>120.9</v>
          </cell>
        </row>
        <row r="66">
          <cell r="A66">
            <v>0.6322106481481482</v>
          </cell>
          <cell r="B66">
            <v>123</v>
          </cell>
        </row>
        <row r="67">
          <cell r="A67">
            <v>0.63254629629629633</v>
          </cell>
          <cell r="B67">
            <v>120.9</v>
          </cell>
        </row>
        <row r="68">
          <cell r="A68">
            <v>0.63290509259259264</v>
          </cell>
          <cell r="B68">
            <v>123.6</v>
          </cell>
        </row>
        <row r="69">
          <cell r="A69">
            <v>0.63325231481481481</v>
          </cell>
          <cell r="B69">
            <v>122</v>
          </cell>
        </row>
        <row r="70">
          <cell r="A70">
            <v>0.63359953703703709</v>
          </cell>
          <cell r="B70">
            <v>121.6</v>
          </cell>
        </row>
        <row r="71">
          <cell r="A71">
            <v>0.63394675925925925</v>
          </cell>
          <cell r="B71">
            <v>122.6</v>
          </cell>
        </row>
        <row r="72">
          <cell r="A72">
            <v>0.63429398148148153</v>
          </cell>
          <cell r="B72">
            <v>121.2</v>
          </cell>
        </row>
        <row r="73">
          <cell r="A73">
            <v>0.63464120370370369</v>
          </cell>
          <cell r="B73">
            <v>123.4</v>
          </cell>
        </row>
        <row r="74">
          <cell r="A74">
            <v>0.63498842592592597</v>
          </cell>
          <cell r="B74">
            <v>122.3</v>
          </cell>
        </row>
        <row r="75">
          <cell r="A75">
            <v>0.63533564814814814</v>
          </cell>
          <cell r="B75">
            <v>120.7</v>
          </cell>
        </row>
        <row r="76">
          <cell r="A76">
            <v>0.63568287037037041</v>
          </cell>
          <cell r="B76">
            <v>123.8</v>
          </cell>
        </row>
        <row r="77">
          <cell r="A77">
            <v>0.63603009259259258</v>
          </cell>
          <cell r="B77">
            <v>122.3</v>
          </cell>
        </row>
        <row r="78">
          <cell r="A78">
            <v>0.63637731481481485</v>
          </cell>
          <cell r="B78">
            <v>120.9</v>
          </cell>
        </row>
        <row r="79">
          <cell r="A79">
            <v>0.63672453703703702</v>
          </cell>
          <cell r="B79">
            <v>123.3</v>
          </cell>
        </row>
        <row r="80">
          <cell r="A80">
            <v>0.6370717592592593</v>
          </cell>
          <cell r="B80">
            <v>121.9</v>
          </cell>
        </row>
        <row r="81">
          <cell r="A81">
            <v>0.63741898148148146</v>
          </cell>
          <cell r="B81">
            <v>121.3</v>
          </cell>
        </row>
        <row r="82">
          <cell r="A82">
            <v>0.63776620370370374</v>
          </cell>
          <cell r="B82">
            <v>123</v>
          </cell>
        </row>
        <row r="83">
          <cell r="A83">
            <v>0.6381134259259259</v>
          </cell>
          <cell r="B83">
            <v>121.8</v>
          </cell>
        </row>
        <row r="84">
          <cell r="A84">
            <v>0.63846064814814818</v>
          </cell>
          <cell r="B84">
            <v>121.6</v>
          </cell>
        </row>
        <row r="85">
          <cell r="A85">
            <v>0.63880787037037035</v>
          </cell>
          <cell r="B85">
            <v>122.8</v>
          </cell>
        </row>
        <row r="86">
          <cell r="A86">
            <v>0.63915509259259262</v>
          </cell>
          <cell r="B86">
            <v>121.4</v>
          </cell>
        </row>
        <row r="87">
          <cell r="A87">
            <v>0.63950231481481479</v>
          </cell>
          <cell r="B87">
            <v>122.4</v>
          </cell>
        </row>
        <row r="88">
          <cell r="A88">
            <v>0.63984953703703706</v>
          </cell>
          <cell r="B88">
            <v>115.6</v>
          </cell>
        </row>
        <row r="89">
          <cell r="A89">
            <v>0.64019675925925923</v>
          </cell>
          <cell r="B89">
            <v>111.9</v>
          </cell>
        </row>
        <row r="90">
          <cell r="A90">
            <v>0.64054398148148151</v>
          </cell>
          <cell r="B90">
            <v>106.9</v>
          </cell>
        </row>
        <row r="91">
          <cell r="A91">
            <v>0.64089120370370367</v>
          </cell>
          <cell r="B91">
            <v>88</v>
          </cell>
        </row>
        <row r="92">
          <cell r="A92">
            <v>0.64123842592592595</v>
          </cell>
          <cell r="B92">
            <v>81.2</v>
          </cell>
        </row>
        <row r="93">
          <cell r="A93">
            <v>0.64158564814814811</v>
          </cell>
          <cell r="B93">
            <v>76.900000000000006</v>
          </cell>
        </row>
        <row r="94">
          <cell r="A94">
            <v>0.64193287037037039</v>
          </cell>
          <cell r="B94">
            <v>73.099999999999994</v>
          </cell>
        </row>
        <row r="95">
          <cell r="A95">
            <v>0.64228009259259256</v>
          </cell>
          <cell r="B95">
            <v>69.7</v>
          </cell>
        </row>
        <row r="96">
          <cell r="A96">
            <v>0.64262731481481483</v>
          </cell>
          <cell r="B96">
            <v>66.7</v>
          </cell>
        </row>
        <row r="97">
          <cell r="A97">
            <v>0.642974537037037</v>
          </cell>
          <cell r="B97">
            <v>64.3</v>
          </cell>
        </row>
        <row r="98">
          <cell r="A98">
            <v>0.64332175925925927</v>
          </cell>
          <cell r="B98">
            <v>62.1</v>
          </cell>
        </row>
        <row r="99">
          <cell r="A99">
            <v>0.64366898148148144</v>
          </cell>
          <cell r="B99">
            <v>60.2</v>
          </cell>
        </row>
        <row r="100">
          <cell r="A100">
            <v>0.64401620370370372</v>
          </cell>
          <cell r="B100">
            <v>58.3</v>
          </cell>
        </row>
        <row r="101">
          <cell r="A101">
            <v>0.64436342592592588</v>
          </cell>
          <cell r="B101">
            <v>56.8</v>
          </cell>
        </row>
        <row r="102">
          <cell r="A102">
            <v>0.64471064814814816</v>
          </cell>
          <cell r="B102">
            <v>55.2</v>
          </cell>
        </row>
        <row r="103">
          <cell r="A103">
            <v>0.64505787037037032</v>
          </cell>
          <cell r="B103">
            <v>53.8</v>
          </cell>
        </row>
        <row r="104">
          <cell r="A104">
            <v>0.6454050925925926</v>
          </cell>
          <cell r="B104">
            <v>52.6</v>
          </cell>
        </row>
        <row r="105">
          <cell r="A105">
            <v>0.64575231481481477</v>
          </cell>
          <cell r="B105">
            <v>51.4</v>
          </cell>
        </row>
        <row r="106">
          <cell r="A106">
            <v>0.64609953703703704</v>
          </cell>
          <cell r="B106">
            <v>50.3</v>
          </cell>
        </row>
        <row r="107">
          <cell r="A107">
            <v>0.64644675925925921</v>
          </cell>
          <cell r="B107">
            <v>49.3</v>
          </cell>
        </row>
        <row r="108">
          <cell r="A108">
            <v>0.64679398148148148</v>
          </cell>
          <cell r="B108">
            <v>48.3</v>
          </cell>
        </row>
        <row r="109">
          <cell r="A109">
            <v>0.64714120370370365</v>
          </cell>
          <cell r="B109">
            <v>47.5</v>
          </cell>
        </row>
        <row r="110">
          <cell r="A110">
            <v>0.64748842592592593</v>
          </cell>
          <cell r="B110">
            <v>46.7</v>
          </cell>
        </row>
        <row r="111">
          <cell r="A111">
            <v>0.6478356481481482</v>
          </cell>
          <cell r="B111">
            <v>46.1</v>
          </cell>
        </row>
        <row r="112">
          <cell r="A112">
            <v>0.64818287037037037</v>
          </cell>
          <cell r="B112">
            <v>45.4</v>
          </cell>
        </row>
        <row r="113">
          <cell r="A113">
            <v>0.64853009259259264</v>
          </cell>
          <cell r="B113">
            <v>45</v>
          </cell>
        </row>
        <row r="114">
          <cell r="A114">
            <v>0.64887731481481481</v>
          </cell>
          <cell r="B114">
            <v>44.9</v>
          </cell>
        </row>
        <row r="115">
          <cell r="A115">
            <v>0.64922453703703709</v>
          </cell>
          <cell r="B115">
            <v>44.8</v>
          </cell>
        </row>
        <row r="116">
          <cell r="A116">
            <v>0.64957175925925925</v>
          </cell>
          <cell r="B116">
            <v>44.7</v>
          </cell>
        </row>
        <row r="117">
          <cell r="A117">
            <v>0.64991898148148153</v>
          </cell>
          <cell r="B117">
            <v>44.7</v>
          </cell>
        </row>
        <row r="118">
          <cell r="A118">
            <v>0.65026620370370369</v>
          </cell>
          <cell r="B118">
            <v>44.7</v>
          </cell>
        </row>
        <row r="119">
          <cell r="A119">
            <v>0.65061342592592597</v>
          </cell>
          <cell r="B119">
            <v>44.8</v>
          </cell>
        </row>
        <row r="120">
          <cell r="A120">
            <v>0.65096064814814814</v>
          </cell>
          <cell r="B120">
            <v>45</v>
          </cell>
        </row>
        <row r="121">
          <cell r="A121">
            <v>0.65130787037037041</v>
          </cell>
          <cell r="B121">
            <v>45</v>
          </cell>
        </row>
        <row r="122">
          <cell r="A122">
            <v>0.65165509259259258</v>
          </cell>
          <cell r="B122">
            <v>45</v>
          </cell>
        </row>
        <row r="128">
          <cell r="B128" t="str">
            <v>Temprature</v>
          </cell>
        </row>
        <row r="129">
          <cell r="A129">
            <v>0.62146990740740737</v>
          </cell>
          <cell r="B129">
            <v>34.799999999999997</v>
          </cell>
        </row>
        <row r="130">
          <cell r="A130">
            <v>0.62181712962962965</v>
          </cell>
          <cell r="B130">
            <v>34.5</v>
          </cell>
        </row>
        <row r="131">
          <cell r="A131">
            <v>0.62216435185185182</v>
          </cell>
          <cell r="B131">
            <v>35</v>
          </cell>
        </row>
        <row r="132">
          <cell r="A132">
            <v>0.62251157407407409</v>
          </cell>
          <cell r="B132">
            <v>37.200000000000003</v>
          </cell>
        </row>
        <row r="133">
          <cell r="A133">
            <v>0.62285879629629626</v>
          </cell>
          <cell r="B133">
            <v>42.5</v>
          </cell>
        </row>
        <row r="134">
          <cell r="A134">
            <v>0.62320601851851853</v>
          </cell>
          <cell r="B134">
            <v>48.1</v>
          </cell>
        </row>
        <row r="135">
          <cell r="A135">
            <v>0.6235532407407407</v>
          </cell>
          <cell r="B135">
            <v>53.3</v>
          </cell>
        </row>
        <row r="136">
          <cell r="A136">
            <v>0.62390046296296298</v>
          </cell>
          <cell r="B136">
            <v>57.9</v>
          </cell>
        </row>
        <row r="137">
          <cell r="A137">
            <v>0.62424768518518514</v>
          </cell>
          <cell r="B137">
            <v>62.1</v>
          </cell>
        </row>
        <row r="138">
          <cell r="A138">
            <v>0.62459490740740742</v>
          </cell>
          <cell r="B138">
            <v>64.900000000000006</v>
          </cell>
        </row>
        <row r="139">
          <cell r="A139">
            <v>0.62494212962962958</v>
          </cell>
          <cell r="B139">
            <v>67.400000000000006</v>
          </cell>
        </row>
        <row r="140">
          <cell r="A140">
            <v>0.62528935185185186</v>
          </cell>
          <cell r="B140">
            <v>69.7</v>
          </cell>
        </row>
        <row r="141">
          <cell r="A141">
            <v>0.62563657407407403</v>
          </cell>
          <cell r="B141">
            <v>73.400000000000006</v>
          </cell>
        </row>
        <row r="142">
          <cell r="A142">
            <v>0.6259837962962963</v>
          </cell>
          <cell r="B142">
            <v>76.3</v>
          </cell>
        </row>
        <row r="143">
          <cell r="A143">
            <v>0.62633101851851847</v>
          </cell>
          <cell r="B143">
            <v>78.7</v>
          </cell>
        </row>
        <row r="144">
          <cell r="A144">
            <v>0.62667824074074074</v>
          </cell>
          <cell r="B144">
            <v>80</v>
          </cell>
        </row>
        <row r="145">
          <cell r="A145">
            <v>0.62702546296296291</v>
          </cell>
          <cell r="B145">
            <v>81.5</v>
          </cell>
        </row>
        <row r="146">
          <cell r="A146">
            <v>0.62737268518518519</v>
          </cell>
          <cell r="B146">
            <v>82.8</v>
          </cell>
        </row>
        <row r="147">
          <cell r="A147">
            <v>0.62771990740740746</v>
          </cell>
          <cell r="B147">
            <v>84.1</v>
          </cell>
        </row>
        <row r="148">
          <cell r="A148">
            <v>0.62806712962962963</v>
          </cell>
          <cell r="B148">
            <v>84.8</v>
          </cell>
        </row>
        <row r="149">
          <cell r="A149">
            <v>0.6284143518518519</v>
          </cell>
          <cell r="B149">
            <v>85.5</v>
          </cell>
        </row>
        <row r="150">
          <cell r="A150">
            <v>0.62876157407407407</v>
          </cell>
          <cell r="B150">
            <v>86.1</v>
          </cell>
        </row>
        <row r="151">
          <cell r="A151">
            <v>0.62910879629629635</v>
          </cell>
          <cell r="B151">
            <v>86.4</v>
          </cell>
        </row>
        <row r="152">
          <cell r="A152">
            <v>0.62945601851851851</v>
          </cell>
          <cell r="B152">
            <v>87.2</v>
          </cell>
        </row>
        <row r="153">
          <cell r="A153">
            <v>0.62980324074074079</v>
          </cell>
          <cell r="B153">
            <v>88.2</v>
          </cell>
        </row>
        <row r="154">
          <cell r="A154">
            <v>0.63015046296296295</v>
          </cell>
          <cell r="B154">
            <v>89.8</v>
          </cell>
        </row>
        <row r="155">
          <cell r="A155">
            <v>0.63049768518518523</v>
          </cell>
          <cell r="B155">
            <v>92.3</v>
          </cell>
        </row>
        <row r="156">
          <cell r="A156">
            <v>0.6308449074074074</v>
          </cell>
          <cell r="B156">
            <v>94.4</v>
          </cell>
        </row>
        <row r="157">
          <cell r="A157">
            <v>0.63119212962962967</v>
          </cell>
          <cell r="B157">
            <v>96.5</v>
          </cell>
        </row>
        <row r="158">
          <cell r="A158">
            <v>0.63153935185185184</v>
          </cell>
          <cell r="B158">
            <v>98.7</v>
          </cell>
        </row>
        <row r="159">
          <cell r="A159">
            <v>0.63188657407407411</v>
          </cell>
          <cell r="B159">
            <v>100.8</v>
          </cell>
        </row>
        <row r="160">
          <cell r="A160">
            <v>0.63223379629629628</v>
          </cell>
          <cell r="B160">
            <v>103.7</v>
          </cell>
        </row>
        <row r="161">
          <cell r="A161">
            <v>0.63258101851851856</v>
          </cell>
          <cell r="B161">
            <v>106.7</v>
          </cell>
        </row>
        <row r="162">
          <cell r="A162">
            <v>0.63292824074074072</v>
          </cell>
          <cell r="B162">
            <v>109.5</v>
          </cell>
        </row>
        <row r="163">
          <cell r="A163">
            <v>0.633275462962963</v>
          </cell>
          <cell r="B163">
            <v>111.5</v>
          </cell>
        </row>
        <row r="164">
          <cell r="A164">
            <v>0.63362268518518516</v>
          </cell>
          <cell r="B164">
            <v>112.7</v>
          </cell>
        </row>
        <row r="165">
          <cell r="A165">
            <v>0.63396990740740744</v>
          </cell>
          <cell r="B165">
            <v>113.8</v>
          </cell>
        </row>
        <row r="166">
          <cell r="A166">
            <v>0.63431712962962961</v>
          </cell>
          <cell r="B166">
            <v>114.8</v>
          </cell>
        </row>
        <row r="167">
          <cell r="A167">
            <v>0.63466435185185188</v>
          </cell>
          <cell r="B167">
            <v>115.6</v>
          </cell>
        </row>
        <row r="168">
          <cell r="A168">
            <v>0.63501157407407405</v>
          </cell>
          <cell r="B168">
            <v>116.4</v>
          </cell>
        </row>
        <row r="169">
          <cell r="A169">
            <v>0.63535879629629632</v>
          </cell>
          <cell r="B169">
            <v>117.2</v>
          </cell>
        </row>
        <row r="170">
          <cell r="A170">
            <v>0.63570601851851849</v>
          </cell>
          <cell r="B170">
            <v>118.1</v>
          </cell>
        </row>
        <row r="171">
          <cell r="A171">
            <v>0.63605324074074077</v>
          </cell>
          <cell r="B171">
            <v>118.9</v>
          </cell>
        </row>
        <row r="172">
          <cell r="A172">
            <v>0.63640046296296293</v>
          </cell>
          <cell r="B172">
            <v>119.7</v>
          </cell>
        </row>
        <row r="173">
          <cell r="A173">
            <v>0.63674768518518521</v>
          </cell>
          <cell r="B173">
            <v>120.5</v>
          </cell>
        </row>
        <row r="174">
          <cell r="A174">
            <v>0.63709490740740737</v>
          </cell>
          <cell r="B174">
            <v>121.2</v>
          </cell>
        </row>
        <row r="175">
          <cell r="A175">
            <v>0.63744212962962965</v>
          </cell>
          <cell r="B175">
            <v>121.2</v>
          </cell>
        </row>
        <row r="176">
          <cell r="A176">
            <v>0.63778935185185182</v>
          </cell>
          <cell r="B176">
            <v>120.7</v>
          </cell>
        </row>
        <row r="177">
          <cell r="A177">
            <v>0.63813657407407409</v>
          </cell>
          <cell r="B177">
            <v>122.6</v>
          </cell>
        </row>
        <row r="178">
          <cell r="A178">
            <v>0.63848379629629626</v>
          </cell>
          <cell r="B178">
            <v>122</v>
          </cell>
        </row>
        <row r="179">
          <cell r="A179">
            <v>0.63883101851851853</v>
          </cell>
          <cell r="B179">
            <v>121.1</v>
          </cell>
        </row>
        <row r="180">
          <cell r="A180">
            <v>0.6391782407407407</v>
          </cell>
          <cell r="B180">
            <v>121.1</v>
          </cell>
        </row>
        <row r="181">
          <cell r="A181">
            <v>0.63952546296296298</v>
          </cell>
          <cell r="B181">
            <v>123.4</v>
          </cell>
        </row>
        <row r="182">
          <cell r="A182">
            <v>0.63987268518518514</v>
          </cell>
          <cell r="B182">
            <v>122.7</v>
          </cell>
        </row>
        <row r="183">
          <cell r="A183">
            <v>0.64021990740740742</v>
          </cell>
          <cell r="B183">
            <v>121.9</v>
          </cell>
        </row>
        <row r="184">
          <cell r="A184">
            <v>0.64056712962962958</v>
          </cell>
          <cell r="B184">
            <v>121</v>
          </cell>
        </row>
        <row r="185">
          <cell r="A185">
            <v>0.64091435185185186</v>
          </cell>
          <cell r="B185">
            <v>121.7</v>
          </cell>
        </row>
        <row r="186">
          <cell r="A186">
            <v>0.64126157407407403</v>
          </cell>
          <cell r="B186">
            <v>122.9</v>
          </cell>
        </row>
        <row r="187">
          <cell r="A187">
            <v>0.6416087962962963</v>
          </cell>
          <cell r="B187">
            <v>122.1</v>
          </cell>
        </row>
        <row r="188">
          <cell r="A188">
            <v>0.64195601851851847</v>
          </cell>
          <cell r="B188">
            <v>121.2</v>
          </cell>
        </row>
        <row r="189">
          <cell r="A189">
            <v>0.64230324074074074</v>
          </cell>
          <cell r="B189">
            <v>121.2</v>
          </cell>
        </row>
        <row r="190">
          <cell r="A190">
            <v>0.64265046296296291</v>
          </cell>
          <cell r="B190">
            <v>122.6</v>
          </cell>
        </row>
        <row r="191">
          <cell r="A191">
            <v>0.64299768518518519</v>
          </cell>
          <cell r="B191">
            <v>121.7</v>
          </cell>
        </row>
        <row r="192">
          <cell r="A192">
            <v>0.64334490740740746</v>
          </cell>
          <cell r="B192">
            <v>120.9</v>
          </cell>
        </row>
        <row r="193">
          <cell r="A193">
            <v>0.64369212962962963</v>
          </cell>
          <cell r="B193">
            <v>122.1</v>
          </cell>
        </row>
        <row r="194">
          <cell r="A194">
            <v>0.6440393518518519</v>
          </cell>
          <cell r="B194">
            <v>122.2</v>
          </cell>
        </row>
        <row r="195">
          <cell r="A195">
            <v>0.64438657407407407</v>
          </cell>
          <cell r="B195">
            <v>115.9</v>
          </cell>
        </row>
        <row r="196">
          <cell r="A196">
            <v>0.64473379629629635</v>
          </cell>
          <cell r="B196">
            <v>112.2</v>
          </cell>
        </row>
        <row r="197">
          <cell r="A197">
            <v>0.64508101851851851</v>
          </cell>
          <cell r="B197">
            <v>102</v>
          </cell>
        </row>
        <row r="198">
          <cell r="A198">
            <v>0.64542824074074079</v>
          </cell>
          <cell r="B198">
            <v>85.1</v>
          </cell>
        </row>
        <row r="199">
          <cell r="A199">
            <v>0.64577546296296295</v>
          </cell>
          <cell r="B199">
            <v>79.8</v>
          </cell>
        </row>
        <row r="200">
          <cell r="A200">
            <v>0.64612268518518523</v>
          </cell>
          <cell r="B200">
            <v>75.900000000000006</v>
          </cell>
        </row>
        <row r="201">
          <cell r="A201">
            <v>0.6464699074074074</v>
          </cell>
          <cell r="B201">
            <v>72.2</v>
          </cell>
        </row>
        <row r="202">
          <cell r="A202">
            <v>0.64681712962962967</v>
          </cell>
          <cell r="B202">
            <v>69.099999999999994</v>
          </cell>
        </row>
        <row r="203">
          <cell r="A203">
            <v>0.64716435185185184</v>
          </cell>
          <cell r="B203">
            <v>66.400000000000006</v>
          </cell>
        </row>
        <row r="204">
          <cell r="A204">
            <v>0.64751157407407411</v>
          </cell>
          <cell r="B204">
            <v>64</v>
          </cell>
        </row>
        <row r="205">
          <cell r="A205">
            <v>0.64785879629629628</v>
          </cell>
          <cell r="B205">
            <v>61.5</v>
          </cell>
        </row>
        <row r="206">
          <cell r="A206">
            <v>0.64820601851851856</v>
          </cell>
          <cell r="B206">
            <v>59.6</v>
          </cell>
        </row>
        <row r="207">
          <cell r="A207">
            <v>0.64855324074074072</v>
          </cell>
          <cell r="B207">
            <v>57.9</v>
          </cell>
        </row>
        <row r="208">
          <cell r="A208">
            <v>0.648900462962963</v>
          </cell>
          <cell r="B208">
            <v>56.3</v>
          </cell>
        </row>
        <row r="209">
          <cell r="A209">
            <v>0.64924768518518516</v>
          </cell>
          <cell r="B209">
            <v>54.9</v>
          </cell>
        </row>
        <row r="210">
          <cell r="A210">
            <v>0.64959490740740744</v>
          </cell>
          <cell r="B210">
            <v>53.7</v>
          </cell>
        </row>
        <row r="211">
          <cell r="A211">
            <v>0.64994212962962961</v>
          </cell>
          <cell r="B211">
            <v>52.6</v>
          </cell>
        </row>
        <row r="212">
          <cell r="A212">
            <v>0.65028935185185188</v>
          </cell>
          <cell r="B212">
            <v>51.6</v>
          </cell>
        </row>
        <row r="213">
          <cell r="A213">
            <v>0.65063657407407405</v>
          </cell>
          <cell r="B213">
            <v>50.7</v>
          </cell>
        </row>
        <row r="214">
          <cell r="A214">
            <v>0.65098379629629632</v>
          </cell>
          <cell r="B214">
            <v>50</v>
          </cell>
        </row>
        <row r="215">
          <cell r="A215">
            <v>0.65133101851851849</v>
          </cell>
          <cell r="B215">
            <v>49.3</v>
          </cell>
        </row>
        <row r="216">
          <cell r="A216">
            <v>0.65167824074074077</v>
          </cell>
          <cell r="B216">
            <v>48.6</v>
          </cell>
        </row>
        <row r="217">
          <cell r="A217">
            <v>0.65202546296296293</v>
          </cell>
          <cell r="B217">
            <v>48.1</v>
          </cell>
        </row>
        <row r="218">
          <cell r="A218">
            <v>0.65237268518518521</v>
          </cell>
          <cell r="B218">
            <v>47.5</v>
          </cell>
        </row>
        <row r="219">
          <cell r="A219">
            <v>0.65271990740740737</v>
          </cell>
          <cell r="B219">
            <v>47</v>
          </cell>
        </row>
        <row r="220">
          <cell r="A220">
            <v>0.65306712962962965</v>
          </cell>
          <cell r="B220">
            <v>46.7</v>
          </cell>
        </row>
        <row r="221">
          <cell r="A221">
            <v>0.65341435185185182</v>
          </cell>
          <cell r="B221">
            <v>46.3</v>
          </cell>
        </row>
        <row r="222">
          <cell r="A222">
            <v>0.65376157407407409</v>
          </cell>
          <cell r="B222">
            <v>45.9</v>
          </cell>
        </row>
        <row r="223">
          <cell r="A223">
            <v>0.65410879629629626</v>
          </cell>
          <cell r="B223">
            <v>45.5</v>
          </cell>
        </row>
        <row r="224">
          <cell r="A224">
            <v>0.65445601851851853</v>
          </cell>
          <cell r="B224">
            <v>45.2</v>
          </cell>
        </row>
        <row r="225">
          <cell r="A225">
            <v>0.6548032407407407</v>
          </cell>
          <cell r="B225">
            <v>45</v>
          </cell>
        </row>
        <row r="226">
          <cell r="A226">
            <v>0.65515046296296298</v>
          </cell>
          <cell r="B226">
            <v>45</v>
          </cell>
        </row>
        <row r="227">
          <cell r="A227">
            <v>0.65549768518518514</v>
          </cell>
          <cell r="B227">
            <v>44.9</v>
          </cell>
        </row>
        <row r="228">
          <cell r="A228">
            <v>0.65584490740740742</v>
          </cell>
          <cell r="B228">
            <v>44.8</v>
          </cell>
        </row>
        <row r="229">
          <cell r="A229">
            <v>0.65620370370370373</v>
          </cell>
          <cell r="B229">
            <v>44.8</v>
          </cell>
        </row>
        <row r="230">
          <cell r="A230">
            <v>0.65653935185185186</v>
          </cell>
          <cell r="B230">
            <v>44.8</v>
          </cell>
        </row>
        <row r="231">
          <cell r="A231">
            <v>0.65689814814814818</v>
          </cell>
          <cell r="B231">
            <v>44.8</v>
          </cell>
        </row>
        <row r="232">
          <cell r="A232">
            <v>0.6572337962962963</v>
          </cell>
          <cell r="B232">
            <v>45</v>
          </cell>
        </row>
        <row r="233">
          <cell r="A233">
            <v>0.65759259259259262</v>
          </cell>
          <cell r="B233">
            <v>45</v>
          </cell>
        </row>
        <row r="239">
          <cell r="B239" t="str">
            <v>Temprature</v>
          </cell>
        </row>
        <row r="240">
          <cell r="A240">
            <v>0.61641203703703706</v>
          </cell>
          <cell r="B240">
            <v>35</v>
          </cell>
        </row>
        <row r="241">
          <cell r="A241">
            <v>0.61675925925925923</v>
          </cell>
          <cell r="B241">
            <v>35</v>
          </cell>
        </row>
        <row r="242">
          <cell r="A242">
            <v>0.61710648148148151</v>
          </cell>
          <cell r="B242">
            <v>35.1</v>
          </cell>
        </row>
        <row r="243">
          <cell r="A243">
            <v>0.61745370370370367</v>
          </cell>
          <cell r="B243">
            <v>36.200000000000003</v>
          </cell>
        </row>
        <row r="244">
          <cell r="A244">
            <v>0.61780092592592595</v>
          </cell>
          <cell r="B244">
            <v>41.3</v>
          </cell>
        </row>
        <row r="245">
          <cell r="A245">
            <v>0.61814814814814811</v>
          </cell>
          <cell r="B245">
            <v>66.7</v>
          </cell>
        </row>
        <row r="246">
          <cell r="A246">
            <v>0.61849537037037039</v>
          </cell>
          <cell r="B246">
            <v>75.400000000000006</v>
          </cell>
        </row>
        <row r="247">
          <cell r="A247">
            <v>0.61884259259259256</v>
          </cell>
          <cell r="B247">
            <v>81.599999999999994</v>
          </cell>
        </row>
        <row r="248">
          <cell r="A248">
            <v>0.61918981481481483</v>
          </cell>
          <cell r="B248">
            <v>86.4</v>
          </cell>
        </row>
        <row r="249">
          <cell r="A249">
            <v>0.619537037037037</v>
          </cell>
          <cell r="B249">
            <v>90</v>
          </cell>
        </row>
        <row r="250">
          <cell r="A250">
            <v>0.61988425925925927</v>
          </cell>
          <cell r="B250">
            <v>92.6</v>
          </cell>
        </row>
        <row r="251">
          <cell r="A251">
            <v>0.62023148148148144</v>
          </cell>
          <cell r="B251">
            <v>94.7</v>
          </cell>
        </row>
        <row r="252">
          <cell r="A252">
            <v>0.62057870370370372</v>
          </cell>
          <cell r="B252">
            <v>96.4</v>
          </cell>
        </row>
        <row r="253">
          <cell r="A253">
            <v>0.62092592592592588</v>
          </cell>
          <cell r="B253">
            <v>97.5</v>
          </cell>
        </row>
        <row r="254">
          <cell r="A254">
            <v>0.62127314814814816</v>
          </cell>
          <cell r="B254">
            <v>98.5</v>
          </cell>
        </row>
        <row r="255">
          <cell r="A255">
            <v>0.62162037037037032</v>
          </cell>
          <cell r="B255">
            <v>99.3</v>
          </cell>
        </row>
        <row r="256">
          <cell r="A256">
            <v>0.6219675925925926</v>
          </cell>
          <cell r="B256">
            <v>100.1</v>
          </cell>
        </row>
        <row r="257">
          <cell r="A257">
            <v>0.62231481481481477</v>
          </cell>
          <cell r="B257">
            <v>100.8</v>
          </cell>
        </row>
        <row r="258">
          <cell r="A258">
            <v>0.62266203703703704</v>
          </cell>
          <cell r="B258">
            <v>101.5</v>
          </cell>
        </row>
        <row r="259">
          <cell r="A259">
            <v>0.62300925925925921</v>
          </cell>
          <cell r="B259">
            <v>102.3</v>
          </cell>
        </row>
        <row r="260">
          <cell r="A260">
            <v>0.62335648148148148</v>
          </cell>
          <cell r="B260">
            <v>102.9</v>
          </cell>
        </row>
        <row r="261">
          <cell r="A261">
            <v>0.62370370370370365</v>
          </cell>
          <cell r="B261">
            <v>103.6</v>
          </cell>
        </row>
        <row r="262">
          <cell r="A262">
            <v>0.62405092592592593</v>
          </cell>
          <cell r="B262">
            <v>104.3</v>
          </cell>
        </row>
        <row r="263">
          <cell r="A263">
            <v>0.6243981481481482</v>
          </cell>
          <cell r="B263">
            <v>104.9</v>
          </cell>
        </row>
        <row r="264">
          <cell r="A264">
            <v>0.62474537037037037</v>
          </cell>
          <cell r="B264">
            <v>105.6</v>
          </cell>
        </row>
        <row r="265">
          <cell r="A265">
            <v>0.62509259259259264</v>
          </cell>
          <cell r="B265">
            <v>106.3</v>
          </cell>
        </row>
        <row r="266">
          <cell r="A266">
            <v>0.62543981481481481</v>
          </cell>
          <cell r="B266">
            <v>106.9</v>
          </cell>
        </row>
        <row r="267">
          <cell r="A267">
            <v>0.62578703703703709</v>
          </cell>
          <cell r="B267">
            <v>107.6</v>
          </cell>
        </row>
        <row r="268">
          <cell r="A268">
            <v>0.62613425925925925</v>
          </cell>
          <cell r="B268">
            <v>108.4</v>
          </cell>
        </row>
        <row r="269">
          <cell r="A269">
            <v>0.62648148148148153</v>
          </cell>
          <cell r="B269">
            <v>109</v>
          </cell>
        </row>
        <row r="270">
          <cell r="A270">
            <v>0.62682870370370369</v>
          </cell>
          <cell r="B270">
            <v>109.7</v>
          </cell>
        </row>
        <row r="271">
          <cell r="A271">
            <v>0.62717592592592597</v>
          </cell>
          <cell r="B271">
            <v>110.3</v>
          </cell>
        </row>
        <row r="272">
          <cell r="A272">
            <v>0.62752314814814814</v>
          </cell>
          <cell r="B272">
            <v>110.9</v>
          </cell>
        </row>
        <row r="273">
          <cell r="A273">
            <v>0.62787037037037041</v>
          </cell>
          <cell r="B273">
            <v>111.7</v>
          </cell>
        </row>
        <row r="274">
          <cell r="A274">
            <v>0.62821759259259258</v>
          </cell>
          <cell r="B274">
            <v>112.3</v>
          </cell>
        </row>
        <row r="275">
          <cell r="A275">
            <v>0.62856481481481485</v>
          </cell>
          <cell r="B275">
            <v>112.9</v>
          </cell>
        </row>
        <row r="276">
          <cell r="A276">
            <v>0.62891203703703702</v>
          </cell>
          <cell r="B276">
            <v>113.7</v>
          </cell>
        </row>
        <row r="277">
          <cell r="A277">
            <v>0.6292592592592593</v>
          </cell>
          <cell r="B277">
            <v>114.3</v>
          </cell>
        </row>
        <row r="278">
          <cell r="A278">
            <v>0.62960648148148146</v>
          </cell>
          <cell r="B278">
            <v>115</v>
          </cell>
        </row>
        <row r="279">
          <cell r="A279">
            <v>0.62995370370370374</v>
          </cell>
          <cell r="B279">
            <v>115.6</v>
          </cell>
        </row>
        <row r="280">
          <cell r="A280">
            <v>0.6303009259259259</v>
          </cell>
          <cell r="B280">
            <v>116.2</v>
          </cell>
        </row>
        <row r="281">
          <cell r="A281">
            <v>0.63064814814814818</v>
          </cell>
          <cell r="B281">
            <v>116.9</v>
          </cell>
        </row>
        <row r="282">
          <cell r="A282">
            <v>0.63099537037037035</v>
          </cell>
          <cell r="B282">
            <v>117.5</v>
          </cell>
        </row>
        <row r="283">
          <cell r="A283">
            <v>0.63134259259259262</v>
          </cell>
          <cell r="B283">
            <v>118.1</v>
          </cell>
        </row>
        <row r="284">
          <cell r="A284">
            <v>0.63168981481481479</v>
          </cell>
          <cell r="B284">
            <v>118.7</v>
          </cell>
        </row>
        <row r="285">
          <cell r="A285">
            <v>0.63203703703703706</v>
          </cell>
          <cell r="B285">
            <v>119.4</v>
          </cell>
        </row>
        <row r="286">
          <cell r="A286">
            <v>0.63238425925925923</v>
          </cell>
          <cell r="B286">
            <v>120</v>
          </cell>
        </row>
        <row r="287">
          <cell r="A287">
            <v>0.63273148148148151</v>
          </cell>
          <cell r="B287">
            <v>120.5</v>
          </cell>
        </row>
        <row r="288">
          <cell r="A288">
            <v>0.63307870370370367</v>
          </cell>
          <cell r="B288">
            <v>121</v>
          </cell>
        </row>
        <row r="289">
          <cell r="A289">
            <v>0.63342592592592595</v>
          </cell>
          <cell r="B289">
            <v>121.4</v>
          </cell>
        </row>
        <row r="290">
          <cell r="A290">
            <v>0.63377314814814811</v>
          </cell>
          <cell r="B290">
            <v>121.1</v>
          </cell>
        </row>
        <row r="291">
          <cell r="A291">
            <v>0.63412037037037039</v>
          </cell>
          <cell r="B291">
            <v>120.6</v>
          </cell>
        </row>
        <row r="292">
          <cell r="A292">
            <v>0.63446759259259256</v>
          </cell>
          <cell r="B292">
            <v>121.1</v>
          </cell>
        </row>
        <row r="293">
          <cell r="A293">
            <v>0.63481481481481483</v>
          </cell>
          <cell r="B293">
            <v>122.1</v>
          </cell>
        </row>
        <row r="294">
          <cell r="A294">
            <v>0.635162037037037</v>
          </cell>
          <cell r="B294">
            <v>121.8</v>
          </cell>
        </row>
        <row r="295">
          <cell r="A295">
            <v>0.63550925925925927</v>
          </cell>
          <cell r="B295">
            <v>121.2</v>
          </cell>
        </row>
        <row r="296">
          <cell r="A296">
            <v>0.63585648148148144</v>
          </cell>
          <cell r="B296">
            <v>120.7</v>
          </cell>
        </row>
        <row r="297">
          <cell r="A297">
            <v>0.63620370370370372</v>
          </cell>
          <cell r="B297">
            <v>120.8</v>
          </cell>
        </row>
        <row r="298">
          <cell r="A298">
            <v>0.63655092592592588</v>
          </cell>
          <cell r="B298">
            <v>121.8</v>
          </cell>
        </row>
        <row r="299">
          <cell r="A299">
            <v>0.63689814814814816</v>
          </cell>
          <cell r="B299">
            <v>121.8</v>
          </cell>
        </row>
        <row r="300">
          <cell r="A300">
            <v>0.63724537037037032</v>
          </cell>
          <cell r="B300">
            <v>121.2</v>
          </cell>
        </row>
        <row r="301">
          <cell r="A301">
            <v>0.6375925925925926</v>
          </cell>
          <cell r="B301">
            <v>120.8</v>
          </cell>
        </row>
        <row r="302">
          <cell r="A302">
            <v>0.63793981481481477</v>
          </cell>
          <cell r="B302">
            <v>120.8</v>
          </cell>
        </row>
        <row r="303">
          <cell r="A303">
            <v>0.63828703703703704</v>
          </cell>
          <cell r="B303">
            <v>121.7</v>
          </cell>
        </row>
        <row r="304">
          <cell r="A304">
            <v>0.63863425925925921</v>
          </cell>
          <cell r="B304">
            <v>121.8</v>
          </cell>
        </row>
        <row r="305">
          <cell r="A305">
            <v>0.63898148148148148</v>
          </cell>
          <cell r="B305">
            <v>120.8</v>
          </cell>
        </row>
        <row r="306">
          <cell r="A306">
            <v>0.63932870370370365</v>
          </cell>
          <cell r="B306">
            <v>120.3</v>
          </cell>
        </row>
        <row r="307">
          <cell r="A307">
            <v>0.63967592592592593</v>
          </cell>
          <cell r="B307">
            <v>121.2</v>
          </cell>
        </row>
        <row r="308">
          <cell r="A308">
            <v>0.6400231481481482</v>
          </cell>
          <cell r="B308">
            <v>121.8</v>
          </cell>
        </row>
        <row r="309">
          <cell r="A309">
            <v>0.64037037037037037</v>
          </cell>
          <cell r="B309">
            <v>121.4</v>
          </cell>
        </row>
        <row r="310">
          <cell r="A310">
            <v>0.64071759259259264</v>
          </cell>
          <cell r="B310">
            <v>121.1</v>
          </cell>
        </row>
        <row r="311">
          <cell r="A311">
            <v>0.64106481481481481</v>
          </cell>
          <cell r="B311">
            <v>120.7</v>
          </cell>
        </row>
        <row r="312">
          <cell r="A312">
            <v>0.64141203703703709</v>
          </cell>
          <cell r="B312">
            <v>121</v>
          </cell>
        </row>
        <row r="313">
          <cell r="A313">
            <v>0.64175925925925925</v>
          </cell>
          <cell r="B313">
            <v>121.6</v>
          </cell>
        </row>
        <row r="314">
          <cell r="A314">
            <v>0.64210648148148153</v>
          </cell>
          <cell r="B314">
            <v>121.4</v>
          </cell>
        </row>
        <row r="315">
          <cell r="A315">
            <v>0.64245370370370369</v>
          </cell>
          <cell r="B315">
            <v>121</v>
          </cell>
        </row>
        <row r="316">
          <cell r="A316">
            <v>0.64280092592592597</v>
          </cell>
          <cell r="B316">
            <v>120.6</v>
          </cell>
        </row>
        <row r="317">
          <cell r="A317">
            <v>0.64314814814814814</v>
          </cell>
          <cell r="B317">
            <v>121.1</v>
          </cell>
        </row>
        <row r="318">
          <cell r="A318">
            <v>0.64349537037037041</v>
          </cell>
          <cell r="B318">
            <v>121.5</v>
          </cell>
        </row>
        <row r="319">
          <cell r="A319">
            <v>0.64384259259259258</v>
          </cell>
          <cell r="B319">
            <v>121.2</v>
          </cell>
        </row>
        <row r="320">
          <cell r="A320">
            <v>0.64418981481481485</v>
          </cell>
          <cell r="B320">
            <v>120.9</v>
          </cell>
        </row>
        <row r="321">
          <cell r="A321">
            <v>0.64453703703703702</v>
          </cell>
          <cell r="B321">
            <v>120.7</v>
          </cell>
        </row>
        <row r="322">
          <cell r="A322">
            <v>0.6448842592592593</v>
          </cell>
          <cell r="B322">
            <v>121.2</v>
          </cell>
        </row>
        <row r="323">
          <cell r="A323">
            <v>0.64523148148148146</v>
          </cell>
          <cell r="B323">
            <v>121.2</v>
          </cell>
        </row>
        <row r="324">
          <cell r="A324">
            <v>0.64557870370370374</v>
          </cell>
          <cell r="B324">
            <v>120.8</v>
          </cell>
        </row>
        <row r="325">
          <cell r="A325">
            <v>0.6459259259259259</v>
          </cell>
          <cell r="B325">
            <v>120.9</v>
          </cell>
        </row>
        <row r="326">
          <cell r="A326">
            <v>0.64627314814814818</v>
          </cell>
          <cell r="B326">
            <v>121.1</v>
          </cell>
        </row>
        <row r="327">
          <cell r="A327">
            <v>0.64662037037037035</v>
          </cell>
          <cell r="B327">
            <v>120.9</v>
          </cell>
        </row>
        <row r="328">
          <cell r="A328">
            <v>0.64696759259259262</v>
          </cell>
          <cell r="B328">
            <v>120.6</v>
          </cell>
        </row>
        <row r="329">
          <cell r="A329">
            <v>0.64731481481481479</v>
          </cell>
          <cell r="B329">
            <v>120.8</v>
          </cell>
        </row>
        <row r="330">
          <cell r="A330">
            <v>0.64766203703703706</v>
          </cell>
          <cell r="B330">
            <v>121</v>
          </cell>
        </row>
        <row r="331">
          <cell r="A331">
            <v>0.64800925925925923</v>
          </cell>
          <cell r="B331">
            <v>120.9</v>
          </cell>
        </row>
        <row r="332">
          <cell r="A332">
            <v>0.64835648148148151</v>
          </cell>
          <cell r="B332">
            <v>120.7</v>
          </cell>
        </row>
        <row r="333">
          <cell r="A333">
            <v>0.64870370370370367</v>
          </cell>
          <cell r="B333">
            <v>120.8</v>
          </cell>
        </row>
        <row r="334">
          <cell r="A334">
            <v>0.64905092592592595</v>
          </cell>
          <cell r="B334">
            <v>120.8</v>
          </cell>
        </row>
        <row r="335">
          <cell r="A335">
            <v>0.64939814814814811</v>
          </cell>
          <cell r="B335">
            <v>120.9</v>
          </cell>
        </row>
        <row r="336">
          <cell r="A336">
            <v>0.64974537037037039</v>
          </cell>
          <cell r="B336">
            <v>120.9</v>
          </cell>
        </row>
        <row r="337">
          <cell r="A337">
            <v>0.65009259259259256</v>
          </cell>
          <cell r="B337">
            <v>120.9</v>
          </cell>
        </row>
        <row r="338">
          <cell r="A338">
            <v>0.65043981481481483</v>
          </cell>
          <cell r="B338">
            <v>120.8</v>
          </cell>
        </row>
        <row r="339">
          <cell r="A339">
            <v>0.650787037037037</v>
          </cell>
          <cell r="B339">
            <v>120.7</v>
          </cell>
        </row>
        <row r="340">
          <cell r="A340">
            <v>0.65113425925925927</v>
          </cell>
          <cell r="B340">
            <v>120.6</v>
          </cell>
        </row>
        <row r="341">
          <cell r="A341">
            <v>0.65148148148148144</v>
          </cell>
          <cell r="B341">
            <v>120.6</v>
          </cell>
        </row>
        <row r="342">
          <cell r="A342">
            <v>0.65182870370370372</v>
          </cell>
          <cell r="B342">
            <v>120.7</v>
          </cell>
        </row>
        <row r="343">
          <cell r="A343">
            <v>0.65217592592592588</v>
          </cell>
          <cell r="B343">
            <v>120.7</v>
          </cell>
        </row>
        <row r="344">
          <cell r="A344">
            <v>0.65252314814814816</v>
          </cell>
          <cell r="B344">
            <v>120.7</v>
          </cell>
        </row>
        <row r="345">
          <cell r="A345">
            <v>0.65287037037037032</v>
          </cell>
          <cell r="B345">
            <v>120.6</v>
          </cell>
        </row>
        <row r="346">
          <cell r="A346">
            <v>0.6532175925925926</v>
          </cell>
          <cell r="B346">
            <v>120.6</v>
          </cell>
        </row>
        <row r="347">
          <cell r="A347">
            <v>0.65356481481481477</v>
          </cell>
          <cell r="B347">
            <v>120.7</v>
          </cell>
        </row>
        <row r="348">
          <cell r="A348">
            <v>0.65391203703703704</v>
          </cell>
          <cell r="B348">
            <v>120.7</v>
          </cell>
        </row>
        <row r="349">
          <cell r="A349">
            <v>0.65425925925925921</v>
          </cell>
          <cell r="B349">
            <v>119.5</v>
          </cell>
        </row>
        <row r="350">
          <cell r="A350">
            <v>0.65460648148148148</v>
          </cell>
          <cell r="B350">
            <v>112.2</v>
          </cell>
        </row>
        <row r="351">
          <cell r="A351">
            <v>0.65495370370370365</v>
          </cell>
          <cell r="B351">
            <v>93.1</v>
          </cell>
        </row>
        <row r="352">
          <cell r="A352">
            <v>0.65530092592592593</v>
          </cell>
          <cell r="B352">
            <v>82.9</v>
          </cell>
        </row>
        <row r="353">
          <cell r="A353">
            <v>0.6556481481481482</v>
          </cell>
          <cell r="B353">
            <v>78.7</v>
          </cell>
        </row>
        <row r="354">
          <cell r="A354">
            <v>0.65599537037037037</v>
          </cell>
          <cell r="B354">
            <v>74.900000000000006</v>
          </cell>
        </row>
        <row r="355">
          <cell r="A355">
            <v>0.65634259259259264</v>
          </cell>
          <cell r="B355">
            <v>71.400000000000006</v>
          </cell>
        </row>
        <row r="356">
          <cell r="A356">
            <v>0.65668981481481481</v>
          </cell>
          <cell r="B356">
            <v>68.2</v>
          </cell>
        </row>
        <row r="357">
          <cell r="A357">
            <v>0.65703703703703709</v>
          </cell>
          <cell r="B357">
            <v>65.8</v>
          </cell>
        </row>
        <row r="358">
          <cell r="A358">
            <v>0.65738425925925925</v>
          </cell>
          <cell r="B358">
            <v>63.4</v>
          </cell>
        </row>
        <row r="359">
          <cell r="A359">
            <v>0.65773148148148153</v>
          </cell>
          <cell r="B359">
            <v>61.3</v>
          </cell>
        </row>
        <row r="360">
          <cell r="A360">
            <v>0.65807870370370369</v>
          </cell>
          <cell r="B360">
            <v>59.7</v>
          </cell>
        </row>
        <row r="361">
          <cell r="A361">
            <v>0.65842592592592597</v>
          </cell>
          <cell r="B361">
            <v>58</v>
          </cell>
        </row>
        <row r="362">
          <cell r="A362">
            <v>0.65877314814814814</v>
          </cell>
          <cell r="B362">
            <v>56.6</v>
          </cell>
        </row>
        <row r="363">
          <cell r="A363">
            <v>0.65912037037037041</v>
          </cell>
          <cell r="B363">
            <v>55.2</v>
          </cell>
        </row>
        <row r="364">
          <cell r="A364">
            <v>0.65946759259259258</v>
          </cell>
          <cell r="B364">
            <v>54</v>
          </cell>
        </row>
        <row r="365">
          <cell r="A365">
            <v>0.65981481481481485</v>
          </cell>
          <cell r="B365">
            <v>52.9</v>
          </cell>
        </row>
        <row r="366">
          <cell r="A366">
            <v>0.66016203703703702</v>
          </cell>
          <cell r="B366">
            <v>51.9</v>
          </cell>
        </row>
        <row r="367">
          <cell r="A367">
            <v>0.6605092592592593</v>
          </cell>
          <cell r="B367">
            <v>50.9</v>
          </cell>
        </row>
        <row r="368">
          <cell r="A368">
            <v>0.66085648148148146</v>
          </cell>
          <cell r="B368">
            <v>50.2</v>
          </cell>
        </row>
        <row r="369">
          <cell r="A369">
            <v>0.66120370370370374</v>
          </cell>
          <cell r="B369">
            <v>49.3</v>
          </cell>
        </row>
        <row r="370">
          <cell r="A370">
            <v>0.6615509259259259</v>
          </cell>
          <cell r="B370">
            <v>48.8</v>
          </cell>
        </row>
        <row r="371">
          <cell r="A371">
            <v>0.66189814814814818</v>
          </cell>
          <cell r="B371">
            <v>48</v>
          </cell>
        </row>
        <row r="372">
          <cell r="A372">
            <v>0.66224537037037035</v>
          </cell>
          <cell r="B372">
            <v>47.5</v>
          </cell>
        </row>
        <row r="373">
          <cell r="A373">
            <v>0.66259259259259262</v>
          </cell>
          <cell r="B373">
            <v>47.2</v>
          </cell>
        </row>
        <row r="374">
          <cell r="A374">
            <v>0.66293981481481479</v>
          </cell>
          <cell r="B374">
            <v>46.6</v>
          </cell>
        </row>
        <row r="375">
          <cell r="A375">
            <v>0.66328703703703706</v>
          </cell>
          <cell r="B375">
            <v>46.3</v>
          </cell>
        </row>
        <row r="376">
          <cell r="A376">
            <v>0.66363425925925923</v>
          </cell>
          <cell r="B376">
            <v>45.9</v>
          </cell>
        </row>
        <row r="377">
          <cell r="A377">
            <v>0.66398148148148151</v>
          </cell>
          <cell r="B377">
            <v>45.4</v>
          </cell>
        </row>
        <row r="378">
          <cell r="A378">
            <v>0.66432870370370367</v>
          </cell>
          <cell r="B378">
            <v>45.1</v>
          </cell>
        </row>
        <row r="379">
          <cell r="A379">
            <v>0.66467592592592595</v>
          </cell>
          <cell r="B379">
            <v>44.9</v>
          </cell>
        </row>
        <row r="380">
          <cell r="A380">
            <v>0.66502314814814811</v>
          </cell>
          <cell r="B380">
            <v>44.8</v>
          </cell>
        </row>
        <row r="381">
          <cell r="A381">
            <v>0.66537037037037039</v>
          </cell>
          <cell r="B381">
            <v>44.7</v>
          </cell>
        </row>
        <row r="382">
          <cell r="A382">
            <v>0.66571759259259256</v>
          </cell>
          <cell r="B382">
            <v>44.6</v>
          </cell>
        </row>
        <row r="383">
          <cell r="A383">
            <v>0.66606481481481483</v>
          </cell>
          <cell r="B383">
            <v>44.5</v>
          </cell>
        </row>
        <row r="384">
          <cell r="A384">
            <v>0.666412037037037</v>
          </cell>
          <cell r="B384">
            <v>44.5</v>
          </cell>
        </row>
        <row r="385">
          <cell r="A385">
            <v>0.66675925925925927</v>
          </cell>
          <cell r="B385">
            <v>44.6</v>
          </cell>
        </row>
        <row r="386">
          <cell r="A386">
            <v>0.66710648148148144</v>
          </cell>
          <cell r="B386">
            <v>44.7</v>
          </cell>
        </row>
        <row r="387">
          <cell r="A387">
            <v>0.66745370370370372</v>
          </cell>
          <cell r="B387">
            <v>44.6</v>
          </cell>
        </row>
        <row r="388">
          <cell r="A388">
            <v>0.66780092592592588</v>
          </cell>
          <cell r="B388">
            <v>44.6</v>
          </cell>
        </row>
        <row r="389">
          <cell r="A389">
            <v>0.66814814814814816</v>
          </cell>
          <cell r="B389">
            <v>44.6</v>
          </cell>
        </row>
        <row r="390">
          <cell r="A390">
            <v>0.66849537037037032</v>
          </cell>
          <cell r="B390">
            <v>44.5</v>
          </cell>
        </row>
        <row r="391">
          <cell r="A391">
            <v>0.6688425925925926</v>
          </cell>
          <cell r="B391">
            <v>44.5</v>
          </cell>
        </row>
        <row r="392">
          <cell r="A392">
            <v>0.66918981481481477</v>
          </cell>
          <cell r="B392">
            <v>44.5</v>
          </cell>
        </row>
        <row r="393">
          <cell r="A393">
            <v>0.66953703703703704</v>
          </cell>
          <cell r="B393">
            <v>44.4</v>
          </cell>
        </row>
        <row r="394">
          <cell r="A394">
            <v>0.66988425925925921</v>
          </cell>
          <cell r="B394">
            <v>44.3</v>
          </cell>
        </row>
        <row r="395">
          <cell r="A395">
            <v>0.67023148148148148</v>
          </cell>
          <cell r="B395">
            <v>44.3</v>
          </cell>
        </row>
        <row r="396">
          <cell r="A396">
            <v>0.67057870370370365</v>
          </cell>
          <cell r="B396">
            <v>44.2</v>
          </cell>
        </row>
        <row r="397">
          <cell r="A397">
            <v>0.67092592592592593</v>
          </cell>
          <cell r="B397">
            <v>44.2</v>
          </cell>
        </row>
        <row r="398">
          <cell r="A398">
            <v>0.6712731481481482</v>
          </cell>
          <cell r="B398">
            <v>44.1</v>
          </cell>
        </row>
        <row r="399">
          <cell r="A399">
            <v>0.67162037037037037</v>
          </cell>
          <cell r="B399">
            <v>44.1</v>
          </cell>
        </row>
        <row r="400">
          <cell r="A400">
            <v>0.67196759259259264</v>
          </cell>
          <cell r="B400">
            <v>44</v>
          </cell>
        </row>
        <row r="401">
          <cell r="A401">
            <v>0.67231481481481481</v>
          </cell>
          <cell r="B401">
            <v>43.9</v>
          </cell>
        </row>
        <row r="402">
          <cell r="A402">
            <v>0.67266203703703709</v>
          </cell>
          <cell r="B402">
            <v>43.9</v>
          </cell>
        </row>
        <row r="403">
          <cell r="A403">
            <v>0.67300925925925925</v>
          </cell>
          <cell r="B403">
            <v>43.8</v>
          </cell>
        </row>
        <row r="404">
          <cell r="A404">
            <v>0.67335648148148153</v>
          </cell>
          <cell r="B404">
            <v>43.8</v>
          </cell>
        </row>
        <row r="405">
          <cell r="A405">
            <v>0.67370370370370369</v>
          </cell>
          <cell r="B405">
            <v>43.7</v>
          </cell>
        </row>
        <row r="406">
          <cell r="A406">
            <v>0.67405092592592597</v>
          </cell>
          <cell r="B406">
            <v>43.6</v>
          </cell>
        </row>
        <row r="407">
          <cell r="A407">
            <v>0.67439814814814814</v>
          </cell>
          <cell r="B407">
            <v>43.5</v>
          </cell>
        </row>
        <row r="408">
          <cell r="A408">
            <v>0.67474537037037041</v>
          </cell>
          <cell r="B408">
            <v>43.5</v>
          </cell>
        </row>
        <row r="409">
          <cell r="A409">
            <v>0.67509259259259258</v>
          </cell>
          <cell r="B409">
            <v>43.4</v>
          </cell>
        </row>
        <row r="415">
          <cell r="B415" t="str">
            <v>Temprature</v>
          </cell>
        </row>
        <row r="416">
          <cell r="A416">
            <v>0.66609953703703706</v>
          </cell>
          <cell r="B416">
            <v>34.700000000000003</v>
          </cell>
        </row>
        <row r="417">
          <cell r="A417">
            <v>0.66645833333333337</v>
          </cell>
          <cell r="B417">
            <v>34.700000000000003</v>
          </cell>
        </row>
        <row r="418">
          <cell r="A418">
            <v>0.66680555555555554</v>
          </cell>
          <cell r="B418">
            <v>34.700000000000003</v>
          </cell>
        </row>
        <row r="419">
          <cell r="A419">
            <v>0.66714120370370367</v>
          </cell>
          <cell r="B419">
            <v>34.700000000000003</v>
          </cell>
        </row>
        <row r="420">
          <cell r="A420">
            <v>0.66748842592592594</v>
          </cell>
          <cell r="B420">
            <v>34.700000000000003</v>
          </cell>
        </row>
        <row r="421">
          <cell r="A421">
            <v>0.66783564814814811</v>
          </cell>
          <cell r="B421">
            <v>34.700000000000003</v>
          </cell>
        </row>
        <row r="422">
          <cell r="A422">
            <v>0.66818287037037039</v>
          </cell>
          <cell r="B422">
            <v>34.700000000000003</v>
          </cell>
        </row>
        <row r="423">
          <cell r="A423">
            <v>0.6685416666666667</v>
          </cell>
          <cell r="B423">
            <v>34.700000000000003</v>
          </cell>
        </row>
        <row r="424">
          <cell r="A424">
            <v>0.66887731481481483</v>
          </cell>
          <cell r="B424">
            <v>34.700000000000003</v>
          </cell>
        </row>
        <row r="425">
          <cell r="A425">
            <v>0.66922453703703699</v>
          </cell>
          <cell r="B425">
            <v>34.700000000000003</v>
          </cell>
        </row>
        <row r="426">
          <cell r="A426">
            <v>0.66958333333333331</v>
          </cell>
          <cell r="B426">
            <v>35</v>
          </cell>
        </row>
        <row r="427">
          <cell r="A427">
            <v>0.66991898148148143</v>
          </cell>
          <cell r="B427">
            <v>35.4</v>
          </cell>
        </row>
        <row r="428">
          <cell r="A428">
            <v>0.67026620370370371</v>
          </cell>
          <cell r="B428">
            <v>36.9</v>
          </cell>
        </row>
        <row r="429">
          <cell r="A429">
            <v>0.67062500000000003</v>
          </cell>
          <cell r="B429">
            <v>41.5</v>
          </cell>
        </row>
        <row r="430">
          <cell r="A430">
            <v>0.67097222222222219</v>
          </cell>
          <cell r="B430">
            <v>46.7</v>
          </cell>
        </row>
        <row r="431">
          <cell r="A431">
            <v>0.67131944444444447</v>
          </cell>
          <cell r="B431">
            <v>53.4</v>
          </cell>
        </row>
        <row r="432">
          <cell r="A432">
            <v>0.6716550925925926</v>
          </cell>
          <cell r="B432">
            <v>58.3</v>
          </cell>
        </row>
        <row r="433">
          <cell r="A433">
            <v>0.67200231481481476</v>
          </cell>
          <cell r="B433">
            <v>63.3</v>
          </cell>
        </row>
        <row r="434">
          <cell r="A434">
            <v>0.67234953703703704</v>
          </cell>
          <cell r="B434">
            <v>66.2</v>
          </cell>
        </row>
        <row r="435">
          <cell r="A435">
            <v>0.67270833333333335</v>
          </cell>
          <cell r="B435">
            <v>71.400000000000006</v>
          </cell>
        </row>
        <row r="436">
          <cell r="A436">
            <v>0.67305555555555552</v>
          </cell>
          <cell r="B436">
            <v>76.400000000000006</v>
          </cell>
        </row>
        <row r="437">
          <cell r="A437">
            <v>0.67340277777777779</v>
          </cell>
          <cell r="B437">
            <v>80.400000000000006</v>
          </cell>
        </row>
        <row r="438">
          <cell r="A438">
            <v>0.67374999999999996</v>
          </cell>
          <cell r="B438">
            <v>83.1</v>
          </cell>
        </row>
        <row r="439">
          <cell r="A439">
            <v>0.6740856481481482</v>
          </cell>
          <cell r="B439">
            <v>84.5</v>
          </cell>
        </row>
        <row r="440">
          <cell r="A440">
            <v>0.6744444444444444</v>
          </cell>
          <cell r="B440">
            <v>86.4</v>
          </cell>
        </row>
        <row r="441">
          <cell r="A441">
            <v>0.67479166666666668</v>
          </cell>
          <cell r="B441">
            <v>87.9</v>
          </cell>
        </row>
        <row r="442">
          <cell r="A442">
            <v>0.67513888888888884</v>
          </cell>
          <cell r="B442">
            <v>88.6</v>
          </cell>
        </row>
        <row r="443">
          <cell r="A443">
            <v>0.67548611111111112</v>
          </cell>
          <cell r="B443">
            <v>88.9</v>
          </cell>
        </row>
        <row r="444">
          <cell r="A444">
            <v>0.67583333333333329</v>
          </cell>
          <cell r="B444">
            <v>90.6</v>
          </cell>
        </row>
        <row r="445">
          <cell r="A445">
            <v>0.67616898148148152</v>
          </cell>
          <cell r="B445">
            <v>91.7</v>
          </cell>
        </row>
        <row r="446">
          <cell r="A446">
            <v>0.67652777777777773</v>
          </cell>
          <cell r="B446">
            <v>92.3</v>
          </cell>
        </row>
        <row r="447">
          <cell r="A447">
            <v>0.67686342592592597</v>
          </cell>
          <cell r="B447">
            <v>92.6</v>
          </cell>
        </row>
        <row r="448">
          <cell r="A448">
            <v>0.67722222222222217</v>
          </cell>
          <cell r="B448">
            <v>93.3</v>
          </cell>
        </row>
        <row r="449">
          <cell r="A449">
            <v>0.67755787037037041</v>
          </cell>
          <cell r="B449">
            <v>93.3</v>
          </cell>
        </row>
        <row r="450">
          <cell r="A450">
            <v>0.67791666666666661</v>
          </cell>
          <cell r="B450">
            <v>93.8</v>
          </cell>
        </row>
        <row r="451">
          <cell r="A451">
            <v>0.67825231481481485</v>
          </cell>
          <cell r="B451">
            <v>93.9</v>
          </cell>
        </row>
        <row r="452">
          <cell r="A452">
            <v>0.67859953703703701</v>
          </cell>
          <cell r="B452">
            <v>93</v>
          </cell>
        </row>
        <row r="453">
          <cell r="A453">
            <v>0.67894675925925929</v>
          </cell>
          <cell r="B453">
            <v>96.2</v>
          </cell>
        </row>
        <row r="454">
          <cell r="A454">
            <v>0.67930555555555561</v>
          </cell>
          <cell r="B454">
            <v>99.2</v>
          </cell>
        </row>
        <row r="455">
          <cell r="A455">
            <v>0.67965277777777777</v>
          </cell>
          <cell r="B455">
            <v>102.1</v>
          </cell>
        </row>
        <row r="456">
          <cell r="A456">
            <v>0.68</v>
          </cell>
          <cell r="B456">
            <v>104.1</v>
          </cell>
        </row>
        <row r="457">
          <cell r="A457">
            <v>0.68033564814814818</v>
          </cell>
          <cell r="B457">
            <v>106.7</v>
          </cell>
        </row>
        <row r="458">
          <cell r="A458">
            <v>0.68068287037037034</v>
          </cell>
          <cell r="B458">
            <v>106</v>
          </cell>
        </row>
        <row r="459">
          <cell r="A459">
            <v>0.68103009259259262</v>
          </cell>
          <cell r="B459">
            <v>107.3</v>
          </cell>
        </row>
        <row r="460">
          <cell r="A460">
            <v>0.68138888888888893</v>
          </cell>
          <cell r="B460">
            <v>110.3</v>
          </cell>
        </row>
        <row r="461">
          <cell r="A461">
            <v>0.6817361111111111</v>
          </cell>
          <cell r="B461">
            <v>113</v>
          </cell>
        </row>
        <row r="462">
          <cell r="A462">
            <v>0.68208333333333337</v>
          </cell>
          <cell r="B462">
            <v>115</v>
          </cell>
        </row>
        <row r="463">
          <cell r="A463">
            <v>0.68243055555555554</v>
          </cell>
          <cell r="B463">
            <v>116.9</v>
          </cell>
        </row>
        <row r="464">
          <cell r="A464">
            <v>0.68277777777777782</v>
          </cell>
          <cell r="B464">
            <v>118.6</v>
          </cell>
        </row>
        <row r="465">
          <cell r="A465">
            <v>0.68312499999999998</v>
          </cell>
          <cell r="B465">
            <v>120.7</v>
          </cell>
        </row>
        <row r="466">
          <cell r="A466">
            <v>0.68346064814814811</v>
          </cell>
          <cell r="B466">
            <v>118.5</v>
          </cell>
        </row>
        <row r="467">
          <cell r="A467">
            <v>0.68381944444444442</v>
          </cell>
          <cell r="B467">
            <v>118.2</v>
          </cell>
        </row>
        <row r="468">
          <cell r="A468">
            <v>0.6841666666666667</v>
          </cell>
          <cell r="B468">
            <v>118.6</v>
          </cell>
        </row>
        <row r="469">
          <cell r="A469">
            <v>0.68451388888888887</v>
          </cell>
          <cell r="B469">
            <v>121.5</v>
          </cell>
        </row>
        <row r="470">
          <cell r="A470">
            <v>0.68486111111111114</v>
          </cell>
          <cell r="B470">
            <v>124.1</v>
          </cell>
        </row>
        <row r="471">
          <cell r="A471">
            <v>0.68519675925925927</v>
          </cell>
          <cell r="B471">
            <v>120.9</v>
          </cell>
        </row>
        <row r="472">
          <cell r="A472">
            <v>0.68555555555555558</v>
          </cell>
          <cell r="B472">
            <v>122.6</v>
          </cell>
        </row>
        <row r="473">
          <cell r="A473">
            <v>0.68590277777777775</v>
          </cell>
          <cell r="B473">
            <v>124.7</v>
          </cell>
        </row>
        <row r="474">
          <cell r="A474">
            <v>0.68625000000000003</v>
          </cell>
          <cell r="B474">
            <v>120.7</v>
          </cell>
        </row>
        <row r="475">
          <cell r="A475">
            <v>0.68659722222222219</v>
          </cell>
          <cell r="B475">
            <v>123.5</v>
          </cell>
        </row>
        <row r="476">
          <cell r="A476">
            <v>0.68694444444444447</v>
          </cell>
          <cell r="B476">
            <v>123.2</v>
          </cell>
        </row>
        <row r="477">
          <cell r="A477">
            <v>0.6872800925925926</v>
          </cell>
          <cell r="B477">
            <v>121.6</v>
          </cell>
        </row>
        <row r="478">
          <cell r="A478">
            <v>0.68763888888888891</v>
          </cell>
          <cell r="B478">
            <v>124.5</v>
          </cell>
        </row>
        <row r="479">
          <cell r="A479">
            <v>0.68798611111111108</v>
          </cell>
          <cell r="B479">
            <v>121.8</v>
          </cell>
        </row>
        <row r="480">
          <cell r="A480">
            <v>0.68833333333333335</v>
          </cell>
          <cell r="B480">
            <v>122.1</v>
          </cell>
        </row>
        <row r="481">
          <cell r="A481">
            <v>0.68866898148148148</v>
          </cell>
          <cell r="B481">
            <v>124.6</v>
          </cell>
        </row>
        <row r="482">
          <cell r="A482">
            <v>0.68901620370370376</v>
          </cell>
          <cell r="B482">
            <v>120.3</v>
          </cell>
        </row>
        <row r="483">
          <cell r="A483">
            <v>0.68936342592592592</v>
          </cell>
          <cell r="B483">
            <v>123</v>
          </cell>
        </row>
        <row r="484">
          <cell r="A484">
            <v>0.68972222222222224</v>
          </cell>
          <cell r="B484">
            <v>124.6</v>
          </cell>
        </row>
        <row r="485">
          <cell r="A485">
            <v>0.69005787037037036</v>
          </cell>
          <cell r="B485">
            <v>121.1</v>
          </cell>
        </row>
        <row r="486">
          <cell r="A486">
            <v>0.69041666666666668</v>
          </cell>
          <cell r="B486">
            <v>124.5</v>
          </cell>
        </row>
        <row r="487">
          <cell r="A487">
            <v>0.69076388888888884</v>
          </cell>
          <cell r="B487">
            <v>121</v>
          </cell>
        </row>
        <row r="488">
          <cell r="A488">
            <v>0.69111111111111112</v>
          </cell>
          <cell r="B488">
            <v>122.3</v>
          </cell>
        </row>
        <row r="489">
          <cell r="A489">
            <v>0.69145833333333329</v>
          </cell>
          <cell r="B489">
            <v>122.3</v>
          </cell>
        </row>
        <row r="490">
          <cell r="A490">
            <v>0.69180555555555556</v>
          </cell>
          <cell r="B490">
            <v>121.3</v>
          </cell>
        </row>
        <row r="491">
          <cell r="A491">
            <v>0.69215277777777773</v>
          </cell>
          <cell r="B491">
            <v>124</v>
          </cell>
        </row>
        <row r="492">
          <cell r="A492">
            <v>0.6925</v>
          </cell>
          <cell r="B492">
            <v>121.1</v>
          </cell>
        </row>
        <row r="493">
          <cell r="A493">
            <v>0.69283564814814813</v>
          </cell>
          <cell r="B493">
            <v>122.4</v>
          </cell>
        </row>
        <row r="494">
          <cell r="A494">
            <v>0.69319444444444445</v>
          </cell>
          <cell r="B494">
            <v>123.8</v>
          </cell>
        </row>
        <row r="495">
          <cell r="A495">
            <v>0.69354166666666661</v>
          </cell>
          <cell r="B495">
            <v>120.6</v>
          </cell>
        </row>
        <row r="496">
          <cell r="A496">
            <v>0.69388888888888889</v>
          </cell>
          <cell r="B496">
            <v>120.5</v>
          </cell>
        </row>
        <row r="497">
          <cell r="A497">
            <v>0.69423611111111116</v>
          </cell>
          <cell r="B497">
            <v>115.2</v>
          </cell>
        </row>
        <row r="498">
          <cell r="A498">
            <v>0.69458333333333333</v>
          </cell>
          <cell r="B498">
            <v>112.9</v>
          </cell>
        </row>
        <row r="499">
          <cell r="A499">
            <v>0.69493055555555561</v>
          </cell>
          <cell r="B499">
            <v>105.2</v>
          </cell>
        </row>
        <row r="500">
          <cell r="A500">
            <v>0.69527777777777777</v>
          </cell>
          <cell r="B500">
            <v>87.7</v>
          </cell>
        </row>
        <row r="501">
          <cell r="A501">
            <v>0.69562500000000005</v>
          </cell>
          <cell r="B501">
            <v>81.8</v>
          </cell>
        </row>
        <row r="502">
          <cell r="A502">
            <v>0.69597222222222221</v>
          </cell>
          <cell r="B502">
            <v>77.7</v>
          </cell>
        </row>
        <row r="503">
          <cell r="A503">
            <v>0.69631944444444449</v>
          </cell>
          <cell r="B503">
            <v>73.900000000000006</v>
          </cell>
        </row>
        <row r="504">
          <cell r="A504">
            <v>0.69666666666666666</v>
          </cell>
          <cell r="B504">
            <v>70.599999999999994</v>
          </cell>
        </row>
        <row r="505">
          <cell r="A505">
            <v>0.69701388888888893</v>
          </cell>
          <cell r="B505">
            <v>67.599999999999994</v>
          </cell>
        </row>
        <row r="506">
          <cell r="A506">
            <v>0.6973611111111111</v>
          </cell>
          <cell r="B506">
            <v>65.099999999999994</v>
          </cell>
        </row>
        <row r="507">
          <cell r="A507">
            <v>0.69770833333333337</v>
          </cell>
          <cell r="B507">
            <v>62.9</v>
          </cell>
        </row>
        <row r="508">
          <cell r="A508">
            <v>0.69805555555555554</v>
          </cell>
          <cell r="B508">
            <v>61</v>
          </cell>
        </row>
        <row r="509">
          <cell r="A509">
            <v>0.69840277777777782</v>
          </cell>
          <cell r="B509">
            <v>59.3</v>
          </cell>
        </row>
        <row r="510">
          <cell r="A510">
            <v>0.69874999999999998</v>
          </cell>
          <cell r="B510">
            <v>57.6</v>
          </cell>
        </row>
        <row r="511">
          <cell r="A511">
            <v>0.69909722222222226</v>
          </cell>
          <cell r="B511">
            <v>56.2</v>
          </cell>
        </row>
        <row r="512">
          <cell r="A512">
            <v>0.69944444444444442</v>
          </cell>
          <cell r="B512">
            <v>55</v>
          </cell>
        </row>
        <row r="513">
          <cell r="A513">
            <v>0.6997916666666667</v>
          </cell>
          <cell r="B513">
            <v>53.8</v>
          </cell>
        </row>
        <row r="514">
          <cell r="A514">
            <v>0.70013888888888887</v>
          </cell>
          <cell r="B514">
            <v>53.1</v>
          </cell>
        </row>
        <row r="515">
          <cell r="A515">
            <v>0.70048611111111114</v>
          </cell>
          <cell r="B515">
            <v>52.7</v>
          </cell>
        </row>
        <row r="516">
          <cell r="A516">
            <v>0.70083333333333331</v>
          </cell>
          <cell r="B516">
            <v>52.3</v>
          </cell>
        </row>
        <row r="517">
          <cell r="A517">
            <v>0.70118055555555558</v>
          </cell>
          <cell r="B517">
            <v>50.1</v>
          </cell>
        </row>
        <row r="518">
          <cell r="A518">
            <v>0.70152777777777775</v>
          </cell>
          <cell r="B518">
            <v>49.2</v>
          </cell>
        </row>
        <row r="519">
          <cell r="A519">
            <v>0.70187500000000003</v>
          </cell>
          <cell r="B519">
            <v>48.7</v>
          </cell>
        </row>
        <row r="520">
          <cell r="A520">
            <v>0.70222222222222219</v>
          </cell>
          <cell r="B520">
            <v>47.9</v>
          </cell>
        </row>
        <row r="521">
          <cell r="A521">
            <v>0.70256944444444447</v>
          </cell>
          <cell r="B521">
            <v>47.3</v>
          </cell>
        </row>
        <row r="522">
          <cell r="A522">
            <v>0.70291666666666663</v>
          </cell>
          <cell r="B522">
            <v>46.7</v>
          </cell>
        </row>
        <row r="523">
          <cell r="A523">
            <v>0.70326388888888891</v>
          </cell>
          <cell r="B523">
            <v>46.2</v>
          </cell>
        </row>
        <row r="524">
          <cell r="A524">
            <v>0.70361111111111108</v>
          </cell>
          <cell r="B524">
            <v>45.7</v>
          </cell>
        </row>
        <row r="525">
          <cell r="A525">
            <v>0.70395833333333335</v>
          </cell>
          <cell r="B525">
            <v>45.3</v>
          </cell>
        </row>
        <row r="526">
          <cell r="A526">
            <v>0.70430555555555552</v>
          </cell>
          <cell r="B526">
            <v>44.9</v>
          </cell>
        </row>
        <row r="527">
          <cell r="A527">
            <v>0.70465277777777779</v>
          </cell>
          <cell r="B527">
            <v>44.9</v>
          </cell>
        </row>
        <row r="528">
          <cell r="A528">
            <v>0.70499999999999996</v>
          </cell>
          <cell r="B528">
            <v>44.8</v>
          </cell>
        </row>
        <row r="529">
          <cell r="A529">
            <v>0.70534722222222224</v>
          </cell>
          <cell r="B529">
            <v>44.7</v>
          </cell>
        </row>
        <row r="530">
          <cell r="A530">
            <v>0.7056944444444444</v>
          </cell>
          <cell r="B530">
            <v>44.7</v>
          </cell>
        </row>
        <row r="531">
          <cell r="A531">
            <v>0.70604166666666668</v>
          </cell>
          <cell r="B531">
            <v>44.7</v>
          </cell>
        </row>
        <row r="532">
          <cell r="A532">
            <v>0.70638888888888884</v>
          </cell>
          <cell r="B532">
            <v>44.8</v>
          </cell>
        </row>
        <row r="533">
          <cell r="A533">
            <v>0.70673611111111112</v>
          </cell>
          <cell r="B533">
            <v>45</v>
          </cell>
        </row>
        <row r="534">
          <cell r="A534">
            <v>0.70708333333333329</v>
          </cell>
          <cell r="B534">
            <v>45.1</v>
          </cell>
        </row>
        <row r="535">
          <cell r="A535">
            <v>0.70743055555555556</v>
          </cell>
          <cell r="B535">
            <v>45.1</v>
          </cell>
        </row>
        <row r="536">
          <cell r="A536">
            <v>0.70777777777777773</v>
          </cell>
          <cell r="B536">
            <v>45.1</v>
          </cell>
        </row>
        <row r="537">
          <cell r="A537">
            <v>0.708125</v>
          </cell>
          <cell r="B537">
            <v>45</v>
          </cell>
        </row>
        <row r="1276">
          <cell r="B1276" t="str">
            <v>Temprature</v>
          </cell>
        </row>
        <row r="1277">
          <cell r="A1277">
            <v>0.63509259259259254</v>
          </cell>
          <cell r="B1277">
            <v>36.4</v>
          </cell>
        </row>
        <row r="1278">
          <cell r="A1278">
            <v>0.63543981481481482</v>
          </cell>
          <cell r="B1278">
            <v>46.1</v>
          </cell>
        </row>
        <row r="1279">
          <cell r="A1279">
            <v>0.63579861111111113</v>
          </cell>
          <cell r="B1279">
            <v>61.8</v>
          </cell>
        </row>
        <row r="1280">
          <cell r="A1280">
            <v>0.6361458333333333</v>
          </cell>
          <cell r="B1280">
            <v>72.400000000000006</v>
          </cell>
        </row>
        <row r="1281">
          <cell r="A1281">
            <v>0.63649305555555558</v>
          </cell>
          <cell r="B1281">
            <v>80.099999999999994</v>
          </cell>
        </row>
        <row r="1282">
          <cell r="A1282">
            <v>0.63684027777777774</v>
          </cell>
          <cell r="B1282">
            <v>85.9</v>
          </cell>
        </row>
        <row r="1283">
          <cell r="A1283">
            <v>0.63717592592592598</v>
          </cell>
          <cell r="B1283">
            <v>90.3</v>
          </cell>
        </row>
        <row r="1284">
          <cell r="A1284">
            <v>0.63753472222222218</v>
          </cell>
          <cell r="B1284">
            <v>93.4</v>
          </cell>
        </row>
        <row r="1285">
          <cell r="A1285">
            <v>0.63788194444444446</v>
          </cell>
          <cell r="B1285">
            <v>95.4</v>
          </cell>
        </row>
        <row r="1286">
          <cell r="A1286">
            <v>0.63822916666666663</v>
          </cell>
          <cell r="B1286">
            <v>97.6</v>
          </cell>
        </row>
        <row r="1287">
          <cell r="A1287">
            <v>0.63856481481481486</v>
          </cell>
          <cell r="B1287">
            <v>99</v>
          </cell>
        </row>
        <row r="1288">
          <cell r="A1288">
            <v>0.63891203703703703</v>
          </cell>
          <cell r="B1288">
            <v>100.5</v>
          </cell>
        </row>
        <row r="1289">
          <cell r="A1289">
            <v>0.63927083333333334</v>
          </cell>
          <cell r="B1289">
            <v>101.6</v>
          </cell>
        </row>
        <row r="1290">
          <cell r="A1290">
            <v>0.63961805555555551</v>
          </cell>
          <cell r="B1290">
            <v>102.4</v>
          </cell>
        </row>
        <row r="1291">
          <cell r="A1291">
            <v>0.63995370370370375</v>
          </cell>
          <cell r="B1291">
            <v>103.3</v>
          </cell>
        </row>
        <row r="1292">
          <cell r="A1292">
            <v>0.64031249999999995</v>
          </cell>
          <cell r="B1292">
            <v>104.2</v>
          </cell>
        </row>
        <row r="1293">
          <cell r="A1293">
            <v>0.64065972222222223</v>
          </cell>
          <cell r="B1293">
            <v>105</v>
          </cell>
        </row>
        <row r="1294">
          <cell r="A1294">
            <v>0.64100694444444439</v>
          </cell>
          <cell r="B1294">
            <v>105.6</v>
          </cell>
        </row>
        <row r="1295">
          <cell r="A1295">
            <v>0.64135416666666667</v>
          </cell>
          <cell r="B1295">
            <v>106.3</v>
          </cell>
        </row>
        <row r="1296">
          <cell r="A1296">
            <v>0.64170138888888884</v>
          </cell>
          <cell r="B1296">
            <v>107.2</v>
          </cell>
        </row>
        <row r="1297">
          <cell r="A1297">
            <v>0.64204861111111111</v>
          </cell>
          <cell r="B1297">
            <v>108</v>
          </cell>
        </row>
        <row r="1298">
          <cell r="A1298">
            <v>0.64239583333333339</v>
          </cell>
          <cell r="B1298">
            <v>108.7</v>
          </cell>
        </row>
        <row r="1299">
          <cell r="A1299">
            <v>0.64274305555555555</v>
          </cell>
          <cell r="B1299">
            <v>109.5</v>
          </cell>
        </row>
        <row r="1300">
          <cell r="A1300">
            <v>0.64309027777777783</v>
          </cell>
          <cell r="B1300">
            <v>110.2</v>
          </cell>
        </row>
        <row r="1301">
          <cell r="A1301">
            <v>0.64342592592592596</v>
          </cell>
          <cell r="B1301">
            <v>110.9</v>
          </cell>
        </row>
        <row r="1302">
          <cell r="A1302">
            <v>0.64378472222222227</v>
          </cell>
          <cell r="B1302">
            <v>111.7</v>
          </cell>
        </row>
        <row r="1303">
          <cell r="A1303">
            <v>0.64413194444444444</v>
          </cell>
          <cell r="B1303">
            <v>112.5</v>
          </cell>
        </row>
        <row r="1304">
          <cell r="A1304">
            <v>0.64446759259259256</v>
          </cell>
          <cell r="B1304">
            <v>113.2</v>
          </cell>
        </row>
        <row r="1305">
          <cell r="A1305">
            <v>0.64482638888888888</v>
          </cell>
          <cell r="B1305">
            <v>114</v>
          </cell>
        </row>
        <row r="1306">
          <cell r="A1306">
            <v>0.64517361111111116</v>
          </cell>
          <cell r="B1306">
            <v>114.6</v>
          </cell>
        </row>
        <row r="1307">
          <cell r="A1307">
            <v>0.64552083333333332</v>
          </cell>
          <cell r="B1307">
            <v>115.3</v>
          </cell>
        </row>
        <row r="1308">
          <cell r="A1308">
            <v>0.64585648148148145</v>
          </cell>
          <cell r="B1308">
            <v>115.9</v>
          </cell>
        </row>
        <row r="1309">
          <cell r="A1309">
            <v>0.64621527777777776</v>
          </cell>
          <cell r="B1309">
            <v>116.7</v>
          </cell>
        </row>
        <row r="1310">
          <cell r="A1310">
            <v>0.64656250000000004</v>
          </cell>
          <cell r="B1310">
            <v>116.4</v>
          </cell>
        </row>
        <row r="1311">
          <cell r="A1311">
            <v>0.64690972222222221</v>
          </cell>
          <cell r="B1311">
            <v>115.8</v>
          </cell>
        </row>
        <row r="1312">
          <cell r="A1312">
            <v>0.64725694444444448</v>
          </cell>
          <cell r="B1312">
            <v>116.2</v>
          </cell>
        </row>
        <row r="1313">
          <cell r="A1313">
            <v>0.64760416666666665</v>
          </cell>
          <cell r="B1313">
            <v>118.4</v>
          </cell>
        </row>
        <row r="1314">
          <cell r="A1314">
            <v>0.64795138888888892</v>
          </cell>
          <cell r="B1314">
            <v>118.3</v>
          </cell>
        </row>
        <row r="1315">
          <cell r="A1315">
            <v>0.64829861111111109</v>
          </cell>
          <cell r="B1315">
            <v>117.7</v>
          </cell>
        </row>
        <row r="1316">
          <cell r="A1316">
            <v>0.64863425925925922</v>
          </cell>
          <cell r="B1316">
            <v>117.1</v>
          </cell>
        </row>
        <row r="1317">
          <cell r="A1317">
            <v>0.64899305555555553</v>
          </cell>
          <cell r="B1317">
            <v>116.6</v>
          </cell>
        </row>
        <row r="1318">
          <cell r="A1318">
            <v>0.64934027777777781</v>
          </cell>
          <cell r="B1318">
            <v>116.1</v>
          </cell>
        </row>
        <row r="1319">
          <cell r="A1319">
            <v>0.64968749999999997</v>
          </cell>
          <cell r="B1319">
            <v>115.6</v>
          </cell>
        </row>
        <row r="1320">
          <cell r="A1320">
            <v>0.65003472222222225</v>
          </cell>
          <cell r="B1320">
            <v>117.1</v>
          </cell>
        </row>
        <row r="1321">
          <cell r="A1321">
            <v>0.65038194444444442</v>
          </cell>
          <cell r="B1321">
            <v>118.9</v>
          </cell>
        </row>
        <row r="1322">
          <cell r="A1322">
            <v>0.65072916666666669</v>
          </cell>
          <cell r="B1322">
            <v>118.4</v>
          </cell>
        </row>
        <row r="1323">
          <cell r="A1323">
            <v>0.65107638888888886</v>
          </cell>
          <cell r="B1323">
            <v>118</v>
          </cell>
        </row>
        <row r="1324">
          <cell r="A1324">
            <v>0.65142361111111113</v>
          </cell>
          <cell r="B1324">
            <v>117.5</v>
          </cell>
        </row>
        <row r="1325">
          <cell r="A1325">
            <v>0.6517708333333333</v>
          </cell>
          <cell r="B1325">
            <v>117</v>
          </cell>
        </row>
        <row r="1326">
          <cell r="A1326">
            <v>0.65211805555555558</v>
          </cell>
          <cell r="B1326">
            <v>116.5</v>
          </cell>
        </row>
        <row r="1327">
          <cell r="A1327">
            <v>0.65246527777777774</v>
          </cell>
          <cell r="B1327">
            <v>116.1</v>
          </cell>
        </row>
        <row r="1328">
          <cell r="A1328">
            <v>0.65281250000000002</v>
          </cell>
          <cell r="B1328">
            <v>115.5</v>
          </cell>
        </row>
        <row r="1329">
          <cell r="A1329">
            <v>0.65315972222222218</v>
          </cell>
          <cell r="B1329">
            <v>117.1</v>
          </cell>
        </row>
        <row r="1330">
          <cell r="A1330">
            <v>0.65350694444444446</v>
          </cell>
          <cell r="B1330">
            <v>118.7</v>
          </cell>
        </row>
        <row r="1331">
          <cell r="A1331">
            <v>0.65385416666666663</v>
          </cell>
          <cell r="B1331">
            <v>118.1</v>
          </cell>
        </row>
        <row r="1332">
          <cell r="A1332">
            <v>0.6542013888888889</v>
          </cell>
          <cell r="B1332">
            <v>117.6</v>
          </cell>
        </row>
        <row r="1333">
          <cell r="A1333">
            <v>0.65454861111111107</v>
          </cell>
          <cell r="B1333">
            <v>117.2</v>
          </cell>
        </row>
        <row r="1334">
          <cell r="A1334">
            <v>0.65489583333333334</v>
          </cell>
          <cell r="B1334">
            <v>116.7</v>
          </cell>
        </row>
        <row r="1335">
          <cell r="A1335">
            <v>0.65524305555555551</v>
          </cell>
          <cell r="B1335">
            <v>116.3</v>
          </cell>
        </row>
        <row r="1336">
          <cell r="A1336">
            <v>0.65559027777777779</v>
          </cell>
          <cell r="B1336">
            <v>115.9</v>
          </cell>
        </row>
        <row r="1337">
          <cell r="A1337">
            <v>0.65593749999999995</v>
          </cell>
          <cell r="B1337">
            <v>116</v>
          </cell>
        </row>
        <row r="1338">
          <cell r="A1338">
            <v>0.65628472222222223</v>
          </cell>
          <cell r="B1338">
            <v>118.3</v>
          </cell>
        </row>
        <row r="1339">
          <cell r="A1339">
            <v>0.65663194444444439</v>
          </cell>
          <cell r="B1339">
            <v>118.3</v>
          </cell>
        </row>
        <row r="1340">
          <cell r="A1340">
            <v>0.65697916666666667</v>
          </cell>
          <cell r="B1340">
            <v>118</v>
          </cell>
        </row>
        <row r="1341">
          <cell r="A1341">
            <v>0.65732638888888884</v>
          </cell>
          <cell r="B1341">
            <v>117.5</v>
          </cell>
        </row>
        <row r="1342">
          <cell r="A1342">
            <v>0.65767361111111111</v>
          </cell>
          <cell r="B1342">
            <v>117.1</v>
          </cell>
        </row>
        <row r="1343">
          <cell r="A1343">
            <v>0.65802083333333339</v>
          </cell>
          <cell r="B1343">
            <v>116.6</v>
          </cell>
        </row>
        <row r="1344">
          <cell r="A1344">
            <v>0.65836805555555555</v>
          </cell>
          <cell r="B1344">
            <v>116.2</v>
          </cell>
        </row>
        <row r="1345">
          <cell r="A1345">
            <v>0.65871527777777783</v>
          </cell>
          <cell r="B1345">
            <v>116</v>
          </cell>
        </row>
        <row r="1346">
          <cell r="A1346">
            <v>0.6590625</v>
          </cell>
          <cell r="B1346">
            <v>115.8</v>
          </cell>
        </row>
        <row r="1347">
          <cell r="A1347">
            <v>0.65940972222222227</v>
          </cell>
          <cell r="B1347">
            <v>117.6</v>
          </cell>
        </row>
        <row r="1348">
          <cell r="A1348">
            <v>0.65975694444444444</v>
          </cell>
          <cell r="B1348">
            <v>118.4</v>
          </cell>
        </row>
        <row r="1349">
          <cell r="A1349">
            <v>0.66010416666666671</v>
          </cell>
          <cell r="B1349">
            <v>117.9</v>
          </cell>
        </row>
        <row r="1350">
          <cell r="A1350">
            <v>0.66045138888888888</v>
          </cell>
          <cell r="B1350">
            <v>117.6</v>
          </cell>
        </row>
        <row r="1351">
          <cell r="A1351">
            <v>0.66079861111111116</v>
          </cell>
          <cell r="B1351">
            <v>117.1</v>
          </cell>
        </row>
        <row r="1352">
          <cell r="A1352">
            <v>0.66114583333333332</v>
          </cell>
          <cell r="B1352">
            <v>116.8</v>
          </cell>
        </row>
        <row r="1353">
          <cell r="A1353">
            <v>0.6614930555555556</v>
          </cell>
          <cell r="B1353">
            <v>116.4</v>
          </cell>
        </row>
        <row r="1354">
          <cell r="A1354">
            <v>0.66184027777777776</v>
          </cell>
          <cell r="B1354">
            <v>116</v>
          </cell>
        </row>
        <row r="1355">
          <cell r="A1355">
            <v>0.66218750000000004</v>
          </cell>
          <cell r="B1355">
            <v>115.6</v>
          </cell>
        </row>
        <row r="1356">
          <cell r="A1356">
            <v>0.66253472222222221</v>
          </cell>
          <cell r="B1356">
            <v>117.7</v>
          </cell>
        </row>
        <row r="1357">
          <cell r="A1357">
            <v>0.66288194444444448</v>
          </cell>
          <cell r="B1357">
            <v>118.2</v>
          </cell>
        </row>
        <row r="1358">
          <cell r="A1358">
            <v>0.66322916666666665</v>
          </cell>
          <cell r="B1358">
            <v>117.7</v>
          </cell>
        </row>
        <row r="1359">
          <cell r="A1359">
            <v>0.66357638888888892</v>
          </cell>
          <cell r="B1359">
            <v>116.9</v>
          </cell>
        </row>
        <row r="1360">
          <cell r="A1360">
            <v>0.66392361111111109</v>
          </cell>
          <cell r="B1360">
            <v>106.6</v>
          </cell>
        </row>
        <row r="1361">
          <cell r="A1361">
            <v>0.66427083333333337</v>
          </cell>
          <cell r="B1361">
            <v>86.9</v>
          </cell>
        </row>
        <row r="1362">
          <cell r="A1362">
            <v>0.66461805555555553</v>
          </cell>
          <cell r="B1362">
            <v>80.099999999999994</v>
          </cell>
        </row>
        <row r="1363">
          <cell r="A1363">
            <v>0.66496527777777781</v>
          </cell>
          <cell r="B1363">
            <v>76.900000000000006</v>
          </cell>
        </row>
        <row r="1364">
          <cell r="A1364">
            <v>0.66531249999999997</v>
          </cell>
          <cell r="B1364">
            <v>73.5</v>
          </cell>
        </row>
        <row r="1365">
          <cell r="A1365">
            <v>0.66565972222222225</v>
          </cell>
          <cell r="B1365">
            <v>70.5</v>
          </cell>
        </row>
        <row r="1366">
          <cell r="A1366">
            <v>0.66600694444444442</v>
          </cell>
          <cell r="B1366">
            <v>68.3</v>
          </cell>
        </row>
        <row r="1367">
          <cell r="A1367">
            <v>0.66635416666666669</v>
          </cell>
          <cell r="B1367">
            <v>66.2</v>
          </cell>
        </row>
        <row r="1368">
          <cell r="A1368">
            <v>0.66670138888888886</v>
          </cell>
          <cell r="B1368">
            <v>64.400000000000006</v>
          </cell>
        </row>
        <row r="1369">
          <cell r="A1369">
            <v>0.66704861111111113</v>
          </cell>
          <cell r="B1369">
            <v>62.7</v>
          </cell>
        </row>
        <row r="1370">
          <cell r="A1370">
            <v>0.6673958333333333</v>
          </cell>
          <cell r="B1370">
            <v>61.2</v>
          </cell>
        </row>
        <row r="1371">
          <cell r="A1371">
            <v>0.66774305555555558</v>
          </cell>
          <cell r="B1371">
            <v>59.8</v>
          </cell>
        </row>
        <row r="1372">
          <cell r="A1372">
            <v>0.66809027777777774</v>
          </cell>
          <cell r="B1372">
            <v>58.4</v>
          </cell>
        </row>
        <row r="1373">
          <cell r="A1373">
            <v>0.66843750000000002</v>
          </cell>
          <cell r="B1373">
            <v>57.2</v>
          </cell>
        </row>
        <row r="1374">
          <cell r="A1374">
            <v>0.66878472222222218</v>
          </cell>
          <cell r="B1374">
            <v>56.1</v>
          </cell>
        </row>
        <row r="1375">
          <cell r="A1375">
            <v>0.66913194444444446</v>
          </cell>
          <cell r="B1375">
            <v>55.1</v>
          </cell>
        </row>
        <row r="1376">
          <cell r="A1376">
            <v>0.66947916666666663</v>
          </cell>
          <cell r="B1376">
            <v>54.2</v>
          </cell>
        </row>
        <row r="1377">
          <cell r="A1377">
            <v>0.6698263888888889</v>
          </cell>
          <cell r="B1377">
            <v>53.4</v>
          </cell>
        </row>
        <row r="1378">
          <cell r="A1378">
            <v>0.67017361111111107</v>
          </cell>
          <cell r="B1378">
            <v>52.7</v>
          </cell>
        </row>
        <row r="1379">
          <cell r="A1379">
            <v>0.67052083333333334</v>
          </cell>
          <cell r="B1379">
            <v>52</v>
          </cell>
        </row>
        <row r="1380">
          <cell r="A1380">
            <v>0.67086805555555551</v>
          </cell>
          <cell r="B1380">
            <v>51.5</v>
          </cell>
        </row>
        <row r="1381">
          <cell r="A1381">
            <v>0.67121527777777779</v>
          </cell>
          <cell r="B1381">
            <v>51</v>
          </cell>
        </row>
        <row r="1382">
          <cell r="A1382">
            <v>0.67156249999999995</v>
          </cell>
          <cell r="B1382">
            <v>50.5</v>
          </cell>
        </row>
        <row r="1383">
          <cell r="A1383">
            <v>0.67190972222222223</v>
          </cell>
          <cell r="B1383">
            <v>50.1</v>
          </cell>
        </row>
        <row r="1384">
          <cell r="A1384">
            <v>0.67225694444444439</v>
          </cell>
          <cell r="B1384">
            <v>49.7</v>
          </cell>
        </row>
        <row r="1385">
          <cell r="A1385">
            <v>0.67260416666666667</v>
          </cell>
          <cell r="B1385">
            <v>49.3</v>
          </cell>
        </row>
        <row r="1386">
          <cell r="A1386">
            <v>0.67295138888888884</v>
          </cell>
          <cell r="B1386">
            <v>49</v>
          </cell>
        </row>
        <row r="1387">
          <cell r="A1387">
            <v>0.67329861111111111</v>
          </cell>
          <cell r="B1387">
            <v>48.7</v>
          </cell>
        </row>
        <row r="1388">
          <cell r="A1388">
            <v>0.67364583333333339</v>
          </cell>
          <cell r="B1388">
            <v>48.5</v>
          </cell>
        </row>
        <row r="1389">
          <cell r="A1389">
            <v>0.67399305555555555</v>
          </cell>
          <cell r="B1389">
            <v>48.2</v>
          </cell>
        </row>
        <row r="1390">
          <cell r="A1390">
            <v>0.67434027777777783</v>
          </cell>
          <cell r="B1390">
            <v>48</v>
          </cell>
        </row>
        <row r="1391">
          <cell r="A1391">
            <v>0.6746875</v>
          </cell>
          <cell r="B1391">
            <v>47.7</v>
          </cell>
        </row>
        <row r="1392">
          <cell r="A1392">
            <v>0.67503472222222227</v>
          </cell>
          <cell r="B1392">
            <v>47.5</v>
          </cell>
        </row>
        <row r="1393">
          <cell r="A1393">
            <v>0.67538194444444444</v>
          </cell>
          <cell r="B1393">
            <v>47.3</v>
          </cell>
        </row>
        <row r="1394">
          <cell r="A1394">
            <v>0.67572916666666671</v>
          </cell>
          <cell r="B1394">
            <v>47.1</v>
          </cell>
        </row>
        <row r="1395">
          <cell r="A1395">
            <v>0.67607638888888888</v>
          </cell>
          <cell r="B1395">
            <v>46.9</v>
          </cell>
        </row>
        <row r="1396">
          <cell r="A1396">
            <v>0.67642361111111116</v>
          </cell>
          <cell r="B1396">
            <v>46.8</v>
          </cell>
        </row>
        <row r="1397">
          <cell r="A1397">
            <v>0.67677083333333332</v>
          </cell>
          <cell r="B1397">
            <v>46.7</v>
          </cell>
        </row>
        <row r="1398">
          <cell r="A1398">
            <v>0.6771180555555556</v>
          </cell>
          <cell r="B1398">
            <v>46.5</v>
          </cell>
        </row>
        <row r="1399">
          <cell r="A1399">
            <v>0.67746527777777776</v>
          </cell>
          <cell r="B1399">
            <v>46.4</v>
          </cell>
        </row>
        <row r="1400">
          <cell r="A1400">
            <v>0.67781250000000004</v>
          </cell>
          <cell r="B1400">
            <v>46.3</v>
          </cell>
        </row>
        <row r="1401">
          <cell r="A1401">
            <v>0.67815972222222221</v>
          </cell>
          <cell r="B1401">
            <v>46.1</v>
          </cell>
        </row>
        <row r="1402">
          <cell r="A1402">
            <v>0.67850694444444448</v>
          </cell>
          <cell r="B1402">
            <v>46</v>
          </cell>
        </row>
        <row r="1403">
          <cell r="A1403">
            <v>0.67885416666666665</v>
          </cell>
          <cell r="B1403">
            <v>45.8</v>
          </cell>
        </row>
        <row r="1404">
          <cell r="A1404">
            <v>0.67920138888888892</v>
          </cell>
          <cell r="B1404">
            <v>45.8</v>
          </cell>
        </row>
        <row r="1405">
          <cell r="A1405">
            <v>0.67954861111111109</v>
          </cell>
          <cell r="B1405">
            <v>45.8</v>
          </cell>
        </row>
        <row r="1406">
          <cell r="A1406">
            <v>0.67989583333333337</v>
          </cell>
          <cell r="B1406">
            <v>45.8</v>
          </cell>
        </row>
        <row r="1407">
          <cell r="A1407">
            <v>0.68024305555555553</v>
          </cell>
          <cell r="B1407">
            <v>45.8</v>
          </cell>
        </row>
        <row r="1408">
          <cell r="A1408">
            <v>0.68059027777777781</v>
          </cell>
          <cell r="B1408">
            <v>45.8</v>
          </cell>
        </row>
        <row r="1409">
          <cell r="A1409">
            <v>0.68093749999999997</v>
          </cell>
          <cell r="B1409">
            <v>45.8</v>
          </cell>
        </row>
        <row r="1410">
          <cell r="A1410">
            <v>0.68128472222222225</v>
          </cell>
          <cell r="B1410">
            <v>45.5</v>
          </cell>
        </row>
        <row r="1411">
          <cell r="A1411">
            <v>0.68163194444444442</v>
          </cell>
          <cell r="B1411">
            <v>45.4</v>
          </cell>
        </row>
        <row r="1412">
          <cell r="A1412">
            <v>0.68197916666666669</v>
          </cell>
          <cell r="B1412">
            <v>45.2</v>
          </cell>
        </row>
        <row r="1413">
          <cell r="A1413">
            <v>0.68232638888888886</v>
          </cell>
          <cell r="B1413">
            <v>44.9</v>
          </cell>
        </row>
        <row r="1414">
          <cell r="A1414">
            <v>0.68267361111111113</v>
          </cell>
          <cell r="B1414">
            <v>44.9</v>
          </cell>
        </row>
        <row r="1415">
          <cell r="A1415">
            <v>0.6830208333333333</v>
          </cell>
          <cell r="B1415">
            <v>44.8</v>
          </cell>
        </row>
        <row r="1416">
          <cell r="A1416">
            <v>0.68336805555555558</v>
          </cell>
          <cell r="B1416">
            <v>44.7</v>
          </cell>
        </row>
        <row r="1417">
          <cell r="A1417">
            <v>0.68371527777777774</v>
          </cell>
          <cell r="B1417">
            <v>44.6</v>
          </cell>
        </row>
        <row r="1418">
          <cell r="A1418">
            <v>0.68406250000000002</v>
          </cell>
          <cell r="B1418">
            <v>44.5</v>
          </cell>
        </row>
        <row r="1419">
          <cell r="A1419">
            <v>0.68440972222222218</v>
          </cell>
          <cell r="B1419">
            <v>44.4</v>
          </cell>
        </row>
        <row r="1420">
          <cell r="A1420">
            <v>0.68475694444444446</v>
          </cell>
          <cell r="B1420">
            <v>44.3</v>
          </cell>
        </row>
        <row r="1421">
          <cell r="A1421">
            <v>0.68510416666666663</v>
          </cell>
          <cell r="B1421">
            <v>44.2</v>
          </cell>
        </row>
        <row r="1422">
          <cell r="A1422">
            <v>0.6854513888888889</v>
          </cell>
          <cell r="B1422">
            <v>44.1</v>
          </cell>
        </row>
        <row r="1423">
          <cell r="A1423">
            <v>0.68579861111111107</v>
          </cell>
          <cell r="B1423">
            <v>44</v>
          </cell>
        </row>
        <row r="1424">
          <cell r="A1424">
            <v>0.68614583333333334</v>
          </cell>
          <cell r="B1424">
            <v>44</v>
          </cell>
        </row>
        <row r="1425">
          <cell r="A1425">
            <v>0.68649305555555551</v>
          </cell>
          <cell r="B1425">
            <v>44</v>
          </cell>
        </row>
        <row r="1426">
          <cell r="A1426">
            <v>0.68684027777777779</v>
          </cell>
          <cell r="B1426">
            <v>43.9</v>
          </cell>
        </row>
        <row r="1427">
          <cell r="A1427">
            <v>0.68718749999999995</v>
          </cell>
          <cell r="B1427">
            <v>43.9</v>
          </cell>
        </row>
        <row r="1428">
          <cell r="A1428">
            <v>0.68753472222222223</v>
          </cell>
          <cell r="B1428">
            <v>43.9</v>
          </cell>
        </row>
        <row r="1429">
          <cell r="A1429">
            <v>0.68788194444444439</v>
          </cell>
          <cell r="B1429">
            <v>43.8</v>
          </cell>
        </row>
        <row r="1430">
          <cell r="A1430">
            <v>0.68822916666666667</v>
          </cell>
          <cell r="B1430">
            <v>43.8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7">
          <cell r="B7" t="str">
            <v>Weight (g)</v>
          </cell>
        </row>
        <row r="8">
          <cell r="A8">
            <v>0</v>
          </cell>
          <cell r="B8">
            <v>150.52000000000001</v>
          </cell>
        </row>
        <row r="9">
          <cell r="A9">
            <v>1</v>
          </cell>
          <cell r="B9">
            <v>150.44999999999999</v>
          </cell>
        </row>
        <row r="10">
          <cell r="A10">
            <v>2</v>
          </cell>
          <cell r="B10">
            <v>150.38</v>
          </cell>
        </row>
        <row r="11">
          <cell r="A11">
            <v>3</v>
          </cell>
          <cell r="B11">
            <v>150.31299999999999</v>
          </cell>
        </row>
        <row r="12">
          <cell r="A12">
            <v>4</v>
          </cell>
          <cell r="B12">
            <v>150.24299999999999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AK658"/>
  <sheetViews>
    <sheetView topLeftCell="A87" zoomScale="70" zoomScaleNormal="70" workbookViewId="0">
      <selection activeCell="L111" sqref="L111"/>
    </sheetView>
  </sheetViews>
  <sheetFormatPr defaultRowHeight="14.4" x14ac:dyDescent="0.3"/>
  <cols>
    <col min="1" max="1" width="12.77734375" customWidth="1"/>
    <col min="2" max="2" width="8.6640625" customWidth="1"/>
    <col min="3" max="3" width="8.109375" customWidth="1"/>
    <col min="4" max="4" width="8.5546875" customWidth="1"/>
    <col min="6" max="6" width="9.21875" customWidth="1"/>
    <col min="7" max="7" width="16.44140625" customWidth="1"/>
    <col min="8" max="8" width="4.5546875" customWidth="1"/>
    <col min="9" max="9" width="4.88671875" customWidth="1"/>
    <col min="10" max="10" width="9.88671875" customWidth="1"/>
    <col min="11" max="11" width="8.88671875" style="8" customWidth="1"/>
    <col min="12" max="12" width="8.6640625" customWidth="1"/>
    <col min="13" max="13" width="8.33203125" customWidth="1"/>
    <col min="14" max="14" width="7.21875" customWidth="1"/>
    <col min="15" max="15" width="12.109375" style="8" customWidth="1"/>
    <col min="16" max="16" width="11.88671875" style="8" customWidth="1"/>
    <col min="17" max="17" width="10.33203125" style="8" customWidth="1"/>
    <col min="18" max="18" width="10" style="8" customWidth="1"/>
    <col min="19" max="19" width="10.44140625" customWidth="1"/>
    <col min="25" max="25" width="10.88671875" customWidth="1"/>
    <col min="26" max="26" width="9.44140625" customWidth="1"/>
    <col min="27" max="27" width="9.109375" customWidth="1"/>
    <col min="28" max="28" width="9" customWidth="1"/>
    <col min="29" max="29" width="12.109375" customWidth="1"/>
    <col min="30" max="30" width="10.33203125" customWidth="1"/>
    <col min="31" max="31" width="27.21875" customWidth="1"/>
    <col min="32" max="32" width="8.44140625" customWidth="1"/>
  </cols>
  <sheetData>
    <row r="1" spans="1:37" ht="72" x14ac:dyDescent="0.3">
      <c r="A1" s="7" t="s">
        <v>100</v>
      </c>
      <c r="B1" s="7" t="s">
        <v>101</v>
      </c>
      <c r="C1" s="1" t="s">
        <v>13</v>
      </c>
      <c r="D1" s="1" t="s">
        <v>27</v>
      </c>
      <c r="E1" s="1" t="s">
        <v>4</v>
      </c>
      <c r="F1" s="1" t="s">
        <v>167</v>
      </c>
      <c r="G1" s="1" t="s">
        <v>1</v>
      </c>
      <c r="H1" s="1" t="s">
        <v>21</v>
      </c>
      <c r="I1" s="1" t="s">
        <v>205</v>
      </c>
      <c r="J1" s="1" t="s">
        <v>33</v>
      </c>
      <c r="K1" s="9" t="s">
        <v>2</v>
      </c>
      <c r="L1" s="1" t="s">
        <v>110</v>
      </c>
      <c r="M1" s="1" t="s">
        <v>219</v>
      </c>
      <c r="N1" s="1" t="s">
        <v>75</v>
      </c>
      <c r="O1" s="9" t="s">
        <v>3</v>
      </c>
      <c r="P1" s="9" t="s">
        <v>215</v>
      </c>
      <c r="Q1" s="9" t="s">
        <v>214</v>
      </c>
      <c r="R1" s="9" t="s">
        <v>210</v>
      </c>
      <c r="S1" s="1" t="s">
        <v>209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5</v>
      </c>
      <c r="Y1" s="1" t="s">
        <v>9</v>
      </c>
      <c r="Z1" s="1" t="s">
        <v>34</v>
      </c>
      <c r="AA1" s="2" t="s">
        <v>10</v>
      </c>
      <c r="AB1" s="2" t="s">
        <v>35</v>
      </c>
      <c r="AC1" s="2" t="s">
        <v>207</v>
      </c>
      <c r="AD1" s="1" t="s">
        <v>212</v>
      </c>
      <c r="AE1" s="1" t="s">
        <v>126</v>
      </c>
      <c r="AF1" s="3" t="s">
        <v>51</v>
      </c>
      <c r="AG1" s="3" t="s">
        <v>52</v>
      </c>
      <c r="AH1" s="3" t="s">
        <v>53</v>
      </c>
      <c r="AI1" s="3" t="s">
        <v>54</v>
      </c>
      <c r="AJ1" s="3" t="s">
        <v>55</v>
      </c>
      <c r="AK1" s="3" t="s">
        <v>56</v>
      </c>
    </row>
    <row r="2" spans="1:37" x14ac:dyDescent="0.3">
      <c r="A2" t="s">
        <v>0</v>
      </c>
      <c r="B2" t="s">
        <v>6</v>
      </c>
      <c r="C2">
        <v>121</v>
      </c>
      <c r="D2">
        <v>20</v>
      </c>
      <c r="E2">
        <v>20</v>
      </c>
      <c r="F2">
        <v>150</v>
      </c>
      <c r="G2">
        <v>27.83453957</v>
      </c>
      <c r="H2">
        <v>32</v>
      </c>
      <c r="I2">
        <v>65</v>
      </c>
      <c r="J2">
        <v>0</v>
      </c>
      <c r="K2" s="8">
        <v>6.37</v>
      </c>
      <c r="N2">
        <v>3.5</v>
      </c>
      <c r="O2" s="8">
        <v>7.2</v>
      </c>
      <c r="R2" s="8">
        <v>0</v>
      </c>
      <c r="S2" t="s">
        <v>68</v>
      </c>
      <c r="T2">
        <v>53.64</v>
      </c>
      <c r="U2">
        <v>8.6199999999999992</v>
      </c>
      <c r="V2">
        <v>48.18</v>
      </c>
      <c r="W2">
        <v>44.8</v>
      </c>
      <c r="X2">
        <v>17.100000000000001</v>
      </c>
      <c r="Y2">
        <v>1.4</v>
      </c>
      <c r="Z2">
        <v>-2</v>
      </c>
      <c r="AA2">
        <v>69.650000000000006</v>
      </c>
      <c r="AB2">
        <v>0.74644999999999995</v>
      </c>
      <c r="AC2" t="s">
        <v>128</v>
      </c>
      <c r="AD2" t="s">
        <v>127</v>
      </c>
      <c r="AE2" t="s">
        <v>128</v>
      </c>
      <c r="AF2">
        <v>6</v>
      </c>
      <c r="AG2">
        <v>7</v>
      </c>
      <c r="AH2">
        <v>7</v>
      </c>
      <c r="AI2">
        <v>6</v>
      </c>
      <c r="AJ2">
        <v>6</v>
      </c>
      <c r="AK2">
        <v>7</v>
      </c>
    </row>
    <row r="3" spans="1:37" x14ac:dyDescent="0.3">
      <c r="B3" t="s">
        <v>6</v>
      </c>
      <c r="C3">
        <v>121</v>
      </c>
      <c r="D3">
        <v>20</v>
      </c>
      <c r="E3">
        <v>20</v>
      </c>
      <c r="F3">
        <v>150</v>
      </c>
      <c r="G3">
        <v>27.83453957</v>
      </c>
      <c r="H3">
        <v>32</v>
      </c>
      <c r="I3">
        <v>65</v>
      </c>
      <c r="J3">
        <v>0</v>
      </c>
      <c r="K3" s="8">
        <v>6.41</v>
      </c>
      <c r="N3">
        <v>4.5</v>
      </c>
      <c r="O3" s="8">
        <v>7.8</v>
      </c>
      <c r="R3" s="8">
        <v>0</v>
      </c>
      <c r="S3" t="s">
        <v>68</v>
      </c>
      <c r="T3">
        <v>53.66</v>
      </c>
      <c r="U3">
        <v>8.6</v>
      </c>
      <c r="V3">
        <v>48.17</v>
      </c>
      <c r="W3">
        <v>44.8</v>
      </c>
      <c r="X3">
        <v>17.100000000000001</v>
      </c>
      <c r="Y3">
        <v>1.4</v>
      </c>
      <c r="Z3">
        <v>-2</v>
      </c>
      <c r="AA3">
        <v>69.650000000000006</v>
      </c>
      <c r="AC3" t="s">
        <v>128</v>
      </c>
      <c r="AD3" t="s">
        <v>127</v>
      </c>
      <c r="AE3" t="s">
        <v>128</v>
      </c>
      <c r="AF3">
        <v>7</v>
      </c>
      <c r="AG3">
        <v>6</v>
      </c>
      <c r="AH3">
        <v>6</v>
      </c>
      <c r="AI3">
        <v>8</v>
      </c>
      <c r="AJ3">
        <v>5</v>
      </c>
      <c r="AK3">
        <v>7</v>
      </c>
    </row>
    <row r="4" spans="1:37" x14ac:dyDescent="0.3">
      <c r="B4" t="s">
        <v>6</v>
      </c>
      <c r="C4">
        <v>121</v>
      </c>
      <c r="D4">
        <v>20</v>
      </c>
      <c r="E4">
        <v>20</v>
      </c>
      <c r="F4">
        <v>150</v>
      </c>
      <c r="G4">
        <v>27.83453957</v>
      </c>
      <c r="H4">
        <v>32</v>
      </c>
      <c r="I4">
        <v>65</v>
      </c>
      <c r="J4">
        <v>0</v>
      </c>
      <c r="K4" s="8">
        <v>6.4</v>
      </c>
      <c r="N4">
        <v>2.6</v>
      </c>
      <c r="O4" s="8">
        <v>8.1999999999999993</v>
      </c>
      <c r="R4" s="8">
        <v>0</v>
      </c>
      <c r="S4" t="s">
        <v>68</v>
      </c>
      <c r="T4">
        <v>53.54</v>
      </c>
      <c r="U4">
        <v>8.65</v>
      </c>
      <c r="V4">
        <v>48.22</v>
      </c>
      <c r="W4">
        <v>44.6</v>
      </c>
      <c r="X4">
        <v>17.100000000000001</v>
      </c>
      <c r="Y4">
        <v>1.4</v>
      </c>
      <c r="Z4">
        <v>-2</v>
      </c>
      <c r="AA4">
        <v>69.650000000000006</v>
      </c>
      <c r="AC4" t="s">
        <v>128</v>
      </c>
      <c r="AD4" t="s">
        <v>127</v>
      </c>
      <c r="AE4" t="s">
        <v>128</v>
      </c>
      <c r="AF4">
        <v>7</v>
      </c>
      <c r="AG4">
        <v>8</v>
      </c>
      <c r="AH4">
        <v>7</v>
      </c>
      <c r="AI4">
        <v>7</v>
      </c>
      <c r="AJ4">
        <v>6</v>
      </c>
      <c r="AK4">
        <v>8</v>
      </c>
    </row>
    <row r="5" spans="1:37" x14ac:dyDescent="0.3">
      <c r="B5" t="s">
        <v>7</v>
      </c>
      <c r="C5">
        <v>121</v>
      </c>
      <c r="D5">
        <v>20</v>
      </c>
      <c r="E5">
        <v>20</v>
      </c>
      <c r="F5">
        <v>150</v>
      </c>
      <c r="G5">
        <v>27.83453957</v>
      </c>
      <c r="H5">
        <v>32</v>
      </c>
      <c r="I5">
        <v>65</v>
      </c>
      <c r="J5">
        <v>0</v>
      </c>
      <c r="K5" s="8">
        <v>6.3</v>
      </c>
      <c r="N5">
        <v>2.4</v>
      </c>
      <c r="O5" s="8">
        <v>4.5999999999999996</v>
      </c>
      <c r="R5" s="8">
        <v>0</v>
      </c>
      <c r="S5" t="s">
        <v>68</v>
      </c>
      <c r="T5">
        <v>47.59</v>
      </c>
      <c r="U5">
        <v>8.02</v>
      </c>
      <c r="V5">
        <v>38.96</v>
      </c>
      <c r="W5">
        <v>33.950000000000003</v>
      </c>
      <c r="X5">
        <v>9</v>
      </c>
      <c r="Y5">
        <v>2.6</v>
      </c>
      <c r="Z5">
        <v>-1</v>
      </c>
      <c r="AA5">
        <v>68.819999999999993</v>
      </c>
      <c r="AC5" t="s">
        <v>128</v>
      </c>
      <c r="AD5" t="s">
        <v>127</v>
      </c>
      <c r="AE5" t="s">
        <v>128</v>
      </c>
      <c r="AF5">
        <v>6</v>
      </c>
      <c r="AG5">
        <v>6</v>
      </c>
      <c r="AH5">
        <v>6</v>
      </c>
      <c r="AI5">
        <v>8</v>
      </c>
      <c r="AJ5">
        <v>7</v>
      </c>
      <c r="AK5">
        <v>7</v>
      </c>
    </row>
    <row r="6" spans="1:37" x14ac:dyDescent="0.3">
      <c r="B6" t="s">
        <v>7</v>
      </c>
      <c r="C6">
        <v>121</v>
      </c>
      <c r="D6">
        <v>20</v>
      </c>
      <c r="E6">
        <v>20</v>
      </c>
      <c r="F6">
        <v>150</v>
      </c>
      <c r="G6">
        <v>27.83453957</v>
      </c>
      <c r="H6">
        <v>32</v>
      </c>
      <c r="I6">
        <v>65</v>
      </c>
      <c r="J6">
        <v>0</v>
      </c>
      <c r="K6" s="8">
        <v>6.33</v>
      </c>
      <c r="N6">
        <v>2.6</v>
      </c>
      <c r="O6" s="8">
        <v>5.3</v>
      </c>
      <c r="R6" s="8">
        <v>0</v>
      </c>
      <c r="S6" t="s">
        <v>68</v>
      </c>
      <c r="T6">
        <v>47.57</v>
      </c>
      <c r="U6">
        <v>8.02</v>
      </c>
      <c r="V6">
        <v>38.99</v>
      </c>
      <c r="W6">
        <v>33.979999999999997</v>
      </c>
      <c r="X6">
        <v>9</v>
      </c>
      <c r="Y6">
        <v>2.6</v>
      </c>
      <c r="Z6">
        <v>-1</v>
      </c>
      <c r="AA6">
        <v>68.819999999999993</v>
      </c>
      <c r="AC6" t="s">
        <v>128</v>
      </c>
      <c r="AD6" t="s">
        <v>127</v>
      </c>
      <c r="AE6" t="s">
        <v>128</v>
      </c>
      <c r="AF6">
        <v>7</v>
      </c>
      <c r="AG6">
        <v>7</v>
      </c>
      <c r="AH6">
        <v>6</v>
      </c>
      <c r="AI6">
        <v>7</v>
      </c>
      <c r="AJ6">
        <v>6</v>
      </c>
      <c r="AK6">
        <v>5</v>
      </c>
    </row>
    <row r="7" spans="1:37" x14ac:dyDescent="0.3">
      <c r="B7" t="s">
        <v>7</v>
      </c>
      <c r="C7">
        <v>121</v>
      </c>
      <c r="D7">
        <v>20</v>
      </c>
      <c r="E7">
        <v>20</v>
      </c>
      <c r="F7">
        <v>150</v>
      </c>
      <c r="G7">
        <v>27.83453957</v>
      </c>
      <c r="H7">
        <v>32</v>
      </c>
      <c r="I7">
        <v>65</v>
      </c>
      <c r="J7">
        <v>0</v>
      </c>
      <c r="K7" s="8">
        <v>6.31</v>
      </c>
      <c r="N7">
        <v>2.2999999999999998</v>
      </c>
      <c r="O7" s="8">
        <v>6.3</v>
      </c>
      <c r="R7" s="8">
        <v>0</v>
      </c>
      <c r="S7" t="s">
        <v>68</v>
      </c>
      <c r="T7">
        <v>47.57</v>
      </c>
      <c r="U7">
        <v>8.01</v>
      </c>
      <c r="V7">
        <v>39</v>
      </c>
      <c r="W7">
        <v>33.979999999999997</v>
      </c>
      <c r="X7">
        <v>9</v>
      </c>
      <c r="Y7">
        <v>2.6</v>
      </c>
      <c r="Z7">
        <v>-1</v>
      </c>
      <c r="AA7">
        <v>68.819999999999993</v>
      </c>
      <c r="AC7" t="s">
        <v>128</v>
      </c>
      <c r="AD7" t="s">
        <v>127</v>
      </c>
      <c r="AE7" t="s">
        <v>128</v>
      </c>
      <c r="AF7">
        <v>8</v>
      </c>
      <c r="AG7">
        <v>7</v>
      </c>
      <c r="AH7">
        <v>6</v>
      </c>
      <c r="AI7">
        <v>7</v>
      </c>
      <c r="AJ7">
        <v>5</v>
      </c>
      <c r="AK7">
        <v>6</v>
      </c>
    </row>
    <row r="8" spans="1:37" x14ac:dyDescent="0.3">
      <c r="B8" t="s">
        <v>8</v>
      </c>
      <c r="C8">
        <v>121</v>
      </c>
      <c r="D8">
        <v>20</v>
      </c>
      <c r="E8">
        <v>20</v>
      </c>
      <c r="F8">
        <v>150</v>
      </c>
      <c r="G8">
        <v>27.83453957</v>
      </c>
      <c r="H8">
        <v>32</v>
      </c>
      <c r="I8">
        <v>65</v>
      </c>
      <c r="J8">
        <v>0</v>
      </c>
      <c r="K8" s="8">
        <v>6.41</v>
      </c>
      <c r="N8">
        <v>2.2999999999999998</v>
      </c>
      <c r="O8" s="8">
        <v>7.5</v>
      </c>
      <c r="R8" s="8">
        <v>0</v>
      </c>
      <c r="S8" t="s">
        <v>68</v>
      </c>
      <c r="T8">
        <v>50.28</v>
      </c>
      <c r="U8">
        <v>8.6300000000000008</v>
      </c>
      <c r="V8">
        <v>41.81</v>
      </c>
      <c r="W8">
        <v>65.959999999999994</v>
      </c>
      <c r="X8">
        <v>9</v>
      </c>
      <c r="Y8">
        <v>2.6</v>
      </c>
      <c r="Z8">
        <v>-1</v>
      </c>
      <c r="AA8">
        <v>68.010000000000005</v>
      </c>
      <c r="AC8" t="s">
        <v>128</v>
      </c>
      <c r="AD8" t="s">
        <v>127</v>
      </c>
      <c r="AE8" t="s">
        <v>128</v>
      </c>
      <c r="AF8">
        <v>6</v>
      </c>
      <c r="AG8">
        <v>7</v>
      </c>
      <c r="AH8">
        <v>7</v>
      </c>
      <c r="AI8">
        <v>6</v>
      </c>
      <c r="AJ8">
        <v>6</v>
      </c>
      <c r="AK8">
        <v>5</v>
      </c>
    </row>
    <row r="9" spans="1:37" x14ac:dyDescent="0.3">
      <c r="B9" t="s">
        <v>8</v>
      </c>
      <c r="C9">
        <v>121</v>
      </c>
      <c r="D9">
        <v>20</v>
      </c>
      <c r="E9">
        <v>20</v>
      </c>
      <c r="F9">
        <v>150</v>
      </c>
      <c r="G9">
        <v>27.83453957</v>
      </c>
      <c r="H9">
        <v>32</v>
      </c>
      <c r="I9">
        <v>65</v>
      </c>
      <c r="J9">
        <v>0</v>
      </c>
      <c r="K9" s="8">
        <v>6.3</v>
      </c>
      <c r="N9">
        <v>2.1</v>
      </c>
      <c r="O9" s="8">
        <v>8.1999999999999993</v>
      </c>
      <c r="R9" s="8">
        <v>0</v>
      </c>
      <c r="S9" t="s">
        <v>68</v>
      </c>
      <c r="T9">
        <v>50.28</v>
      </c>
      <c r="U9">
        <v>8.61</v>
      </c>
      <c r="V9">
        <v>41.88</v>
      </c>
      <c r="W9">
        <v>66.010000000000005</v>
      </c>
      <c r="X9">
        <v>9</v>
      </c>
      <c r="Y9">
        <v>2.6</v>
      </c>
      <c r="Z9">
        <v>-1</v>
      </c>
      <c r="AA9">
        <v>68.010000000000005</v>
      </c>
      <c r="AC9" t="s">
        <v>128</v>
      </c>
      <c r="AD9" t="s">
        <v>127</v>
      </c>
      <c r="AE9" t="s">
        <v>128</v>
      </c>
      <c r="AF9">
        <v>6</v>
      </c>
      <c r="AG9">
        <v>6</v>
      </c>
      <c r="AH9">
        <v>7</v>
      </c>
      <c r="AI9">
        <v>7</v>
      </c>
      <c r="AJ9">
        <v>5</v>
      </c>
      <c r="AK9">
        <v>7</v>
      </c>
    </row>
    <row r="10" spans="1:37" x14ac:dyDescent="0.3">
      <c r="B10" t="s">
        <v>8</v>
      </c>
      <c r="C10">
        <v>121</v>
      </c>
      <c r="D10">
        <v>20</v>
      </c>
      <c r="E10">
        <v>20</v>
      </c>
      <c r="F10">
        <v>150</v>
      </c>
      <c r="G10">
        <v>27.83453957</v>
      </c>
      <c r="H10">
        <v>32</v>
      </c>
      <c r="I10">
        <v>65</v>
      </c>
      <c r="J10">
        <v>0</v>
      </c>
      <c r="K10" s="8">
        <v>6.33</v>
      </c>
      <c r="N10">
        <v>2.4</v>
      </c>
      <c r="O10" s="8">
        <v>5.5</v>
      </c>
      <c r="R10" s="8">
        <v>0</v>
      </c>
      <c r="S10" t="s">
        <v>68</v>
      </c>
      <c r="T10">
        <v>50.29</v>
      </c>
      <c r="U10">
        <v>8.58</v>
      </c>
      <c r="V10">
        <v>41.87</v>
      </c>
      <c r="W10">
        <v>66</v>
      </c>
      <c r="X10">
        <v>9</v>
      </c>
      <c r="Y10">
        <v>2.6</v>
      </c>
      <c r="Z10">
        <v>-1</v>
      </c>
      <c r="AA10">
        <v>68.010000000000005</v>
      </c>
      <c r="AC10" t="s">
        <v>128</v>
      </c>
      <c r="AD10" t="s">
        <v>127</v>
      </c>
      <c r="AE10" t="s">
        <v>128</v>
      </c>
      <c r="AF10">
        <v>7</v>
      </c>
      <c r="AG10">
        <v>5</v>
      </c>
      <c r="AH10">
        <v>7</v>
      </c>
      <c r="AI10">
        <v>6</v>
      </c>
      <c r="AJ10">
        <v>6</v>
      </c>
      <c r="AK10">
        <v>6</v>
      </c>
    </row>
    <row r="11" spans="1:37" x14ac:dyDescent="0.3">
      <c r="B11" t="s">
        <v>50</v>
      </c>
      <c r="C11">
        <v>0</v>
      </c>
      <c r="D11">
        <v>0</v>
      </c>
      <c r="E11">
        <v>0</v>
      </c>
      <c r="F11">
        <v>150</v>
      </c>
      <c r="G11">
        <v>0</v>
      </c>
      <c r="H11">
        <v>32</v>
      </c>
      <c r="I11">
        <v>65</v>
      </c>
      <c r="J11">
        <v>0</v>
      </c>
      <c r="K11" s="8">
        <v>6.34</v>
      </c>
      <c r="N11">
        <v>2.6</v>
      </c>
      <c r="O11" s="8">
        <v>4.3</v>
      </c>
      <c r="R11" s="8">
        <f>LOG10(138*(10^2))</f>
        <v>4.1398790864012369</v>
      </c>
      <c r="S11" t="s">
        <v>127</v>
      </c>
      <c r="T11">
        <v>52.86</v>
      </c>
      <c r="U11">
        <v>9.3699999999999992</v>
      </c>
      <c r="V11">
        <v>54.15</v>
      </c>
      <c r="W11">
        <v>50.05</v>
      </c>
      <c r="X11">
        <v>18.3</v>
      </c>
      <c r="Y11">
        <v>0.2</v>
      </c>
      <c r="Z11">
        <v>-5</v>
      </c>
      <c r="AA11">
        <v>67.59</v>
      </c>
      <c r="AC11" t="s">
        <v>128</v>
      </c>
      <c r="AD11" t="s">
        <v>125</v>
      </c>
      <c r="AE11" t="s">
        <v>127</v>
      </c>
      <c r="AF11">
        <v>7</v>
      </c>
      <c r="AG11">
        <v>7</v>
      </c>
      <c r="AH11">
        <v>6</v>
      </c>
      <c r="AI11">
        <v>6</v>
      </c>
      <c r="AJ11">
        <v>7</v>
      </c>
      <c r="AK11">
        <v>9</v>
      </c>
    </row>
    <row r="12" spans="1:37" x14ac:dyDescent="0.3">
      <c r="B12" t="s">
        <v>50</v>
      </c>
      <c r="C12">
        <v>0</v>
      </c>
      <c r="D12">
        <v>0</v>
      </c>
      <c r="E12">
        <v>0</v>
      </c>
      <c r="F12">
        <v>150</v>
      </c>
      <c r="G12">
        <v>0</v>
      </c>
      <c r="H12">
        <v>32</v>
      </c>
      <c r="I12">
        <v>65</v>
      </c>
      <c r="J12">
        <v>0</v>
      </c>
      <c r="K12" s="8">
        <v>6.53</v>
      </c>
      <c r="N12">
        <v>3.5</v>
      </c>
      <c r="O12" s="8">
        <v>5.3</v>
      </c>
      <c r="R12" s="8">
        <f>LOG10(38*(10^2))</f>
        <v>3.5797835966168101</v>
      </c>
      <c r="S12" t="s">
        <v>127</v>
      </c>
      <c r="T12">
        <v>52.86</v>
      </c>
      <c r="U12">
        <v>9.36</v>
      </c>
      <c r="V12">
        <v>54.1</v>
      </c>
      <c r="W12">
        <v>50.01</v>
      </c>
      <c r="X12">
        <v>18.3</v>
      </c>
      <c r="Y12">
        <v>0.2</v>
      </c>
      <c r="Z12">
        <v>-5</v>
      </c>
      <c r="AA12">
        <v>67.59</v>
      </c>
      <c r="AC12" t="s">
        <v>128</v>
      </c>
      <c r="AD12" t="s">
        <v>125</v>
      </c>
      <c r="AE12" t="s">
        <v>127</v>
      </c>
      <c r="AF12">
        <v>6</v>
      </c>
      <c r="AG12">
        <v>7</v>
      </c>
      <c r="AH12">
        <v>6</v>
      </c>
      <c r="AI12">
        <v>8</v>
      </c>
      <c r="AJ12">
        <v>8</v>
      </c>
      <c r="AK12">
        <v>8</v>
      </c>
    </row>
    <row r="13" spans="1:37" x14ac:dyDescent="0.3">
      <c r="B13" t="s">
        <v>50</v>
      </c>
      <c r="C13">
        <v>0</v>
      </c>
      <c r="D13">
        <v>0</v>
      </c>
      <c r="E13">
        <v>0</v>
      </c>
      <c r="F13">
        <v>150</v>
      </c>
      <c r="G13">
        <v>0</v>
      </c>
      <c r="H13">
        <v>32</v>
      </c>
      <c r="I13">
        <v>65</v>
      </c>
      <c r="J13">
        <v>0</v>
      </c>
      <c r="K13" s="8">
        <v>6.76</v>
      </c>
      <c r="N13">
        <v>7.8</v>
      </c>
      <c r="O13" s="8">
        <v>5.8</v>
      </c>
      <c r="R13" s="8">
        <f>LOG10(55*(10^2))</f>
        <v>3.7403626894942437</v>
      </c>
      <c r="S13" t="s">
        <v>127</v>
      </c>
      <c r="T13">
        <v>52.85</v>
      </c>
      <c r="U13">
        <v>9.36</v>
      </c>
      <c r="V13">
        <v>54.15</v>
      </c>
      <c r="W13">
        <v>50.06</v>
      </c>
      <c r="X13">
        <v>18.3</v>
      </c>
      <c r="Y13">
        <v>0.2</v>
      </c>
      <c r="Z13">
        <v>-5</v>
      </c>
      <c r="AA13">
        <v>67.59</v>
      </c>
      <c r="AC13" t="s">
        <v>128</v>
      </c>
      <c r="AD13" t="s">
        <v>125</v>
      </c>
      <c r="AE13" t="s">
        <v>127</v>
      </c>
      <c r="AF13">
        <v>8</v>
      </c>
      <c r="AG13">
        <v>6</v>
      </c>
      <c r="AH13">
        <v>5</v>
      </c>
      <c r="AI13">
        <v>8</v>
      </c>
      <c r="AJ13">
        <v>8</v>
      </c>
      <c r="AK13">
        <f t="shared" ref="AK13" si="0">AVERAGE(AF13:AJ13)</f>
        <v>7</v>
      </c>
    </row>
    <row r="14" spans="1:37" x14ac:dyDescent="0.3">
      <c r="B14" t="s">
        <v>123</v>
      </c>
      <c r="C14">
        <v>121</v>
      </c>
      <c r="D14">
        <v>20</v>
      </c>
      <c r="E14">
        <v>20</v>
      </c>
      <c r="F14">
        <v>150</v>
      </c>
      <c r="G14">
        <v>27.83453957</v>
      </c>
      <c r="H14">
        <v>32</v>
      </c>
      <c r="I14">
        <v>65</v>
      </c>
      <c r="J14">
        <v>10</v>
      </c>
      <c r="K14" s="8">
        <v>6.5153030303030297</v>
      </c>
      <c r="N14">
        <v>7.6449999999999996</v>
      </c>
      <c r="O14" s="8">
        <v>8.9</v>
      </c>
      <c r="R14" s="8">
        <v>0</v>
      </c>
      <c r="S14" t="s">
        <v>68</v>
      </c>
      <c r="T14">
        <v>49.88</v>
      </c>
      <c r="U14">
        <v>8.7899999999999991</v>
      </c>
      <c r="V14">
        <v>43.23</v>
      </c>
      <c r="W14">
        <v>66.59</v>
      </c>
      <c r="X14">
        <v>2.0499999999999998</v>
      </c>
      <c r="Y14">
        <v>4.4000000000000004</v>
      </c>
      <c r="Z14">
        <v>-12</v>
      </c>
      <c r="AA14">
        <v>54.88</v>
      </c>
      <c r="AC14" t="s">
        <v>128</v>
      </c>
      <c r="AD14" t="s">
        <v>127</v>
      </c>
      <c r="AE14" t="s">
        <v>128</v>
      </c>
      <c r="AF14">
        <v>8</v>
      </c>
      <c r="AG14">
        <v>8</v>
      </c>
      <c r="AH14">
        <v>7</v>
      </c>
      <c r="AI14">
        <v>6</v>
      </c>
      <c r="AJ14">
        <v>6</v>
      </c>
      <c r="AK14">
        <v>8</v>
      </c>
    </row>
    <row r="15" spans="1:37" x14ac:dyDescent="0.3">
      <c r="B15" t="s">
        <v>123</v>
      </c>
      <c r="C15">
        <v>121</v>
      </c>
      <c r="D15">
        <v>20</v>
      </c>
      <c r="E15">
        <v>20</v>
      </c>
      <c r="F15">
        <v>150</v>
      </c>
      <c r="G15">
        <v>27.83453957</v>
      </c>
      <c r="H15">
        <v>32</v>
      </c>
      <c r="I15">
        <v>65</v>
      </c>
      <c r="J15">
        <v>10</v>
      </c>
      <c r="K15" s="8">
        <v>6.5331701631701602</v>
      </c>
      <c r="N15">
        <v>5.9</v>
      </c>
      <c r="O15" s="8">
        <v>9.8000000000000007</v>
      </c>
      <c r="R15" s="8">
        <v>0</v>
      </c>
      <c r="S15" t="s">
        <v>68</v>
      </c>
      <c r="T15">
        <v>49.76</v>
      </c>
      <c r="U15">
        <v>8.83</v>
      </c>
      <c r="V15">
        <v>43.15</v>
      </c>
      <c r="W15">
        <v>66.45</v>
      </c>
      <c r="X15">
        <v>2.11</v>
      </c>
      <c r="Y15">
        <v>4.4000000000000004</v>
      </c>
      <c r="Z15">
        <v>-16</v>
      </c>
      <c r="AA15">
        <v>54.88</v>
      </c>
      <c r="AC15" t="s">
        <v>128</v>
      </c>
      <c r="AD15" t="s">
        <v>127</v>
      </c>
      <c r="AE15" t="s">
        <v>128</v>
      </c>
      <c r="AF15">
        <v>9</v>
      </c>
      <c r="AG15">
        <v>7</v>
      </c>
      <c r="AH15">
        <v>8</v>
      </c>
      <c r="AI15">
        <v>7</v>
      </c>
      <c r="AJ15">
        <v>5</v>
      </c>
      <c r="AK15">
        <v>9</v>
      </c>
    </row>
    <row r="16" spans="1:37" x14ac:dyDescent="0.3">
      <c r="B16" t="s">
        <v>123</v>
      </c>
      <c r="C16">
        <v>121</v>
      </c>
      <c r="D16">
        <v>20</v>
      </c>
      <c r="E16">
        <v>20</v>
      </c>
      <c r="F16">
        <v>150</v>
      </c>
      <c r="G16">
        <v>27.83453957</v>
      </c>
      <c r="H16">
        <v>32</v>
      </c>
      <c r="I16">
        <v>65</v>
      </c>
      <c r="J16">
        <v>10</v>
      </c>
      <c r="K16" s="8">
        <v>6.5510372960372996</v>
      </c>
      <c r="N16">
        <v>6.5</v>
      </c>
      <c r="O16" s="8">
        <v>7.9</v>
      </c>
      <c r="R16" s="8">
        <v>0</v>
      </c>
      <c r="S16" t="s">
        <v>68</v>
      </c>
      <c r="T16">
        <v>49.77</v>
      </c>
      <c r="U16">
        <v>8.81</v>
      </c>
      <c r="V16">
        <v>43.16</v>
      </c>
      <c r="W16">
        <v>66.459999999999994</v>
      </c>
      <c r="X16">
        <v>2.15</v>
      </c>
      <c r="Y16">
        <v>4.5</v>
      </c>
      <c r="Z16">
        <v>-20</v>
      </c>
      <c r="AA16">
        <v>54.88</v>
      </c>
      <c r="AC16" t="s">
        <v>128</v>
      </c>
      <c r="AD16" t="s">
        <v>127</v>
      </c>
      <c r="AE16" t="s">
        <v>128</v>
      </c>
      <c r="AF16">
        <v>8</v>
      </c>
      <c r="AG16">
        <v>9</v>
      </c>
      <c r="AH16">
        <v>7</v>
      </c>
      <c r="AI16">
        <v>6</v>
      </c>
      <c r="AJ16">
        <v>7</v>
      </c>
      <c r="AK16">
        <v>7</v>
      </c>
    </row>
    <row r="17" spans="1:37" x14ac:dyDescent="0.3">
      <c r="B17" t="s">
        <v>124</v>
      </c>
      <c r="C17">
        <v>0</v>
      </c>
      <c r="D17">
        <v>0</v>
      </c>
      <c r="E17">
        <v>0</v>
      </c>
      <c r="F17">
        <v>150</v>
      </c>
      <c r="G17">
        <v>0</v>
      </c>
      <c r="H17">
        <v>32</v>
      </c>
      <c r="I17">
        <v>65</v>
      </c>
      <c r="J17">
        <v>10</v>
      </c>
      <c r="K17" s="8">
        <v>4.95</v>
      </c>
      <c r="N17">
        <v>5.5</v>
      </c>
      <c r="O17" s="8">
        <v>12.8</v>
      </c>
      <c r="R17" s="10">
        <f>LOG10(168*(10^7))</f>
        <v>9.2253092817258633</v>
      </c>
      <c r="S17" s="10" t="s">
        <v>97</v>
      </c>
      <c r="T17">
        <v>58.97</v>
      </c>
      <c r="U17">
        <v>8.6999999999999993</v>
      </c>
      <c r="V17">
        <v>45.62</v>
      </c>
      <c r="W17">
        <v>75.06</v>
      </c>
      <c r="X17">
        <v>0</v>
      </c>
      <c r="Y17">
        <v>54.3</v>
      </c>
      <c r="Z17">
        <v>0</v>
      </c>
      <c r="AA17">
        <v>66.83</v>
      </c>
      <c r="AC17" t="s">
        <v>143</v>
      </c>
      <c r="AD17" t="s">
        <v>69</v>
      </c>
      <c r="AE17" t="s">
        <v>203</v>
      </c>
      <c r="AF17">
        <v>5</v>
      </c>
      <c r="AG17">
        <v>4</v>
      </c>
      <c r="AH17">
        <v>1</v>
      </c>
      <c r="AI17" t="s">
        <v>213</v>
      </c>
      <c r="AJ17">
        <v>2</v>
      </c>
      <c r="AK17">
        <v>2</v>
      </c>
    </row>
    <row r="18" spans="1:37" x14ac:dyDescent="0.3">
      <c r="B18" t="s">
        <v>124</v>
      </c>
      <c r="C18">
        <v>0</v>
      </c>
      <c r="D18">
        <v>0</v>
      </c>
      <c r="E18">
        <v>0</v>
      </c>
      <c r="F18">
        <v>150</v>
      </c>
      <c r="G18">
        <v>0</v>
      </c>
      <c r="H18">
        <v>32</v>
      </c>
      <c r="I18">
        <v>65</v>
      </c>
      <c r="J18">
        <v>10</v>
      </c>
      <c r="K18" s="8">
        <v>5.01</v>
      </c>
      <c r="N18">
        <v>6.3</v>
      </c>
      <c r="O18" s="8">
        <v>6.2</v>
      </c>
      <c r="R18" s="10">
        <f>LOG10(188*(10^7))</f>
        <v>9.2741578492636805</v>
      </c>
      <c r="S18" s="10" t="s">
        <v>97</v>
      </c>
      <c r="T18">
        <v>58.95</v>
      </c>
      <c r="U18">
        <v>8.7100000000000009</v>
      </c>
      <c r="V18">
        <v>45.61</v>
      </c>
      <c r="W18">
        <v>75.040000000000006</v>
      </c>
      <c r="X18">
        <v>0</v>
      </c>
      <c r="Y18">
        <v>55</v>
      </c>
      <c r="Z18">
        <v>-1</v>
      </c>
      <c r="AA18">
        <v>66.83</v>
      </c>
      <c r="AC18" t="s">
        <v>143</v>
      </c>
      <c r="AD18" t="s">
        <v>69</v>
      </c>
      <c r="AE18" t="s">
        <v>203</v>
      </c>
      <c r="AF18">
        <v>4</v>
      </c>
      <c r="AG18">
        <v>3</v>
      </c>
      <c r="AH18">
        <v>1</v>
      </c>
      <c r="AI18" t="s">
        <v>213</v>
      </c>
      <c r="AJ18">
        <v>4</v>
      </c>
      <c r="AK18">
        <v>1</v>
      </c>
    </row>
    <row r="19" spans="1:37" x14ac:dyDescent="0.3">
      <c r="B19" t="s">
        <v>124</v>
      </c>
      <c r="C19">
        <v>0</v>
      </c>
      <c r="D19">
        <v>0</v>
      </c>
      <c r="E19">
        <v>0</v>
      </c>
      <c r="F19">
        <v>150</v>
      </c>
      <c r="G19">
        <v>0</v>
      </c>
      <c r="H19">
        <v>32</v>
      </c>
      <c r="I19">
        <v>65</v>
      </c>
      <c r="J19">
        <v>10</v>
      </c>
      <c r="K19" s="8">
        <v>5.21</v>
      </c>
      <c r="N19">
        <v>5.5</v>
      </c>
      <c r="O19" s="8">
        <v>8.9</v>
      </c>
      <c r="R19" s="10">
        <f>LOG10(200*(10^7))</f>
        <v>9.3010299956639813</v>
      </c>
      <c r="S19" s="10" t="s">
        <v>97</v>
      </c>
      <c r="T19">
        <v>58.95</v>
      </c>
      <c r="U19">
        <v>8.6999999999999993</v>
      </c>
      <c r="V19">
        <v>45.58</v>
      </c>
      <c r="W19">
        <v>75.02</v>
      </c>
      <c r="X19">
        <v>0</v>
      </c>
      <c r="Y19">
        <v>55.2</v>
      </c>
      <c r="Z19">
        <v>0</v>
      </c>
      <c r="AA19">
        <v>66.83</v>
      </c>
      <c r="AC19" t="s">
        <v>143</v>
      </c>
      <c r="AD19" t="s">
        <v>69</v>
      </c>
      <c r="AE19" t="s">
        <v>203</v>
      </c>
      <c r="AF19">
        <v>5</v>
      </c>
      <c r="AG19">
        <v>3</v>
      </c>
      <c r="AH19">
        <v>1</v>
      </c>
      <c r="AI19" t="s">
        <v>213</v>
      </c>
      <c r="AJ19">
        <v>3</v>
      </c>
      <c r="AK19">
        <v>2</v>
      </c>
    </row>
    <row r="21" spans="1:37" x14ac:dyDescent="0.3">
      <c r="A21" t="s">
        <v>11</v>
      </c>
      <c r="B21" t="s">
        <v>12</v>
      </c>
      <c r="C21">
        <v>121</v>
      </c>
      <c r="D21">
        <v>20</v>
      </c>
      <c r="E21">
        <v>10</v>
      </c>
      <c r="F21">
        <v>150</v>
      </c>
      <c r="G21">
        <v>14.974697891191701</v>
      </c>
      <c r="H21">
        <v>32</v>
      </c>
      <c r="I21">
        <v>65</v>
      </c>
      <c r="J21">
        <v>0</v>
      </c>
      <c r="K21" s="8">
        <v>6.93</v>
      </c>
      <c r="N21">
        <v>4.5</v>
      </c>
      <c r="O21" s="8">
        <v>5.9</v>
      </c>
      <c r="R21" s="8">
        <v>0</v>
      </c>
      <c r="S21" t="s">
        <v>68</v>
      </c>
      <c r="T21">
        <v>51.48</v>
      </c>
      <c r="U21">
        <v>8.93</v>
      </c>
      <c r="V21">
        <v>47.36</v>
      </c>
      <c r="W21">
        <v>43.21</v>
      </c>
      <c r="X21">
        <v>13.7</v>
      </c>
      <c r="Y21">
        <v>2</v>
      </c>
      <c r="Z21">
        <v>-2</v>
      </c>
      <c r="AA21">
        <v>69.77</v>
      </c>
      <c r="AC21" t="s">
        <v>128</v>
      </c>
      <c r="AD21" t="s">
        <v>127</v>
      </c>
      <c r="AE21" t="s">
        <v>128</v>
      </c>
      <c r="AF21">
        <v>7</v>
      </c>
      <c r="AG21">
        <v>7</v>
      </c>
      <c r="AH21">
        <v>6</v>
      </c>
      <c r="AI21">
        <v>7</v>
      </c>
      <c r="AJ21">
        <v>5</v>
      </c>
      <c r="AK21">
        <v>6</v>
      </c>
    </row>
    <row r="22" spans="1:37" x14ac:dyDescent="0.3">
      <c r="B22" t="s">
        <v>12</v>
      </c>
      <c r="C22">
        <v>121</v>
      </c>
      <c r="D22">
        <v>20</v>
      </c>
      <c r="E22">
        <v>10</v>
      </c>
      <c r="F22">
        <v>150</v>
      </c>
      <c r="G22">
        <v>14.974697891191665</v>
      </c>
      <c r="H22">
        <v>32</v>
      </c>
      <c r="I22">
        <v>65</v>
      </c>
      <c r="J22">
        <v>0</v>
      </c>
      <c r="K22" s="8">
        <v>6.56</v>
      </c>
      <c r="N22">
        <v>5.6</v>
      </c>
      <c r="O22" s="8">
        <v>4.9000000000000004</v>
      </c>
      <c r="R22" s="8">
        <v>0</v>
      </c>
      <c r="S22" t="s">
        <v>68</v>
      </c>
      <c r="T22">
        <v>51.5</v>
      </c>
      <c r="U22">
        <v>8.9600000000000009</v>
      </c>
      <c r="V22">
        <v>47.17</v>
      </c>
      <c r="W22">
        <v>43.04</v>
      </c>
      <c r="X22">
        <v>13.7</v>
      </c>
      <c r="Y22">
        <v>2</v>
      </c>
      <c r="Z22">
        <v>-2</v>
      </c>
      <c r="AA22">
        <v>69.77</v>
      </c>
      <c r="AC22" t="s">
        <v>128</v>
      </c>
      <c r="AD22" t="s">
        <v>127</v>
      </c>
      <c r="AE22" t="s">
        <v>128</v>
      </c>
      <c r="AF22">
        <v>7</v>
      </c>
      <c r="AG22">
        <v>8</v>
      </c>
      <c r="AH22">
        <v>8</v>
      </c>
      <c r="AI22">
        <v>8</v>
      </c>
      <c r="AJ22">
        <v>6</v>
      </c>
      <c r="AK22">
        <v>7</v>
      </c>
    </row>
    <row r="23" spans="1:37" x14ac:dyDescent="0.3">
      <c r="B23" t="s">
        <v>12</v>
      </c>
      <c r="C23">
        <v>121</v>
      </c>
      <c r="D23">
        <v>20</v>
      </c>
      <c r="E23">
        <v>10</v>
      </c>
      <c r="F23">
        <v>150</v>
      </c>
      <c r="G23">
        <v>14.974697891191665</v>
      </c>
      <c r="H23">
        <v>32</v>
      </c>
      <c r="I23">
        <v>65</v>
      </c>
      <c r="J23">
        <v>0</v>
      </c>
      <c r="K23" s="8">
        <v>6.33</v>
      </c>
      <c r="N23">
        <v>6.51</v>
      </c>
      <c r="O23" s="8">
        <v>3.8</v>
      </c>
      <c r="R23" s="8">
        <v>0</v>
      </c>
      <c r="S23" t="s">
        <v>68</v>
      </c>
      <c r="T23">
        <v>51.47</v>
      </c>
      <c r="U23">
        <v>8.94</v>
      </c>
      <c r="V23">
        <v>47.31</v>
      </c>
      <c r="W23">
        <v>43.17</v>
      </c>
      <c r="X23">
        <v>13.7</v>
      </c>
      <c r="Y23">
        <v>2</v>
      </c>
      <c r="Z23">
        <v>-2</v>
      </c>
      <c r="AA23">
        <v>69.77</v>
      </c>
      <c r="AC23" t="s">
        <v>128</v>
      </c>
      <c r="AD23" t="s">
        <v>127</v>
      </c>
      <c r="AE23" t="s">
        <v>128</v>
      </c>
      <c r="AF23">
        <v>8</v>
      </c>
      <c r="AG23">
        <v>9</v>
      </c>
      <c r="AH23">
        <v>7</v>
      </c>
      <c r="AI23">
        <v>7</v>
      </c>
      <c r="AJ23">
        <v>8</v>
      </c>
      <c r="AK23">
        <v>8</v>
      </c>
    </row>
    <row r="24" spans="1:37" x14ac:dyDescent="0.3">
      <c r="B24" t="s">
        <v>14</v>
      </c>
      <c r="C24">
        <v>121</v>
      </c>
      <c r="D24">
        <v>20</v>
      </c>
      <c r="E24">
        <v>10</v>
      </c>
      <c r="F24">
        <v>150</v>
      </c>
      <c r="G24">
        <v>14.974697891191665</v>
      </c>
      <c r="H24">
        <v>32</v>
      </c>
      <c r="I24">
        <v>65</v>
      </c>
      <c r="J24">
        <v>0</v>
      </c>
      <c r="K24" s="8">
        <v>6.66</v>
      </c>
      <c r="N24">
        <v>3.2</v>
      </c>
      <c r="O24" s="8">
        <v>4.7</v>
      </c>
      <c r="R24" s="8">
        <v>0</v>
      </c>
      <c r="S24" t="s">
        <v>68</v>
      </c>
      <c r="T24">
        <v>53.8</v>
      </c>
      <c r="U24">
        <v>7.96</v>
      </c>
      <c r="V24">
        <v>45.07</v>
      </c>
      <c r="W24">
        <v>42.04</v>
      </c>
      <c r="X24">
        <v>13.5</v>
      </c>
      <c r="Y24">
        <v>2</v>
      </c>
      <c r="Z24">
        <v>-8</v>
      </c>
      <c r="AA24">
        <v>68.91</v>
      </c>
      <c r="AC24" t="s">
        <v>128</v>
      </c>
      <c r="AD24" t="s">
        <v>127</v>
      </c>
      <c r="AE24" t="s">
        <v>128</v>
      </c>
      <c r="AF24">
        <v>8</v>
      </c>
      <c r="AG24">
        <v>8</v>
      </c>
      <c r="AH24">
        <v>5</v>
      </c>
      <c r="AI24">
        <v>9</v>
      </c>
      <c r="AJ24">
        <v>6</v>
      </c>
      <c r="AK24">
        <v>9</v>
      </c>
    </row>
    <row r="25" spans="1:37" x14ac:dyDescent="0.3">
      <c r="B25" t="s">
        <v>14</v>
      </c>
      <c r="C25">
        <v>121</v>
      </c>
      <c r="D25">
        <v>20</v>
      </c>
      <c r="E25">
        <v>10</v>
      </c>
      <c r="F25">
        <v>150</v>
      </c>
      <c r="G25">
        <v>14.974697891191665</v>
      </c>
      <c r="H25">
        <v>32</v>
      </c>
      <c r="I25">
        <v>65</v>
      </c>
      <c r="J25">
        <v>0</v>
      </c>
      <c r="K25" s="8">
        <v>6.67</v>
      </c>
      <c r="N25">
        <v>4.5</v>
      </c>
      <c r="O25" s="8">
        <v>8.1999999999999993</v>
      </c>
      <c r="R25" s="8">
        <v>0</v>
      </c>
      <c r="S25" t="s">
        <v>68</v>
      </c>
      <c r="T25">
        <v>53.78</v>
      </c>
      <c r="U25">
        <v>7.99</v>
      </c>
      <c r="V25">
        <v>45.02</v>
      </c>
      <c r="W25">
        <v>41.99</v>
      </c>
      <c r="X25">
        <v>13.5</v>
      </c>
      <c r="Y25">
        <v>2</v>
      </c>
      <c r="Z25">
        <v>-8</v>
      </c>
      <c r="AA25">
        <v>68.91</v>
      </c>
      <c r="AC25" t="s">
        <v>128</v>
      </c>
      <c r="AD25" t="s">
        <v>127</v>
      </c>
      <c r="AE25" t="s">
        <v>128</v>
      </c>
      <c r="AF25">
        <v>9</v>
      </c>
      <c r="AG25">
        <v>9</v>
      </c>
      <c r="AH25">
        <v>6</v>
      </c>
      <c r="AI25">
        <v>8</v>
      </c>
      <c r="AJ25">
        <v>5</v>
      </c>
      <c r="AK25">
        <v>7</v>
      </c>
    </row>
    <row r="26" spans="1:37" x14ac:dyDescent="0.3">
      <c r="B26" t="s">
        <v>14</v>
      </c>
      <c r="C26">
        <v>121</v>
      </c>
      <c r="D26">
        <v>20</v>
      </c>
      <c r="E26">
        <v>10</v>
      </c>
      <c r="F26">
        <v>150</v>
      </c>
      <c r="G26">
        <v>14.974697891191665</v>
      </c>
      <c r="H26">
        <v>32</v>
      </c>
      <c r="I26">
        <v>65</v>
      </c>
      <c r="J26">
        <v>0</v>
      </c>
      <c r="K26" s="8">
        <v>6.75</v>
      </c>
      <c r="N26">
        <v>1.1000000000000001</v>
      </c>
      <c r="O26" s="8">
        <v>4.3</v>
      </c>
      <c r="R26" s="8">
        <v>0</v>
      </c>
      <c r="S26" t="s">
        <v>68</v>
      </c>
      <c r="T26">
        <v>53.77</v>
      </c>
      <c r="U26">
        <v>7.98</v>
      </c>
      <c r="V26">
        <v>45.02</v>
      </c>
      <c r="W26">
        <v>41.99</v>
      </c>
      <c r="X26">
        <v>13.5</v>
      </c>
      <c r="Y26">
        <v>2</v>
      </c>
      <c r="Z26">
        <v>-8</v>
      </c>
      <c r="AA26">
        <v>68.91</v>
      </c>
      <c r="AC26" t="s">
        <v>128</v>
      </c>
      <c r="AD26" t="s">
        <v>127</v>
      </c>
      <c r="AE26" t="s">
        <v>128</v>
      </c>
      <c r="AF26">
        <v>7</v>
      </c>
      <c r="AG26">
        <v>8</v>
      </c>
      <c r="AH26">
        <v>6</v>
      </c>
      <c r="AI26">
        <v>9</v>
      </c>
      <c r="AJ26">
        <v>7</v>
      </c>
      <c r="AK26">
        <v>8</v>
      </c>
    </row>
    <row r="27" spans="1:37" x14ac:dyDescent="0.3">
      <c r="B27" t="s">
        <v>15</v>
      </c>
      <c r="C27">
        <v>121</v>
      </c>
      <c r="D27">
        <v>20</v>
      </c>
      <c r="E27">
        <v>10</v>
      </c>
      <c r="F27">
        <v>150</v>
      </c>
      <c r="G27">
        <v>14.974697891191665</v>
      </c>
      <c r="H27">
        <v>32</v>
      </c>
      <c r="I27">
        <v>65</v>
      </c>
      <c r="J27">
        <v>0</v>
      </c>
      <c r="K27" s="8">
        <v>6.3</v>
      </c>
      <c r="N27">
        <v>1.36</v>
      </c>
      <c r="O27" s="8">
        <v>3.2</v>
      </c>
      <c r="R27" s="8">
        <v>0</v>
      </c>
      <c r="S27" t="s">
        <v>68</v>
      </c>
      <c r="T27">
        <v>51.47</v>
      </c>
      <c r="U27">
        <v>8.94</v>
      </c>
      <c r="V27">
        <v>47.31</v>
      </c>
      <c r="W27">
        <v>43.17</v>
      </c>
      <c r="X27">
        <v>16.399999999999999</v>
      </c>
      <c r="Y27">
        <v>0.9</v>
      </c>
      <c r="Z27">
        <v>-1</v>
      </c>
      <c r="AA27">
        <v>67.400000000000006</v>
      </c>
      <c r="AC27" t="s">
        <v>128</v>
      </c>
      <c r="AD27" t="s">
        <v>127</v>
      </c>
      <c r="AE27" t="s">
        <v>128</v>
      </c>
      <c r="AF27">
        <v>8</v>
      </c>
      <c r="AG27">
        <v>9</v>
      </c>
      <c r="AH27">
        <v>8</v>
      </c>
      <c r="AI27">
        <v>7</v>
      </c>
      <c r="AJ27">
        <v>6</v>
      </c>
      <c r="AK27">
        <v>9</v>
      </c>
    </row>
    <row r="28" spans="1:37" x14ac:dyDescent="0.3">
      <c r="B28" t="s">
        <v>15</v>
      </c>
      <c r="C28">
        <v>121</v>
      </c>
      <c r="D28">
        <v>20</v>
      </c>
      <c r="E28">
        <v>10</v>
      </c>
      <c r="F28">
        <v>150</v>
      </c>
      <c r="G28">
        <v>14.974697891191665</v>
      </c>
      <c r="H28">
        <v>32</v>
      </c>
      <c r="I28">
        <v>65</v>
      </c>
      <c r="J28">
        <v>0</v>
      </c>
      <c r="K28" s="8">
        <v>6.56</v>
      </c>
      <c r="N28">
        <v>1.45</v>
      </c>
      <c r="O28" s="8">
        <v>5.6</v>
      </c>
      <c r="R28" s="8">
        <v>0</v>
      </c>
      <c r="S28" t="s">
        <v>68</v>
      </c>
      <c r="T28">
        <v>51.5</v>
      </c>
      <c r="U28">
        <v>8.9600000000000009</v>
      </c>
      <c r="V28">
        <v>47.17</v>
      </c>
      <c r="W28">
        <v>43.04</v>
      </c>
      <c r="X28">
        <v>16.399999999999999</v>
      </c>
      <c r="Y28">
        <v>0.9</v>
      </c>
      <c r="Z28">
        <v>-1</v>
      </c>
      <c r="AA28">
        <v>67.400000000000006</v>
      </c>
      <c r="AC28" t="s">
        <v>128</v>
      </c>
      <c r="AD28" t="s">
        <v>127</v>
      </c>
      <c r="AE28" t="s">
        <v>128</v>
      </c>
      <c r="AF28">
        <v>9</v>
      </c>
      <c r="AG28">
        <v>8</v>
      </c>
      <c r="AH28">
        <v>6</v>
      </c>
      <c r="AI28">
        <v>8</v>
      </c>
      <c r="AJ28">
        <v>8</v>
      </c>
      <c r="AK28">
        <v>7</v>
      </c>
    </row>
    <row r="29" spans="1:37" x14ac:dyDescent="0.3">
      <c r="B29" t="s">
        <v>15</v>
      </c>
      <c r="C29">
        <v>121</v>
      </c>
      <c r="D29">
        <v>20</v>
      </c>
      <c r="E29">
        <v>10</v>
      </c>
      <c r="F29">
        <v>150</v>
      </c>
      <c r="G29">
        <v>14.974697891191665</v>
      </c>
      <c r="H29">
        <v>32</v>
      </c>
      <c r="I29">
        <v>65</v>
      </c>
      <c r="J29">
        <v>0</v>
      </c>
      <c r="K29" s="8">
        <v>6.75</v>
      </c>
      <c r="N29">
        <v>2.56</v>
      </c>
      <c r="O29" s="8">
        <v>0.2</v>
      </c>
      <c r="R29" s="8">
        <v>0</v>
      </c>
      <c r="S29" t="s">
        <v>68</v>
      </c>
      <c r="T29">
        <v>53.58</v>
      </c>
      <c r="U29">
        <v>7.95</v>
      </c>
      <c r="V29">
        <v>45.02</v>
      </c>
      <c r="W29">
        <v>41.99</v>
      </c>
      <c r="X29">
        <v>16.399999999999999</v>
      </c>
      <c r="Y29">
        <v>0.9</v>
      </c>
      <c r="Z29">
        <v>-1</v>
      </c>
      <c r="AA29">
        <v>67.400000000000006</v>
      </c>
      <c r="AC29" t="s">
        <v>128</v>
      </c>
      <c r="AD29" t="s">
        <v>127</v>
      </c>
      <c r="AE29" t="s">
        <v>128</v>
      </c>
      <c r="AF29">
        <v>8</v>
      </c>
      <c r="AG29">
        <v>7</v>
      </c>
      <c r="AH29">
        <v>7</v>
      </c>
      <c r="AI29">
        <v>9</v>
      </c>
      <c r="AJ29">
        <v>6</v>
      </c>
      <c r="AK29">
        <v>9</v>
      </c>
    </row>
    <row r="30" spans="1:37" x14ac:dyDescent="0.3">
      <c r="B30" t="s">
        <v>16</v>
      </c>
      <c r="C30">
        <v>0</v>
      </c>
      <c r="D30">
        <v>0</v>
      </c>
      <c r="E30">
        <v>0</v>
      </c>
      <c r="F30">
        <v>150</v>
      </c>
      <c r="G30">
        <v>0</v>
      </c>
      <c r="H30">
        <v>32</v>
      </c>
      <c r="I30">
        <v>65</v>
      </c>
      <c r="J30">
        <v>0</v>
      </c>
      <c r="K30" s="8">
        <v>6.76</v>
      </c>
      <c r="N30">
        <v>7.65</v>
      </c>
      <c r="O30" s="8">
        <v>1.1000000000000001</v>
      </c>
      <c r="R30" s="8">
        <f>LOG10(43*(10^2))</f>
        <v>3.6334684555795866</v>
      </c>
      <c r="S30" t="s">
        <v>127</v>
      </c>
      <c r="T30">
        <v>52.85</v>
      </c>
      <c r="U30">
        <v>9.36</v>
      </c>
      <c r="V30">
        <v>54.15</v>
      </c>
      <c r="W30">
        <v>50.06</v>
      </c>
      <c r="X30">
        <v>19.2</v>
      </c>
      <c r="Y30">
        <v>0.1</v>
      </c>
      <c r="Z30">
        <v>-9</v>
      </c>
      <c r="AA30">
        <v>67.400000000000006</v>
      </c>
      <c r="AC30" t="s">
        <v>128</v>
      </c>
      <c r="AD30" t="s">
        <v>125</v>
      </c>
      <c r="AE30" t="s">
        <v>127</v>
      </c>
      <c r="AF30">
        <v>8</v>
      </c>
      <c r="AG30">
        <v>8</v>
      </c>
      <c r="AH30">
        <v>6</v>
      </c>
      <c r="AI30">
        <v>8</v>
      </c>
      <c r="AJ30">
        <v>9</v>
      </c>
      <c r="AK30">
        <v>9</v>
      </c>
    </row>
    <row r="31" spans="1:37" x14ac:dyDescent="0.3">
      <c r="B31" t="s">
        <v>16</v>
      </c>
      <c r="C31">
        <v>0</v>
      </c>
      <c r="D31">
        <v>0</v>
      </c>
      <c r="E31">
        <v>0</v>
      </c>
      <c r="F31">
        <v>150</v>
      </c>
      <c r="G31">
        <v>0</v>
      </c>
      <c r="H31">
        <v>32</v>
      </c>
      <c r="I31">
        <v>65</v>
      </c>
      <c r="J31">
        <v>0</v>
      </c>
      <c r="K31" s="8">
        <v>6.53</v>
      </c>
      <c r="N31">
        <v>6.59</v>
      </c>
      <c r="O31" s="8">
        <v>4.3</v>
      </c>
      <c r="R31" s="8">
        <f>LOG10(33*(10^1))</f>
        <v>2.5185139398778875</v>
      </c>
      <c r="S31" t="s">
        <v>127</v>
      </c>
      <c r="T31">
        <v>52.86</v>
      </c>
      <c r="U31">
        <v>9.36</v>
      </c>
      <c r="V31">
        <v>54.1</v>
      </c>
      <c r="W31">
        <v>50.01</v>
      </c>
      <c r="X31">
        <v>19.2</v>
      </c>
      <c r="Y31">
        <v>0.1</v>
      </c>
      <c r="Z31">
        <v>-9</v>
      </c>
      <c r="AA31">
        <v>67.400000000000006</v>
      </c>
      <c r="AC31" t="s">
        <v>128</v>
      </c>
      <c r="AD31" t="s">
        <v>125</v>
      </c>
      <c r="AE31" t="s">
        <v>127</v>
      </c>
      <c r="AF31">
        <v>6</v>
      </c>
      <c r="AG31">
        <v>7</v>
      </c>
      <c r="AH31">
        <v>9</v>
      </c>
      <c r="AI31">
        <v>9</v>
      </c>
      <c r="AJ31">
        <v>6</v>
      </c>
      <c r="AK31">
        <v>7</v>
      </c>
    </row>
    <row r="32" spans="1:37" x14ac:dyDescent="0.3">
      <c r="B32" t="s">
        <v>16</v>
      </c>
      <c r="C32">
        <v>0</v>
      </c>
      <c r="D32">
        <v>0</v>
      </c>
      <c r="E32">
        <v>0</v>
      </c>
      <c r="F32">
        <v>150</v>
      </c>
      <c r="G32">
        <v>0</v>
      </c>
      <c r="H32">
        <v>32</v>
      </c>
      <c r="I32">
        <v>65</v>
      </c>
      <c r="J32">
        <v>0</v>
      </c>
      <c r="K32" s="8">
        <v>6.34</v>
      </c>
      <c r="N32">
        <v>5.89</v>
      </c>
      <c r="O32" s="8">
        <v>3.3</v>
      </c>
      <c r="R32" s="8">
        <f>LOG10(41*(10^2))</f>
        <v>3.6127838567197355</v>
      </c>
      <c r="S32" t="s">
        <v>127</v>
      </c>
      <c r="T32">
        <v>52.86</v>
      </c>
      <c r="U32">
        <v>9.3699999999999992</v>
      </c>
      <c r="V32">
        <v>54.15</v>
      </c>
      <c r="W32">
        <v>50.05</v>
      </c>
      <c r="X32">
        <v>19.2</v>
      </c>
      <c r="Y32">
        <v>0.1</v>
      </c>
      <c r="Z32">
        <v>-9</v>
      </c>
      <c r="AA32">
        <v>67.400000000000006</v>
      </c>
      <c r="AC32" t="s">
        <v>128</v>
      </c>
      <c r="AD32" t="s">
        <v>125</v>
      </c>
      <c r="AE32" t="s">
        <v>127</v>
      </c>
      <c r="AF32">
        <v>8</v>
      </c>
      <c r="AG32">
        <v>8</v>
      </c>
      <c r="AH32">
        <v>8</v>
      </c>
      <c r="AI32">
        <v>8</v>
      </c>
      <c r="AJ32">
        <v>9</v>
      </c>
      <c r="AK32">
        <v>8</v>
      </c>
    </row>
    <row r="33" spans="1:37" x14ac:dyDescent="0.3">
      <c r="B33" t="s">
        <v>48</v>
      </c>
      <c r="C33">
        <v>121</v>
      </c>
      <c r="D33">
        <v>20</v>
      </c>
      <c r="E33">
        <v>10</v>
      </c>
      <c r="F33">
        <v>150</v>
      </c>
      <c r="G33">
        <v>14.974697891191665</v>
      </c>
      <c r="H33">
        <v>32</v>
      </c>
      <c r="I33">
        <v>65</v>
      </c>
      <c r="J33">
        <v>10</v>
      </c>
      <c r="K33" s="8">
        <v>6.5022727272727296</v>
      </c>
      <c r="N33">
        <v>3.62</v>
      </c>
      <c r="O33" s="8">
        <v>8.8000000000000007</v>
      </c>
      <c r="R33" s="8">
        <v>0</v>
      </c>
      <c r="S33" t="s">
        <v>68</v>
      </c>
      <c r="T33">
        <v>49.88</v>
      </c>
      <c r="U33">
        <v>8.7899999999999991</v>
      </c>
      <c r="V33">
        <v>43.23</v>
      </c>
      <c r="W33">
        <v>66.59</v>
      </c>
      <c r="X33">
        <v>2.0499999999999998</v>
      </c>
      <c r="Y33">
        <v>4.4000000000000004</v>
      </c>
      <c r="Z33">
        <v>-12</v>
      </c>
      <c r="AA33">
        <v>54.88</v>
      </c>
      <c r="AC33" t="s">
        <v>128</v>
      </c>
      <c r="AD33" t="s">
        <v>127</v>
      </c>
      <c r="AE33" t="s">
        <v>128</v>
      </c>
      <c r="AF33">
        <v>9</v>
      </c>
      <c r="AG33">
        <v>9</v>
      </c>
      <c r="AH33">
        <v>6</v>
      </c>
      <c r="AI33">
        <v>9</v>
      </c>
      <c r="AJ33">
        <v>8</v>
      </c>
      <c r="AK33">
        <v>7</v>
      </c>
    </row>
    <row r="34" spans="1:37" x14ac:dyDescent="0.3">
      <c r="B34" t="s">
        <v>48</v>
      </c>
      <c r="C34">
        <v>121</v>
      </c>
      <c r="D34">
        <v>20</v>
      </c>
      <c r="E34">
        <v>10</v>
      </c>
      <c r="F34">
        <v>150</v>
      </c>
      <c r="G34">
        <v>14.974697891191665</v>
      </c>
      <c r="H34">
        <v>32</v>
      </c>
      <c r="I34">
        <v>65</v>
      </c>
      <c r="J34">
        <v>10</v>
      </c>
      <c r="K34" s="8">
        <v>6.4880069930069899</v>
      </c>
      <c r="N34">
        <v>2.7890000000000001</v>
      </c>
      <c r="O34" s="8">
        <v>9.3000000000000007</v>
      </c>
      <c r="R34" s="8">
        <v>0</v>
      </c>
      <c r="S34" t="s">
        <v>68</v>
      </c>
      <c r="T34">
        <v>49.76</v>
      </c>
      <c r="U34">
        <v>8.83</v>
      </c>
      <c r="V34">
        <v>43.15</v>
      </c>
      <c r="W34">
        <v>66.45</v>
      </c>
      <c r="X34">
        <v>2.11</v>
      </c>
      <c r="Y34">
        <v>4.4000000000000004</v>
      </c>
      <c r="Z34">
        <v>-16</v>
      </c>
      <c r="AA34">
        <v>54.88</v>
      </c>
      <c r="AC34" t="s">
        <v>128</v>
      </c>
      <c r="AD34" t="s">
        <v>127</v>
      </c>
      <c r="AE34" t="s">
        <v>128</v>
      </c>
      <c r="AF34">
        <v>8</v>
      </c>
      <c r="AG34">
        <v>7</v>
      </c>
      <c r="AH34">
        <v>8</v>
      </c>
      <c r="AI34">
        <v>8</v>
      </c>
      <c r="AJ34">
        <v>6</v>
      </c>
      <c r="AK34">
        <v>8</v>
      </c>
    </row>
    <row r="35" spans="1:37" x14ac:dyDescent="0.3">
      <c r="B35" t="s">
        <v>48</v>
      </c>
      <c r="C35">
        <v>121</v>
      </c>
      <c r="D35">
        <v>20</v>
      </c>
      <c r="E35">
        <v>10</v>
      </c>
      <c r="F35">
        <v>150</v>
      </c>
      <c r="G35">
        <v>14.974697891191665</v>
      </c>
      <c r="H35">
        <v>32</v>
      </c>
      <c r="I35">
        <v>65</v>
      </c>
      <c r="J35">
        <v>10</v>
      </c>
      <c r="K35" s="8">
        <v>6.4737412587412599</v>
      </c>
      <c r="N35">
        <v>1.25</v>
      </c>
      <c r="O35" s="8">
        <v>7.9</v>
      </c>
      <c r="R35" s="8">
        <v>0</v>
      </c>
      <c r="S35" t="s">
        <v>68</v>
      </c>
      <c r="T35">
        <v>49.77</v>
      </c>
      <c r="U35">
        <v>8.81</v>
      </c>
      <c r="V35">
        <v>43.16</v>
      </c>
      <c r="W35">
        <v>66.459999999999994</v>
      </c>
      <c r="X35">
        <v>2.15</v>
      </c>
      <c r="Y35">
        <v>4.5</v>
      </c>
      <c r="Z35">
        <v>-20</v>
      </c>
      <c r="AA35">
        <v>54.88</v>
      </c>
      <c r="AC35" t="s">
        <v>128</v>
      </c>
      <c r="AD35" t="s">
        <v>127</v>
      </c>
      <c r="AE35" t="s">
        <v>128</v>
      </c>
      <c r="AF35">
        <v>6</v>
      </c>
      <c r="AG35">
        <v>8</v>
      </c>
      <c r="AH35">
        <v>6</v>
      </c>
      <c r="AI35">
        <v>9</v>
      </c>
      <c r="AJ35">
        <v>8</v>
      </c>
      <c r="AK35">
        <v>7</v>
      </c>
    </row>
    <row r="36" spans="1:37" x14ac:dyDescent="0.3">
      <c r="B36" t="s">
        <v>49</v>
      </c>
      <c r="C36">
        <v>0</v>
      </c>
      <c r="D36">
        <v>0</v>
      </c>
      <c r="E36">
        <v>0</v>
      </c>
      <c r="F36">
        <v>150</v>
      </c>
      <c r="G36">
        <v>0</v>
      </c>
      <c r="H36">
        <v>32</v>
      </c>
      <c r="I36">
        <v>65</v>
      </c>
      <c r="J36">
        <v>10</v>
      </c>
      <c r="K36" s="8">
        <v>5.18</v>
      </c>
      <c r="N36">
        <v>5.13</v>
      </c>
      <c r="O36" s="8">
        <v>11.9</v>
      </c>
      <c r="R36" s="10">
        <f>LOG10(243*(10^7))</f>
        <v>9.385606273598313</v>
      </c>
      <c r="S36" s="10" t="s">
        <v>97</v>
      </c>
      <c r="T36">
        <v>58.97</v>
      </c>
      <c r="U36">
        <v>8.6999999999999993</v>
      </c>
      <c r="V36">
        <v>45.62</v>
      </c>
      <c r="W36">
        <v>75.06</v>
      </c>
      <c r="X36">
        <v>0</v>
      </c>
      <c r="Y36">
        <v>54.3</v>
      </c>
      <c r="Z36">
        <v>0</v>
      </c>
      <c r="AA36">
        <v>66.83</v>
      </c>
      <c r="AC36" t="s">
        <v>143</v>
      </c>
      <c r="AD36" t="s">
        <v>69</v>
      </c>
      <c r="AE36" t="s">
        <v>203</v>
      </c>
      <c r="AF36">
        <v>3</v>
      </c>
      <c r="AG36">
        <v>2</v>
      </c>
      <c r="AH36">
        <v>1</v>
      </c>
      <c r="AI36" t="s">
        <v>213</v>
      </c>
      <c r="AJ36">
        <v>3</v>
      </c>
      <c r="AK36">
        <v>2</v>
      </c>
    </row>
    <row r="37" spans="1:37" x14ac:dyDescent="0.3">
      <c r="B37" t="s">
        <v>49</v>
      </c>
      <c r="C37">
        <v>0</v>
      </c>
      <c r="D37">
        <v>0</v>
      </c>
      <c r="E37">
        <v>0</v>
      </c>
      <c r="F37">
        <v>150</v>
      </c>
      <c r="G37">
        <v>0</v>
      </c>
      <c r="H37">
        <v>32</v>
      </c>
      <c r="I37">
        <v>65</v>
      </c>
      <c r="J37">
        <v>10</v>
      </c>
      <c r="K37" s="8">
        <v>5.42</v>
      </c>
      <c r="N37">
        <v>4.5599999999999996</v>
      </c>
      <c r="O37" s="8">
        <v>10.6</v>
      </c>
      <c r="R37" s="10">
        <f>LOG10(230*(10^7))</f>
        <v>9.3617278360175931</v>
      </c>
      <c r="S37" s="10" t="s">
        <v>97</v>
      </c>
      <c r="T37">
        <v>58.95</v>
      </c>
      <c r="U37">
        <v>8.7100000000000009</v>
      </c>
      <c r="V37">
        <v>45.61</v>
      </c>
      <c r="W37">
        <v>75.040000000000006</v>
      </c>
      <c r="X37">
        <v>0</v>
      </c>
      <c r="Y37">
        <v>55</v>
      </c>
      <c r="Z37">
        <v>-1</v>
      </c>
      <c r="AA37">
        <v>66.83</v>
      </c>
      <c r="AC37" t="s">
        <v>143</v>
      </c>
      <c r="AD37" t="s">
        <v>69</v>
      </c>
      <c r="AE37" t="s">
        <v>203</v>
      </c>
      <c r="AF37">
        <v>4</v>
      </c>
      <c r="AG37">
        <v>3</v>
      </c>
      <c r="AH37">
        <v>2</v>
      </c>
      <c r="AI37" t="s">
        <v>213</v>
      </c>
      <c r="AJ37">
        <v>4</v>
      </c>
      <c r="AK37">
        <v>3</v>
      </c>
    </row>
    <row r="38" spans="1:37" x14ac:dyDescent="0.3">
      <c r="B38" t="s">
        <v>49</v>
      </c>
      <c r="C38">
        <v>0</v>
      </c>
      <c r="D38">
        <v>0</v>
      </c>
      <c r="E38">
        <v>0</v>
      </c>
      <c r="F38">
        <v>150</v>
      </c>
      <c r="G38">
        <v>0</v>
      </c>
      <c r="H38">
        <v>32</v>
      </c>
      <c r="I38">
        <v>65</v>
      </c>
      <c r="J38">
        <v>10</v>
      </c>
      <c r="K38" s="8">
        <v>4.8</v>
      </c>
      <c r="N38">
        <v>3.52</v>
      </c>
      <c r="O38" s="8">
        <v>16.8</v>
      </c>
      <c r="R38" s="10">
        <f>LOG10(233*(10^7))</f>
        <v>9.3673559210260198</v>
      </c>
      <c r="S38" s="10" t="s">
        <v>97</v>
      </c>
      <c r="T38">
        <v>58.95</v>
      </c>
      <c r="U38">
        <v>8.6999999999999993</v>
      </c>
      <c r="V38">
        <v>45.58</v>
      </c>
      <c r="W38">
        <v>75.02</v>
      </c>
      <c r="X38">
        <v>0</v>
      </c>
      <c r="Y38">
        <v>55.2</v>
      </c>
      <c r="Z38">
        <v>0</v>
      </c>
      <c r="AA38">
        <v>66.83</v>
      </c>
      <c r="AC38" t="s">
        <v>143</v>
      </c>
      <c r="AD38" t="s">
        <v>69</v>
      </c>
      <c r="AE38" t="s">
        <v>203</v>
      </c>
      <c r="AF38">
        <v>3</v>
      </c>
      <c r="AG38">
        <v>2</v>
      </c>
      <c r="AH38">
        <v>3</v>
      </c>
      <c r="AI38" t="s">
        <v>213</v>
      </c>
      <c r="AJ38">
        <v>3</v>
      </c>
      <c r="AK38">
        <v>1</v>
      </c>
    </row>
    <row r="39" spans="1:37" x14ac:dyDescent="0.3">
      <c r="AK39">
        <v>6</v>
      </c>
    </row>
    <row r="40" spans="1:37" x14ac:dyDescent="0.3">
      <c r="A40" t="s">
        <v>17</v>
      </c>
      <c r="B40" t="s">
        <v>18</v>
      </c>
      <c r="C40">
        <v>121</v>
      </c>
      <c r="D40">
        <v>20</v>
      </c>
      <c r="E40">
        <v>30</v>
      </c>
      <c r="F40">
        <v>150</v>
      </c>
      <c r="G40">
        <v>33.685812267768902</v>
      </c>
      <c r="H40">
        <v>32</v>
      </c>
      <c r="I40">
        <v>65</v>
      </c>
      <c r="J40">
        <v>0</v>
      </c>
      <c r="K40" s="8">
        <v>6.61</v>
      </c>
      <c r="N40">
        <v>4.5599999999999996</v>
      </c>
      <c r="O40" s="8">
        <v>8.1999999999999993</v>
      </c>
      <c r="R40" s="8">
        <v>0</v>
      </c>
      <c r="S40" t="s">
        <v>68</v>
      </c>
      <c r="T40">
        <v>48.72</v>
      </c>
      <c r="U40">
        <v>7.28</v>
      </c>
      <c r="V40">
        <v>34.76</v>
      </c>
      <c r="W40">
        <v>60.29</v>
      </c>
      <c r="X40">
        <v>9.39</v>
      </c>
      <c r="Y40">
        <v>3.7</v>
      </c>
      <c r="Z40">
        <v>-2</v>
      </c>
      <c r="AA40">
        <v>70.150000000000006</v>
      </c>
      <c r="AC40" t="s">
        <v>128</v>
      </c>
      <c r="AD40" t="s">
        <v>127</v>
      </c>
      <c r="AE40" t="s">
        <v>128</v>
      </c>
      <c r="AF40">
        <v>7</v>
      </c>
      <c r="AG40">
        <v>7</v>
      </c>
      <c r="AH40">
        <v>7</v>
      </c>
      <c r="AI40">
        <v>8</v>
      </c>
      <c r="AJ40">
        <v>5</v>
      </c>
      <c r="AK40">
        <v>5</v>
      </c>
    </row>
    <row r="41" spans="1:37" x14ac:dyDescent="0.3">
      <c r="B41" t="s">
        <v>18</v>
      </c>
      <c r="C41">
        <v>121</v>
      </c>
      <c r="D41">
        <v>20</v>
      </c>
      <c r="E41">
        <v>30</v>
      </c>
      <c r="F41">
        <v>150</v>
      </c>
      <c r="G41">
        <v>33.685812267768938</v>
      </c>
      <c r="H41">
        <v>32</v>
      </c>
      <c r="I41">
        <v>65</v>
      </c>
      <c r="J41">
        <v>0</v>
      </c>
      <c r="K41" s="8">
        <v>6.63</v>
      </c>
      <c r="N41">
        <v>3.45</v>
      </c>
      <c r="O41" s="8">
        <v>9.3000000000000007</v>
      </c>
      <c r="R41" s="8">
        <v>0</v>
      </c>
      <c r="S41" t="s">
        <v>68</v>
      </c>
      <c r="T41">
        <v>48.67</v>
      </c>
      <c r="U41">
        <v>7.3</v>
      </c>
      <c r="V41">
        <v>34.770000000000003</v>
      </c>
      <c r="W41">
        <v>60.26</v>
      </c>
      <c r="X41">
        <v>9.39</v>
      </c>
      <c r="Y41">
        <v>3.7</v>
      </c>
      <c r="Z41">
        <v>-2</v>
      </c>
      <c r="AA41">
        <v>70.150000000000006</v>
      </c>
      <c r="AC41" t="s">
        <v>128</v>
      </c>
      <c r="AD41" t="s">
        <v>127</v>
      </c>
      <c r="AE41" t="s">
        <v>128</v>
      </c>
      <c r="AF41">
        <v>8</v>
      </c>
      <c r="AG41">
        <v>8</v>
      </c>
      <c r="AH41">
        <v>5</v>
      </c>
      <c r="AI41">
        <v>7</v>
      </c>
      <c r="AJ41">
        <v>6</v>
      </c>
      <c r="AK41">
        <v>6</v>
      </c>
    </row>
    <row r="42" spans="1:37" x14ac:dyDescent="0.3">
      <c r="B42" t="s">
        <v>18</v>
      </c>
      <c r="C42">
        <v>121</v>
      </c>
      <c r="D42">
        <v>20</v>
      </c>
      <c r="E42">
        <v>30</v>
      </c>
      <c r="F42">
        <v>150</v>
      </c>
      <c r="G42">
        <v>33.685812267768938</v>
      </c>
      <c r="H42">
        <v>32</v>
      </c>
      <c r="I42">
        <v>65</v>
      </c>
      <c r="J42">
        <v>0</v>
      </c>
      <c r="K42" s="8">
        <v>6.64</v>
      </c>
      <c r="N42">
        <v>4.5599999999999996</v>
      </c>
      <c r="O42" s="8">
        <v>8.27</v>
      </c>
      <c r="R42" s="8">
        <v>0</v>
      </c>
      <c r="S42" t="s">
        <v>68</v>
      </c>
      <c r="T42">
        <v>48.67</v>
      </c>
      <c r="U42">
        <v>7.29</v>
      </c>
      <c r="V42">
        <v>34.840000000000003</v>
      </c>
      <c r="W42">
        <v>60.29</v>
      </c>
      <c r="X42">
        <v>9.39</v>
      </c>
      <c r="Y42">
        <v>3.7</v>
      </c>
      <c r="Z42">
        <v>-2</v>
      </c>
      <c r="AA42">
        <v>70.150000000000006</v>
      </c>
      <c r="AC42" t="s">
        <v>128</v>
      </c>
      <c r="AD42" t="s">
        <v>127</v>
      </c>
      <c r="AE42" t="s">
        <v>128</v>
      </c>
      <c r="AF42">
        <v>8</v>
      </c>
      <c r="AG42">
        <v>7</v>
      </c>
      <c r="AH42">
        <v>6</v>
      </c>
      <c r="AI42">
        <v>7</v>
      </c>
      <c r="AJ42">
        <v>7</v>
      </c>
      <c r="AK42">
        <v>7</v>
      </c>
    </row>
    <row r="43" spans="1:37" x14ac:dyDescent="0.3">
      <c r="B43" t="s">
        <v>19</v>
      </c>
      <c r="C43">
        <v>121</v>
      </c>
      <c r="D43">
        <v>20</v>
      </c>
      <c r="E43">
        <v>30</v>
      </c>
      <c r="F43">
        <v>150</v>
      </c>
      <c r="G43">
        <v>33.685812267768938</v>
      </c>
      <c r="H43">
        <v>32</v>
      </c>
      <c r="I43">
        <v>65</v>
      </c>
      <c r="J43">
        <v>0</v>
      </c>
      <c r="K43" s="8">
        <v>6.89</v>
      </c>
      <c r="N43">
        <v>5.1559999999999997</v>
      </c>
      <c r="O43" s="8">
        <v>7.9</v>
      </c>
      <c r="R43" s="8">
        <v>0</v>
      </c>
      <c r="S43" t="s">
        <v>68</v>
      </c>
      <c r="T43">
        <v>50.47</v>
      </c>
      <c r="U43">
        <v>7.84</v>
      </c>
      <c r="V43">
        <v>38.79</v>
      </c>
      <c r="W43">
        <v>34.950000000000003</v>
      </c>
      <c r="X43">
        <v>4.93</v>
      </c>
      <c r="Y43">
        <v>4</v>
      </c>
      <c r="Z43">
        <v>-1</v>
      </c>
      <c r="AA43">
        <v>69.22</v>
      </c>
      <c r="AC43" t="s">
        <v>128</v>
      </c>
      <c r="AD43" t="s">
        <v>127</v>
      </c>
      <c r="AE43" t="s">
        <v>128</v>
      </c>
      <c r="AF43">
        <v>7</v>
      </c>
      <c r="AG43">
        <v>8</v>
      </c>
      <c r="AH43">
        <v>8</v>
      </c>
      <c r="AI43">
        <v>7</v>
      </c>
      <c r="AJ43">
        <v>6</v>
      </c>
      <c r="AK43">
        <v>6</v>
      </c>
    </row>
    <row r="44" spans="1:37" x14ac:dyDescent="0.3">
      <c r="B44" t="s">
        <v>19</v>
      </c>
      <c r="C44">
        <v>121</v>
      </c>
      <c r="D44">
        <v>20</v>
      </c>
      <c r="E44">
        <v>30</v>
      </c>
      <c r="F44">
        <v>150</v>
      </c>
      <c r="G44">
        <v>33.685812267768938</v>
      </c>
      <c r="H44">
        <v>32</v>
      </c>
      <c r="I44">
        <v>65</v>
      </c>
      <c r="J44">
        <v>0</v>
      </c>
      <c r="K44" s="8">
        <v>6.95</v>
      </c>
      <c r="N44">
        <v>1.52</v>
      </c>
      <c r="O44" s="8">
        <v>7.89</v>
      </c>
      <c r="R44" s="8">
        <v>0</v>
      </c>
      <c r="S44" t="s">
        <v>68</v>
      </c>
      <c r="T44">
        <v>50.46</v>
      </c>
      <c r="U44">
        <v>7.83</v>
      </c>
      <c r="V44">
        <v>38.78</v>
      </c>
      <c r="W44">
        <v>34.92</v>
      </c>
      <c r="X44">
        <v>4.93</v>
      </c>
      <c r="Y44">
        <v>4</v>
      </c>
      <c r="Z44">
        <v>-1</v>
      </c>
      <c r="AA44">
        <v>69.22</v>
      </c>
      <c r="AC44" t="s">
        <v>128</v>
      </c>
      <c r="AD44" t="s">
        <v>127</v>
      </c>
      <c r="AE44" t="s">
        <v>128</v>
      </c>
      <c r="AF44">
        <v>6</v>
      </c>
      <c r="AG44">
        <v>7</v>
      </c>
      <c r="AH44">
        <v>6</v>
      </c>
      <c r="AI44">
        <v>5</v>
      </c>
      <c r="AJ44">
        <v>5</v>
      </c>
      <c r="AK44">
        <v>5</v>
      </c>
    </row>
    <row r="45" spans="1:37" x14ac:dyDescent="0.3">
      <c r="B45" t="s">
        <v>19</v>
      </c>
      <c r="C45">
        <v>121</v>
      </c>
      <c r="D45">
        <v>20</v>
      </c>
      <c r="E45">
        <v>30</v>
      </c>
      <c r="F45">
        <v>150</v>
      </c>
      <c r="G45">
        <v>33.685812267768938</v>
      </c>
      <c r="H45">
        <v>32</v>
      </c>
      <c r="I45">
        <v>65</v>
      </c>
      <c r="J45">
        <v>0</v>
      </c>
      <c r="K45" s="8">
        <v>6.95</v>
      </c>
      <c r="N45">
        <v>1.43</v>
      </c>
      <c r="O45" s="8">
        <v>6.85</v>
      </c>
      <c r="R45" s="8">
        <v>0</v>
      </c>
      <c r="S45" t="s">
        <v>68</v>
      </c>
      <c r="T45">
        <v>50.46</v>
      </c>
      <c r="U45">
        <v>7.83</v>
      </c>
      <c r="V45">
        <v>38.78</v>
      </c>
      <c r="W45">
        <v>34.92</v>
      </c>
      <c r="X45">
        <v>4.93</v>
      </c>
      <c r="Y45">
        <v>4</v>
      </c>
      <c r="Z45">
        <v>-1</v>
      </c>
      <c r="AA45">
        <v>69.22</v>
      </c>
      <c r="AC45" t="s">
        <v>128</v>
      </c>
      <c r="AD45" t="s">
        <v>127</v>
      </c>
      <c r="AE45" t="s">
        <v>128</v>
      </c>
      <c r="AF45">
        <v>8</v>
      </c>
      <c r="AG45">
        <v>8</v>
      </c>
      <c r="AH45">
        <v>8</v>
      </c>
      <c r="AI45">
        <v>3</v>
      </c>
      <c r="AJ45">
        <v>4</v>
      </c>
      <c r="AK45">
        <v>6</v>
      </c>
    </row>
    <row r="46" spans="1:37" x14ac:dyDescent="0.3">
      <c r="B46" t="s">
        <v>20</v>
      </c>
      <c r="C46">
        <v>121</v>
      </c>
      <c r="D46">
        <v>20</v>
      </c>
      <c r="E46">
        <v>30</v>
      </c>
      <c r="F46">
        <v>150</v>
      </c>
      <c r="G46">
        <v>33.685812267768938</v>
      </c>
      <c r="H46">
        <v>32</v>
      </c>
      <c r="I46">
        <v>65</v>
      </c>
      <c r="J46">
        <v>0</v>
      </c>
      <c r="K46" s="8">
        <v>6.94</v>
      </c>
      <c r="N46">
        <v>1.2</v>
      </c>
      <c r="O46" s="8">
        <v>10.3</v>
      </c>
      <c r="R46" s="8">
        <v>0</v>
      </c>
      <c r="S46" t="s">
        <v>68</v>
      </c>
      <c r="T46">
        <v>50.01</v>
      </c>
      <c r="U46">
        <v>7.76</v>
      </c>
      <c r="V46">
        <v>35.75</v>
      </c>
      <c r="W46">
        <v>32.01</v>
      </c>
      <c r="X46">
        <v>5.33</v>
      </c>
      <c r="Y46">
        <v>4</v>
      </c>
      <c r="Z46">
        <v>0</v>
      </c>
      <c r="AA46">
        <v>68.2</v>
      </c>
      <c r="AC46" t="s">
        <v>128</v>
      </c>
      <c r="AD46" t="s">
        <v>127</v>
      </c>
      <c r="AE46" t="s">
        <v>128</v>
      </c>
      <c r="AF46">
        <v>7</v>
      </c>
      <c r="AG46">
        <v>7</v>
      </c>
      <c r="AH46">
        <v>6</v>
      </c>
      <c r="AI46">
        <v>6</v>
      </c>
      <c r="AJ46">
        <v>6</v>
      </c>
      <c r="AK46">
        <v>7</v>
      </c>
    </row>
    <row r="47" spans="1:37" x14ac:dyDescent="0.3">
      <c r="B47" t="s">
        <v>20</v>
      </c>
      <c r="C47">
        <v>121</v>
      </c>
      <c r="D47">
        <v>20</v>
      </c>
      <c r="E47">
        <v>30</v>
      </c>
      <c r="F47">
        <v>150</v>
      </c>
      <c r="G47">
        <v>33.685812267768938</v>
      </c>
      <c r="H47">
        <v>32</v>
      </c>
      <c r="I47">
        <v>65</v>
      </c>
      <c r="J47">
        <v>0</v>
      </c>
      <c r="K47" s="8">
        <v>6.93</v>
      </c>
      <c r="N47">
        <v>2.0129999999999999</v>
      </c>
      <c r="O47" s="8">
        <v>11.5</v>
      </c>
      <c r="R47" s="8">
        <v>0</v>
      </c>
      <c r="S47" t="s">
        <v>68</v>
      </c>
      <c r="T47">
        <v>49.99</v>
      </c>
      <c r="U47">
        <v>7.75</v>
      </c>
      <c r="V47">
        <v>35.79</v>
      </c>
      <c r="W47">
        <v>32.04</v>
      </c>
      <c r="X47">
        <v>5.33</v>
      </c>
      <c r="Y47">
        <v>4</v>
      </c>
      <c r="Z47">
        <v>0</v>
      </c>
      <c r="AA47">
        <v>68.2</v>
      </c>
      <c r="AC47" t="s">
        <v>128</v>
      </c>
      <c r="AD47" t="s">
        <v>127</v>
      </c>
      <c r="AE47" t="s">
        <v>128</v>
      </c>
      <c r="AF47">
        <v>7</v>
      </c>
      <c r="AG47">
        <v>8</v>
      </c>
      <c r="AH47">
        <v>7</v>
      </c>
      <c r="AI47">
        <v>5</v>
      </c>
      <c r="AJ47">
        <v>5</v>
      </c>
      <c r="AK47">
        <v>7</v>
      </c>
    </row>
    <row r="48" spans="1:37" x14ac:dyDescent="0.3">
      <c r="B48" t="s">
        <v>20</v>
      </c>
      <c r="C48">
        <v>121</v>
      </c>
      <c r="D48">
        <v>20</v>
      </c>
      <c r="E48">
        <v>30</v>
      </c>
      <c r="F48">
        <v>150</v>
      </c>
      <c r="G48">
        <v>33.685812267768938</v>
      </c>
      <c r="H48">
        <v>32</v>
      </c>
      <c r="I48">
        <v>65</v>
      </c>
      <c r="J48">
        <v>0</v>
      </c>
      <c r="K48" s="8">
        <v>6.95</v>
      </c>
      <c r="N48">
        <v>2.31</v>
      </c>
      <c r="O48" s="8">
        <v>10.8</v>
      </c>
      <c r="R48" s="8">
        <v>0</v>
      </c>
      <c r="S48" t="s">
        <v>68</v>
      </c>
      <c r="T48">
        <v>49.98</v>
      </c>
      <c r="U48">
        <v>7.76</v>
      </c>
      <c r="V48">
        <v>35.83</v>
      </c>
      <c r="W48">
        <v>32.07</v>
      </c>
      <c r="X48">
        <v>5.33</v>
      </c>
      <c r="Y48">
        <v>4</v>
      </c>
      <c r="Z48">
        <v>0</v>
      </c>
      <c r="AA48">
        <v>68.2</v>
      </c>
      <c r="AC48" t="s">
        <v>128</v>
      </c>
      <c r="AD48" t="s">
        <v>127</v>
      </c>
      <c r="AE48" t="s">
        <v>128</v>
      </c>
      <c r="AF48">
        <v>8</v>
      </c>
      <c r="AG48">
        <v>6</v>
      </c>
      <c r="AH48">
        <v>5</v>
      </c>
      <c r="AI48">
        <v>3</v>
      </c>
      <c r="AJ48">
        <v>8</v>
      </c>
      <c r="AK48">
        <v>6</v>
      </c>
    </row>
    <row r="49" spans="1:37" x14ac:dyDescent="0.3">
      <c r="B49" t="s">
        <v>26</v>
      </c>
      <c r="C49">
        <v>0</v>
      </c>
      <c r="D49">
        <v>0</v>
      </c>
      <c r="E49">
        <v>0</v>
      </c>
      <c r="F49">
        <v>150</v>
      </c>
      <c r="G49">
        <v>0</v>
      </c>
      <c r="H49">
        <v>32</v>
      </c>
      <c r="I49">
        <v>65</v>
      </c>
      <c r="J49">
        <v>0</v>
      </c>
      <c r="K49" s="8">
        <v>6.96</v>
      </c>
      <c r="N49">
        <v>4.63</v>
      </c>
      <c r="O49" s="8">
        <v>7.2</v>
      </c>
      <c r="R49" s="8">
        <f>LOG10(57*(10^2))</f>
        <v>3.7558748556724915</v>
      </c>
      <c r="S49" t="s">
        <v>127</v>
      </c>
      <c r="T49">
        <v>53.34</v>
      </c>
      <c r="U49">
        <v>9.65</v>
      </c>
      <c r="V49">
        <v>53.16</v>
      </c>
      <c r="W49">
        <v>49.31</v>
      </c>
      <c r="X49">
        <v>16</v>
      </c>
      <c r="Y49">
        <v>0.4</v>
      </c>
      <c r="Z49">
        <v>-1</v>
      </c>
      <c r="AA49">
        <v>68.739999999999995</v>
      </c>
      <c r="AC49" t="s">
        <v>128</v>
      </c>
      <c r="AD49" t="s">
        <v>125</v>
      </c>
      <c r="AE49" t="s">
        <v>127</v>
      </c>
      <c r="AF49">
        <v>6</v>
      </c>
      <c r="AG49">
        <v>7</v>
      </c>
      <c r="AH49">
        <v>8</v>
      </c>
      <c r="AI49">
        <v>4</v>
      </c>
      <c r="AJ49">
        <v>6</v>
      </c>
      <c r="AK49">
        <v>5</v>
      </c>
    </row>
    <row r="50" spans="1:37" x14ac:dyDescent="0.3">
      <c r="B50" t="s">
        <v>26</v>
      </c>
      <c r="C50">
        <v>0</v>
      </c>
      <c r="D50">
        <v>0</v>
      </c>
      <c r="E50">
        <v>0</v>
      </c>
      <c r="F50">
        <v>150</v>
      </c>
      <c r="G50">
        <v>0</v>
      </c>
      <c r="H50">
        <v>32</v>
      </c>
      <c r="I50">
        <v>65</v>
      </c>
      <c r="J50">
        <v>0</v>
      </c>
      <c r="K50" s="8">
        <v>6.9</v>
      </c>
      <c r="N50">
        <v>5.9</v>
      </c>
      <c r="O50" s="8">
        <v>6.2</v>
      </c>
      <c r="R50" s="8">
        <f>LOG10(50*(10^2))</f>
        <v>3.6989700043360187</v>
      </c>
      <c r="S50" t="s">
        <v>127</v>
      </c>
      <c r="T50">
        <v>53.34</v>
      </c>
      <c r="U50">
        <v>9.67</v>
      </c>
      <c r="V50">
        <v>53.24</v>
      </c>
      <c r="W50">
        <v>59.39</v>
      </c>
      <c r="X50">
        <v>16</v>
      </c>
      <c r="Y50">
        <v>0.4</v>
      </c>
      <c r="Z50">
        <v>-1</v>
      </c>
      <c r="AA50">
        <v>68.739999999999995</v>
      </c>
      <c r="AC50" t="s">
        <v>128</v>
      </c>
      <c r="AD50" t="s">
        <v>125</v>
      </c>
      <c r="AE50" t="s">
        <v>127</v>
      </c>
      <c r="AF50">
        <v>6</v>
      </c>
      <c r="AG50">
        <v>8</v>
      </c>
      <c r="AH50">
        <v>6</v>
      </c>
      <c r="AI50">
        <v>2</v>
      </c>
      <c r="AJ50">
        <v>5</v>
      </c>
      <c r="AK50">
        <v>7</v>
      </c>
    </row>
    <row r="51" spans="1:37" x14ac:dyDescent="0.3">
      <c r="B51" t="s">
        <v>26</v>
      </c>
      <c r="C51">
        <v>0</v>
      </c>
      <c r="D51">
        <v>0</v>
      </c>
      <c r="E51">
        <v>0</v>
      </c>
      <c r="F51">
        <v>150</v>
      </c>
      <c r="G51">
        <v>0</v>
      </c>
      <c r="H51">
        <v>32</v>
      </c>
      <c r="I51">
        <v>65</v>
      </c>
      <c r="J51">
        <v>0</v>
      </c>
      <c r="K51" s="8">
        <v>6.88</v>
      </c>
      <c r="N51">
        <v>6.6</v>
      </c>
      <c r="O51" s="8">
        <v>5.9</v>
      </c>
      <c r="R51" s="8">
        <f>LOG10(112*(10^2))</f>
        <v>4.0492180226701819</v>
      </c>
      <c r="S51" t="s">
        <v>127</v>
      </c>
      <c r="T51">
        <v>53.32</v>
      </c>
      <c r="U51">
        <v>9.68</v>
      </c>
      <c r="V51">
        <v>53.36</v>
      </c>
      <c r="W51">
        <v>49.49</v>
      </c>
      <c r="X51">
        <v>16</v>
      </c>
      <c r="Y51">
        <v>0.4</v>
      </c>
      <c r="Z51">
        <v>-1</v>
      </c>
      <c r="AA51">
        <v>68.739999999999995</v>
      </c>
      <c r="AC51" t="s">
        <v>128</v>
      </c>
      <c r="AD51" t="s">
        <v>125</v>
      </c>
      <c r="AE51" t="s">
        <v>127</v>
      </c>
      <c r="AF51">
        <v>6</v>
      </c>
      <c r="AG51">
        <v>8</v>
      </c>
      <c r="AH51">
        <v>6</v>
      </c>
      <c r="AI51">
        <v>8</v>
      </c>
      <c r="AJ51">
        <v>7</v>
      </c>
      <c r="AK51">
        <v>6</v>
      </c>
    </row>
    <row r="52" spans="1:37" x14ac:dyDescent="0.3">
      <c r="B52" t="s">
        <v>48</v>
      </c>
      <c r="C52">
        <v>121</v>
      </c>
      <c r="D52">
        <v>20</v>
      </c>
      <c r="E52">
        <v>30</v>
      </c>
      <c r="F52">
        <v>150</v>
      </c>
      <c r="G52">
        <v>33.685812267768938</v>
      </c>
      <c r="H52">
        <v>32</v>
      </c>
      <c r="I52">
        <v>65</v>
      </c>
      <c r="J52">
        <v>10</v>
      </c>
      <c r="K52" s="8">
        <v>7.0313636363636398</v>
      </c>
      <c r="N52">
        <v>5.46</v>
      </c>
      <c r="O52" s="8">
        <v>12.3</v>
      </c>
      <c r="R52" s="8">
        <v>0</v>
      </c>
      <c r="S52" t="s">
        <v>68</v>
      </c>
      <c r="T52">
        <v>49.88</v>
      </c>
      <c r="U52">
        <v>8.7899999999999991</v>
      </c>
      <c r="V52">
        <v>43.23</v>
      </c>
      <c r="W52">
        <v>66.59</v>
      </c>
      <c r="X52">
        <v>2.0499999999999998</v>
      </c>
      <c r="Y52">
        <v>4.4000000000000004</v>
      </c>
      <c r="Z52">
        <v>-12</v>
      </c>
      <c r="AA52">
        <v>54.88</v>
      </c>
      <c r="AC52" t="s">
        <v>128</v>
      </c>
      <c r="AD52" t="s">
        <v>127</v>
      </c>
      <c r="AE52" t="s">
        <v>128</v>
      </c>
      <c r="AF52">
        <v>7</v>
      </c>
      <c r="AG52">
        <v>7</v>
      </c>
      <c r="AH52">
        <v>5</v>
      </c>
      <c r="AI52">
        <v>7</v>
      </c>
      <c r="AJ52">
        <v>5</v>
      </c>
      <c r="AK52">
        <v>7</v>
      </c>
    </row>
    <row r="53" spans="1:37" x14ac:dyDescent="0.3">
      <c r="B53" t="s">
        <v>48</v>
      </c>
      <c r="C53">
        <v>121</v>
      </c>
      <c r="D53">
        <v>20</v>
      </c>
      <c r="E53">
        <v>30</v>
      </c>
      <c r="F53">
        <v>150</v>
      </c>
      <c r="G53">
        <v>33.685812267768938</v>
      </c>
      <c r="H53">
        <v>32</v>
      </c>
      <c r="I53">
        <v>65</v>
      </c>
      <c r="J53">
        <v>10</v>
      </c>
      <c r="K53" s="8">
        <v>7.0588811188811196</v>
      </c>
      <c r="N53">
        <v>4.1900000000000004</v>
      </c>
      <c r="O53" s="8">
        <v>11.8</v>
      </c>
      <c r="R53" s="8">
        <v>0</v>
      </c>
      <c r="S53" t="s">
        <v>68</v>
      </c>
      <c r="T53">
        <v>49.76</v>
      </c>
      <c r="U53">
        <v>8.83</v>
      </c>
      <c r="V53">
        <v>43.15</v>
      </c>
      <c r="W53">
        <v>66.45</v>
      </c>
      <c r="X53">
        <v>2.11</v>
      </c>
      <c r="Y53">
        <v>4.4000000000000004</v>
      </c>
      <c r="Z53">
        <v>-16</v>
      </c>
      <c r="AA53">
        <v>54.88</v>
      </c>
      <c r="AC53" t="s">
        <v>128</v>
      </c>
      <c r="AD53" t="s">
        <v>127</v>
      </c>
      <c r="AE53" t="s">
        <v>128</v>
      </c>
      <c r="AF53">
        <v>6</v>
      </c>
      <c r="AG53">
        <v>5</v>
      </c>
      <c r="AH53">
        <v>8</v>
      </c>
      <c r="AI53">
        <v>6</v>
      </c>
      <c r="AJ53">
        <v>6</v>
      </c>
      <c r="AK53">
        <v>6</v>
      </c>
    </row>
    <row r="54" spans="1:37" x14ac:dyDescent="0.3">
      <c r="B54" t="s">
        <v>48</v>
      </c>
      <c r="C54">
        <v>121</v>
      </c>
      <c r="D54">
        <v>20</v>
      </c>
      <c r="E54">
        <v>30</v>
      </c>
      <c r="F54">
        <v>150</v>
      </c>
      <c r="G54">
        <v>33.685812267768938</v>
      </c>
      <c r="H54">
        <v>32</v>
      </c>
      <c r="I54">
        <v>65</v>
      </c>
      <c r="J54">
        <v>10</v>
      </c>
      <c r="K54" s="8">
        <v>7.0863986013986002</v>
      </c>
      <c r="N54">
        <v>4.76</v>
      </c>
      <c r="O54" s="8">
        <v>14.9</v>
      </c>
      <c r="R54" s="8">
        <v>0</v>
      </c>
      <c r="S54" t="s">
        <v>68</v>
      </c>
      <c r="T54">
        <v>49.77</v>
      </c>
      <c r="U54">
        <v>8.81</v>
      </c>
      <c r="V54">
        <v>43.16</v>
      </c>
      <c r="W54">
        <v>66.459999999999994</v>
      </c>
      <c r="X54">
        <v>2.15</v>
      </c>
      <c r="Y54">
        <v>4.5</v>
      </c>
      <c r="Z54">
        <v>-20</v>
      </c>
      <c r="AA54">
        <v>54.88</v>
      </c>
      <c r="AC54" t="s">
        <v>128</v>
      </c>
      <c r="AD54" t="s">
        <v>127</v>
      </c>
      <c r="AE54" t="s">
        <v>128</v>
      </c>
      <c r="AF54">
        <v>7</v>
      </c>
      <c r="AG54">
        <v>6</v>
      </c>
      <c r="AH54">
        <v>6</v>
      </c>
      <c r="AI54">
        <v>3</v>
      </c>
      <c r="AJ54">
        <v>8</v>
      </c>
      <c r="AK54">
        <v>6</v>
      </c>
    </row>
    <row r="55" spans="1:37" x14ac:dyDescent="0.3">
      <c r="B55" t="s">
        <v>49</v>
      </c>
      <c r="C55">
        <v>0</v>
      </c>
      <c r="D55">
        <v>0</v>
      </c>
      <c r="E55">
        <v>0</v>
      </c>
      <c r="F55">
        <v>150</v>
      </c>
      <c r="G55">
        <v>0</v>
      </c>
      <c r="H55">
        <v>32</v>
      </c>
      <c r="I55">
        <v>65</v>
      </c>
      <c r="J55">
        <v>10</v>
      </c>
      <c r="K55" s="8">
        <v>4.8899999999999997</v>
      </c>
      <c r="N55">
        <v>4.6500000000000004</v>
      </c>
      <c r="O55" s="8">
        <v>11.6</v>
      </c>
      <c r="R55" s="10">
        <f>LOG10(243*(10^7))</f>
        <v>9.385606273598313</v>
      </c>
      <c r="S55" s="10" t="s">
        <v>97</v>
      </c>
      <c r="T55">
        <v>58.97</v>
      </c>
      <c r="U55">
        <v>8.6999999999999993</v>
      </c>
      <c r="V55">
        <v>45.62</v>
      </c>
      <c r="W55">
        <v>75.06</v>
      </c>
      <c r="X55">
        <v>0</v>
      </c>
      <c r="Y55">
        <v>54.3</v>
      </c>
      <c r="Z55">
        <v>0</v>
      </c>
      <c r="AA55">
        <v>66.83</v>
      </c>
      <c r="AC55" t="s">
        <v>143</v>
      </c>
      <c r="AD55" t="s">
        <v>69</v>
      </c>
      <c r="AE55" t="s">
        <v>203</v>
      </c>
      <c r="AF55">
        <v>7</v>
      </c>
      <c r="AG55">
        <v>7</v>
      </c>
      <c r="AH55">
        <v>2</v>
      </c>
      <c r="AI55" t="s">
        <v>213</v>
      </c>
      <c r="AJ55">
        <v>3</v>
      </c>
      <c r="AK55">
        <v>2</v>
      </c>
    </row>
    <row r="56" spans="1:37" x14ac:dyDescent="0.3">
      <c r="B56" t="s">
        <v>49</v>
      </c>
      <c r="C56">
        <v>0</v>
      </c>
      <c r="D56">
        <v>0</v>
      </c>
      <c r="E56">
        <v>0</v>
      </c>
      <c r="F56">
        <v>150</v>
      </c>
      <c r="G56">
        <v>0</v>
      </c>
      <c r="H56">
        <v>32</v>
      </c>
      <c r="I56">
        <v>65</v>
      </c>
      <c r="J56">
        <v>10</v>
      </c>
      <c r="K56" s="8">
        <v>4.5599999999999996</v>
      </c>
      <c r="N56">
        <v>3.21</v>
      </c>
      <c r="O56" s="8">
        <v>11.8</v>
      </c>
      <c r="R56" s="10">
        <f>LOG10(153*(10^7))</f>
        <v>9.1846914308175993</v>
      </c>
      <c r="S56" s="10" t="s">
        <v>97</v>
      </c>
      <c r="T56">
        <v>58.95</v>
      </c>
      <c r="U56">
        <v>8.7100000000000009</v>
      </c>
      <c r="V56">
        <v>45.61</v>
      </c>
      <c r="W56">
        <v>75.040000000000006</v>
      </c>
      <c r="X56">
        <v>0</v>
      </c>
      <c r="Y56">
        <v>55</v>
      </c>
      <c r="Z56">
        <v>-1</v>
      </c>
      <c r="AA56">
        <v>66.83</v>
      </c>
      <c r="AC56" t="s">
        <v>143</v>
      </c>
      <c r="AD56" t="s">
        <v>69</v>
      </c>
      <c r="AE56" t="s">
        <v>203</v>
      </c>
      <c r="AF56">
        <v>7</v>
      </c>
      <c r="AG56">
        <v>6</v>
      </c>
      <c r="AH56">
        <v>1</v>
      </c>
      <c r="AI56" t="s">
        <v>213</v>
      </c>
      <c r="AJ56">
        <v>2</v>
      </c>
      <c r="AK56">
        <v>1</v>
      </c>
    </row>
    <row r="57" spans="1:37" x14ac:dyDescent="0.3">
      <c r="B57" t="s">
        <v>49</v>
      </c>
      <c r="C57">
        <v>0</v>
      </c>
      <c r="D57">
        <v>0</v>
      </c>
      <c r="E57">
        <v>0</v>
      </c>
      <c r="F57">
        <v>150</v>
      </c>
      <c r="G57">
        <v>0</v>
      </c>
      <c r="H57">
        <v>32</v>
      </c>
      <c r="I57">
        <v>65</v>
      </c>
      <c r="J57">
        <v>10</v>
      </c>
      <c r="K57" s="8">
        <v>4.78</v>
      </c>
      <c r="N57">
        <v>2.65</v>
      </c>
      <c r="O57" s="8">
        <v>14.9</v>
      </c>
      <c r="R57" s="10">
        <f>LOG10(196*(10^7))</f>
        <v>9.2922560713564764</v>
      </c>
      <c r="S57" s="10" t="s">
        <v>97</v>
      </c>
      <c r="T57">
        <v>58.95</v>
      </c>
      <c r="U57">
        <v>8.6999999999999993</v>
      </c>
      <c r="V57">
        <v>45.58</v>
      </c>
      <c r="W57">
        <v>75.02</v>
      </c>
      <c r="X57">
        <v>0</v>
      </c>
      <c r="Y57">
        <v>55.2</v>
      </c>
      <c r="Z57">
        <v>0</v>
      </c>
      <c r="AA57">
        <v>66.83</v>
      </c>
      <c r="AC57" t="s">
        <v>143</v>
      </c>
      <c r="AD57" t="s">
        <v>69</v>
      </c>
      <c r="AE57" t="s">
        <v>203</v>
      </c>
      <c r="AF57">
        <v>6</v>
      </c>
      <c r="AG57">
        <v>7</v>
      </c>
      <c r="AH57">
        <v>2</v>
      </c>
      <c r="AI57" t="s">
        <v>213</v>
      </c>
      <c r="AJ57">
        <v>1</v>
      </c>
      <c r="AK57">
        <v>2</v>
      </c>
    </row>
    <row r="59" spans="1:37" x14ac:dyDescent="0.3">
      <c r="A59" t="s">
        <v>28</v>
      </c>
      <c r="B59" t="s">
        <v>29</v>
      </c>
      <c r="C59">
        <v>121</v>
      </c>
      <c r="D59">
        <v>20</v>
      </c>
      <c r="E59">
        <v>15</v>
      </c>
      <c r="F59">
        <v>150</v>
      </c>
      <c r="G59">
        <v>22.479871531659267</v>
      </c>
      <c r="H59">
        <v>32</v>
      </c>
      <c r="I59">
        <v>65</v>
      </c>
      <c r="J59">
        <v>0</v>
      </c>
      <c r="K59" s="8">
        <v>6.62</v>
      </c>
      <c r="N59">
        <v>5.36</v>
      </c>
      <c r="O59" s="8">
        <v>7.56</v>
      </c>
      <c r="R59" s="8">
        <v>0</v>
      </c>
      <c r="S59" t="s">
        <v>68</v>
      </c>
      <c r="T59">
        <v>41.17</v>
      </c>
      <c r="U59">
        <v>5.85</v>
      </c>
      <c r="V59">
        <v>20.38</v>
      </c>
      <c r="W59" t="s">
        <v>206</v>
      </c>
      <c r="X59">
        <v>7.37</v>
      </c>
      <c r="Y59">
        <v>3.2</v>
      </c>
      <c r="Z59">
        <v>-1</v>
      </c>
      <c r="AA59">
        <v>66.760000000000005</v>
      </c>
      <c r="AC59" t="s">
        <v>128</v>
      </c>
      <c r="AD59" t="s">
        <v>127</v>
      </c>
      <c r="AE59" t="s">
        <v>128</v>
      </c>
      <c r="AF59">
        <v>6</v>
      </c>
      <c r="AG59">
        <v>7</v>
      </c>
      <c r="AH59">
        <v>5</v>
      </c>
      <c r="AI59">
        <v>6</v>
      </c>
      <c r="AJ59">
        <v>5</v>
      </c>
      <c r="AK59">
        <v>7</v>
      </c>
    </row>
    <row r="60" spans="1:37" x14ac:dyDescent="0.3">
      <c r="B60" t="s">
        <v>29</v>
      </c>
      <c r="C60">
        <v>121</v>
      </c>
      <c r="D60">
        <v>20</v>
      </c>
      <c r="E60">
        <v>15</v>
      </c>
      <c r="F60">
        <v>150</v>
      </c>
      <c r="G60">
        <v>22.479871531659267</v>
      </c>
      <c r="H60">
        <v>32</v>
      </c>
      <c r="I60">
        <v>65</v>
      </c>
      <c r="J60">
        <v>0</v>
      </c>
      <c r="K60" s="8">
        <v>6.58</v>
      </c>
      <c r="N60">
        <v>5.15</v>
      </c>
      <c r="O60" s="8">
        <v>7.65</v>
      </c>
      <c r="R60" s="8">
        <v>0</v>
      </c>
      <c r="S60" t="s">
        <v>68</v>
      </c>
      <c r="T60">
        <v>41.19</v>
      </c>
      <c r="U60">
        <v>5.84</v>
      </c>
      <c r="V60">
        <v>20.38</v>
      </c>
      <c r="W60">
        <v>46.24</v>
      </c>
      <c r="X60">
        <v>7.11</v>
      </c>
      <c r="Y60">
        <v>3.4</v>
      </c>
      <c r="Z60">
        <v>-3</v>
      </c>
      <c r="AA60">
        <v>66.760000000000005</v>
      </c>
      <c r="AC60" t="s">
        <v>128</v>
      </c>
      <c r="AD60" t="s">
        <v>127</v>
      </c>
      <c r="AE60" t="s">
        <v>128</v>
      </c>
      <c r="AF60">
        <v>7</v>
      </c>
      <c r="AG60">
        <v>6</v>
      </c>
      <c r="AH60">
        <v>5</v>
      </c>
      <c r="AI60">
        <v>6</v>
      </c>
      <c r="AJ60">
        <v>6</v>
      </c>
      <c r="AK60">
        <v>6</v>
      </c>
    </row>
    <row r="61" spans="1:37" x14ac:dyDescent="0.3">
      <c r="B61" t="s">
        <v>29</v>
      </c>
      <c r="C61">
        <v>121</v>
      </c>
      <c r="D61">
        <v>20</v>
      </c>
      <c r="E61">
        <v>15</v>
      </c>
      <c r="F61">
        <v>150</v>
      </c>
      <c r="G61">
        <v>22.479871531659267</v>
      </c>
      <c r="H61">
        <v>32</v>
      </c>
      <c r="I61">
        <v>65</v>
      </c>
      <c r="J61">
        <v>0</v>
      </c>
      <c r="K61" s="8">
        <v>6.58</v>
      </c>
      <c r="N61">
        <v>5.4</v>
      </c>
      <c r="O61" s="8">
        <v>6.32</v>
      </c>
      <c r="R61" s="8">
        <v>0</v>
      </c>
      <c r="S61" t="s">
        <v>68</v>
      </c>
      <c r="T61">
        <v>41.18</v>
      </c>
      <c r="U61">
        <v>5.84</v>
      </c>
      <c r="V61">
        <v>20.39</v>
      </c>
      <c r="W61">
        <v>46.23</v>
      </c>
      <c r="X61">
        <v>7.06</v>
      </c>
      <c r="Y61">
        <v>3.4</v>
      </c>
      <c r="Z61">
        <v>-3</v>
      </c>
      <c r="AA61">
        <v>66.760000000000005</v>
      </c>
      <c r="AC61" t="s">
        <v>128</v>
      </c>
      <c r="AD61" t="s">
        <v>127</v>
      </c>
      <c r="AE61" t="s">
        <v>128</v>
      </c>
      <c r="AF61">
        <v>6</v>
      </c>
      <c r="AG61">
        <v>3</v>
      </c>
      <c r="AH61">
        <v>6</v>
      </c>
      <c r="AI61">
        <v>7</v>
      </c>
      <c r="AJ61">
        <v>7</v>
      </c>
      <c r="AK61">
        <v>7</v>
      </c>
    </row>
    <row r="62" spans="1:37" x14ac:dyDescent="0.3">
      <c r="B62" t="s">
        <v>30</v>
      </c>
      <c r="C62">
        <v>121</v>
      </c>
      <c r="D62">
        <v>20</v>
      </c>
      <c r="E62">
        <v>15</v>
      </c>
      <c r="F62">
        <v>150</v>
      </c>
      <c r="G62">
        <v>22.479871531659267</v>
      </c>
      <c r="H62">
        <v>32</v>
      </c>
      <c r="I62">
        <v>65</v>
      </c>
      <c r="J62">
        <v>0</v>
      </c>
      <c r="K62" s="8">
        <v>6.38</v>
      </c>
      <c r="N62">
        <v>4.12</v>
      </c>
      <c r="O62" s="8">
        <v>7.5</v>
      </c>
      <c r="R62" s="8">
        <v>0</v>
      </c>
      <c r="S62" t="s">
        <v>68</v>
      </c>
      <c r="T62">
        <v>44.68</v>
      </c>
      <c r="U62">
        <v>5.18</v>
      </c>
      <c r="V62">
        <v>20.79</v>
      </c>
      <c r="W62">
        <v>49.46</v>
      </c>
      <c r="X62">
        <v>3.61</v>
      </c>
      <c r="Y62">
        <v>3.2</v>
      </c>
      <c r="Z62">
        <v>-2</v>
      </c>
      <c r="AA62">
        <v>65.55</v>
      </c>
      <c r="AC62" t="s">
        <v>128</v>
      </c>
      <c r="AD62" t="s">
        <v>127</v>
      </c>
      <c r="AE62" t="s">
        <v>128</v>
      </c>
      <c r="AF62">
        <v>3</v>
      </c>
      <c r="AG62">
        <v>5</v>
      </c>
      <c r="AH62">
        <v>7</v>
      </c>
      <c r="AI62">
        <v>6</v>
      </c>
      <c r="AJ62">
        <v>7</v>
      </c>
      <c r="AK62">
        <v>8</v>
      </c>
    </row>
    <row r="63" spans="1:37" x14ac:dyDescent="0.3">
      <c r="B63" t="s">
        <v>30</v>
      </c>
      <c r="C63">
        <v>121</v>
      </c>
      <c r="D63">
        <v>20</v>
      </c>
      <c r="E63">
        <v>15</v>
      </c>
      <c r="F63">
        <v>150</v>
      </c>
      <c r="G63">
        <v>22.479871531659267</v>
      </c>
      <c r="H63">
        <v>32</v>
      </c>
      <c r="I63">
        <v>65</v>
      </c>
      <c r="J63">
        <v>0</v>
      </c>
      <c r="K63" s="8">
        <v>6.41</v>
      </c>
      <c r="N63">
        <v>3.56</v>
      </c>
      <c r="O63" s="8">
        <v>8.4</v>
      </c>
      <c r="R63" s="8">
        <v>0</v>
      </c>
      <c r="S63" t="s">
        <v>68</v>
      </c>
      <c r="T63">
        <v>44.65</v>
      </c>
      <c r="U63">
        <v>5.19</v>
      </c>
      <c r="V63">
        <v>20.79</v>
      </c>
      <c r="W63">
        <v>49.43</v>
      </c>
      <c r="X63">
        <v>3.7</v>
      </c>
      <c r="Y63">
        <v>3.3</v>
      </c>
      <c r="Z63">
        <v>-1</v>
      </c>
      <c r="AA63">
        <v>65.55</v>
      </c>
      <c r="AC63" t="s">
        <v>128</v>
      </c>
      <c r="AD63" t="s">
        <v>127</v>
      </c>
      <c r="AE63" t="s">
        <v>128</v>
      </c>
      <c r="AF63">
        <v>5</v>
      </c>
      <c r="AG63">
        <v>6</v>
      </c>
      <c r="AH63">
        <v>6</v>
      </c>
      <c r="AI63">
        <v>4</v>
      </c>
      <c r="AJ63">
        <v>8</v>
      </c>
      <c r="AK63">
        <v>6</v>
      </c>
    </row>
    <row r="64" spans="1:37" x14ac:dyDescent="0.3">
      <c r="B64" t="s">
        <v>30</v>
      </c>
      <c r="C64">
        <v>121</v>
      </c>
      <c r="D64">
        <v>20</v>
      </c>
      <c r="E64">
        <v>15</v>
      </c>
      <c r="F64">
        <v>150</v>
      </c>
      <c r="G64">
        <v>22.479871531659267</v>
      </c>
      <c r="H64">
        <v>32</v>
      </c>
      <c r="I64">
        <v>65</v>
      </c>
      <c r="J64">
        <v>0</v>
      </c>
      <c r="K64" s="8">
        <v>6.41</v>
      </c>
      <c r="N64">
        <v>3.21</v>
      </c>
      <c r="O64" s="8">
        <v>7.2</v>
      </c>
      <c r="R64" s="8">
        <v>0</v>
      </c>
      <c r="S64" t="s">
        <v>68</v>
      </c>
      <c r="T64">
        <v>44.64</v>
      </c>
      <c r="U64">
        <v>5.2</v>
      </c>
      <c r="V64">
        <v>20.79</v>
      </c>
      <c r="W64">
        <v>49.42</v>
      </c>
      <c r="X64">
        <v>3.76</v>
      </c>
      <c r="Y64">
        <v>3.3</v>
      </c>
      <c r="Z64">
        <v>-19</v>
      </c>
      <c r="AA64">
        <v>65.55</v>
      </c>
      <c r="AC64" t="s">
        <v>128</v>
      </c>
      <c r="AD64" t="s">
        <v>127</v>
      </c>
      <c r="AE64" t="s">
        <v>128</v>
      </c>
      <c r="AF64">
        <v>6</v>
      </c>
      <c r="AG64">
        <v>3</v>
      </c>
      <c r="AH64">
        <v>5</v>
      </c>
      <c r="AI64">
        <v>6</v>
      </c>
      <c r="AJ64">
        <v>5</v>
      </c>
      <c r="AK64">
        <v>7</v>
      </c>
    </row>
    <row r="65" spans="1:37" x14ac:dyDescent="0.3">
      <c r="B65" t="s">
        <v>31</v>
      </c>
      <c r="C65">
        <v>121</v>
      </c>
      <c r="D65">
        <v>20</v>
      </c>
      <c r="E65">
        <v>15</v>
      </c>
      <c r="F65">
        <v>150</v>
      </c>
      <c r="G65">
        <v>22.479871531659267</v>
      </c>
      <c r="H65">
        <v>32</v>
      </c>
      <c r="I65">
        <v>65</v>
      </c>
      <c r="J65">
        <v>0</v>
      </c>
      <c r="K65" s="8">
        <v>6.33</v>
      </c>
      <c r="N65">
        <v>2.56</v>
      </c>
      <c r="O65" s="8">
        <v>6.6</v>
      </c>
      <c r="R65" s="8">
        <v>0</v>
      </c>
      <c r="S65" t="s">
        <v>68</v>
      </c>
      <c r="T65">
        <v>44.4</v>
      </c>
      <c r="U65">
        <v>5.68</v>
      </c>
      <c r="V65">
        <v>20.39</v>
      </c>
      <c r="W65">
        <v>49.1</v>
      </c>
      <c r="X65">
        <v>6.41</v>
      </c>
      <c r="Y65">
        <v>3</v>
      </c>
      <c r="Z65">
        <v>0</v>
      </c>
      <c r="AA65">
        <v>66.03</v>
      </c>
      <c r="AC65" t="s">
        <v>128</v>
      </c>
      <c r="AD65" t="s">
        <v>127</v>
      </c>
      <c r="AE65" t="s">
        <v>128</v>
      </c>
      <c r="AF65">
        <v>3</v>
      </c>
      <c r="AG65">
        <v>6</v>
      </c>
      <c r="AH65">
        <v>6</v>
      </c>
      <c r="AI65">
        <v>7</v>
      </c>
      <c r="AJ65">
        <v>6</v>
      </c>
      <c r="AK65">
        <v>6</v>
      </c>
    </row>
    <row r="66" spans="1:37" x14ac:dyDescent="0.3">
      <c r="B66" t="s">
        <v>31</v>
      </c>
      <c r="C66">
        <v>121</v>
      </c>
      <c r="D66">
        <v>20</v>
      </c>
      <c r="E66">
        <v>15</v>
      </c>
      <c r="F66">
        <v>150</v>
      </c>
      <c r="G66">
        <v>22.479871531659267</v>
      </c>
      <c r="H66">
        <v>32</v>
      </c>
      <c r="I66">
        <v>65</v>
      </c>
      <c r="J66">
        <v>0</v>
      </c>
      <c r="K66" s="8">
        <v>6.35</v>
      </c>
      <c r="N66">
        <v>2.15</v>
      </c>
      <c r="O66" s="8">
        <v>6.7</v>
      </c>
      <c r="R66" s="8">
        <v>0</v>
      </c>
      <c r="S66" t="s">
        <v>68</v>
      </c>
      <c r="T66">
        <v>44.38</v>
      </c>
      <c r="U66">
        <v>5.68</v>
      </c>
      <c r="V66">
        <v>20.39</v>
      </c>
      <c r="W66">
        <v>49.07</v>
      </c>
      <c r="X66">
        <v>6.2</v>
      </c>
      <c r="Y66">
        <v>3</v>
      </c>
      <c r="Z66">
        <v>0</v>
      </c>
      <c r="AA66">
        <v>66.03</v>
      </c>
      <c r="AC66" t="s">
        <v>128</v>
      </c>
      <c r="AD66" t="s">
        <v>127</v>
      </c>
      <c r="AE66" t="s">
        <v>128</v>
      </c>
      <c r="AF66">
        <v>5</v>
      </c>
      <c r="AG66">
        <v>5</v>
      </c>
      <c r="AH66">
        <v>4</v>
      </c>
      <c r="AI66">
        <v>7</v>
      </c>
      <c r="AJ66">
        <v>8</v>
      </c>
      <c r="AK66">
        <v>7</v>
      </c>
    </row>
    <row r="67" spans="1:37" x14ac:dyDescent="0.3">
      <c r="B67" t="s">
        <v>31</v>
      </c>
      <c r="C67">
        <v>121</v>
      </c>
      <c r="D67">
        <v>20</v>
      </c>
      <c r="E67">
        <v>15</v>
      </c>
      <c r="F67">
        <v>150</v>
      </c>
      <c r="G67">
        <v>22.479871531659267</v>
      </c>
      <c r="H67">
        <v>32</v>
      </c>
      <c r="I67">
        <v>65</v>
      </c>
      <c r="J67">
        <v>0</v>
      </c>
      <c r="K67" s="8">
        <v>6.36</v>
      </c>
      <c r="N67">
        <v>3.65</v>
      </c>
      <c r="O67" s="8">
        <v>7.12</v>
      </c>
      <c r="R67" s="8">
        <v>0</v>
      </c>
      <c r="S67" t="s">
        <v>68</v>
      </c>
      <c r="T67">
        <v>44.37</v>
      </c>
      <c r="U67">
        <v>5.68</v>
      </c>
      <c r="V67">
        <v>20.399999999999999</v>
      </c>
      <c r="W67">
        <v>49.08</v>
      </c>
      <c r="X67">
        <v>6.4</v>
      </c>
      <c r="Y67">
        <v>3</v>
      </c>
      <c r="Z67">
        <v>-3</v>
      </c>
      <c r="AA67">
        <v>66.03</v>
      </c>
      <c r="AC67" t="s">
        <v>128</v>
      </c>
      <c r="AD67" t="s">
        <v>127</v>
      </c>
      <c r="AE67" t="s">
        <v>128</v>
      </c>
      <c r="AF67">
        <v>3</v>
      </c>
      <c r="AG67">
        <v>6</v>
      </c>
      <c r="AH67">
        <v>5</v>
      </c>
      <c r="AI67">
        <v>6</v>
      </c>
      <c r="AJ67">
        <v>7</v>
      </c>
      <c r="AK67">
        <v>8</v>
      </c>
    </row>
    <row r="68" spans="1:37" x14ac:dyDescent="0.3">
      <c r="B68" t="s">
        <v>32</v>
      </c>
      <c r="C68">
        <v>0</v>
      </c>
      <c r="D68">
        <v>0</v>
      </c>
      <c r="E68">
        <v>0</v>
      </c>
      <c r="F68">
        <v>150</v>
      </c>
      <c r="G68">
        <v>0</v>
      </c>
      <c r="H68">
        <v>32</v>
      </c>
      <c r="I68">
        <v>65</v>
      </c>
      <c r="J68">
        <v>0</v>
      </c>
      <c r="K68" s="8">
        <v>6.15</v>
      </c>
      <c r="N68">
        <v>4.5599999999999996</v>
      </c>
      <c r="O68" s="8">
        <v>5.54</v>
      </c>
      <c r="R68" s="8">
        <f>LOG10(57*(10^2))</f>
        <v>3.7558748556724915</v>
      </c>
      <c r="S68" t="s">
        <v>127</v>
      </c>
      <c r="T68">
        <v>47.62</v>
      </c>
      <c r="U68">
        <v>6.93</v>
      </c>
      <c r="V68">
        <v>25.93</v>
      </c>
      <c r="W68">
        <v>54.58</v>
      </c>
      <c r="X68">
        <v>9.89</v>
      </c>
      <c r="Y68">
        <v>10.8</v>
      </c>
      <c r="Z68">
        <v>-1</v>
      </c>
      <c r="AA68">
        <v>65.12</v>
      </c>
      <c r="AB68">
        <v>0.75449999999999995</v>
      </c>
      <c r="AC68" t="s">
        <v>128</v>
      </c>
      <c r="AD68" t="s">
        <v>125</v>
      </c>
      <c r="AE68" t="s">
        <v>127</v>
      </c>
      <c r="AF68">
        <v>6</v>
      </c>
      <c r="AG68">
        <v>6</v>
      </c>
      <c r="AH68">
        <v>8</v>
      </c>
      <c r="AI68">
        <v>8</v>
      </c>
      <c r="AJ68">
        <v>5</v>
      </c>
      <c r="AK68">
        <v>7</v>
      </c>
    </row>
    <row r="69" spans="1:37" x14ac:dyDescent="0.3">
      <c r="B69" t="s">
        <v>32</v>
      </c>
      <c r="C69">
        <v>0</v>
      </c>
      <c r="D69">
        <v>0</v>
      </c>
      <c r="E69">
        <v>0</v>
      </c>
      <c r="F69">
        <v>150</v>
      </c>
      <c r="G69">
        <v>0</v>
      </c>
      <c r="H69">
        <v>32</v>
      </c>
      <c r="I69">
        <v>65</v>
      </c>
      <c r="J69">
        <v>0</v>
      </c>
      <c r="K69" s="8">
        <v>6.16</v>
      </c>
      <c r="N69">
        <v>3.36</v>
      </c>
      <c r="O69" s="8">
        <v>4.95</v>
      </c>
      <c r="R69" s="8">
        <f>LOG10(84*(10^2))</f>
        <v>3.9242792860618816</v>
      </c>
      <c r="S69" t="s">
        <v>127</v>
      </c>
      <c r="T69">
        <v>47.6</v>
      </c>
      <c r="U69">
        <v>6.94</v>
      </c>
      <c r="V69">
        <v>25.93</v>
      </c>
      <c r="W69">
        <v>54.56</v>
      </c>
      <c r="X69">
        <v>11.9</v>
      </c>
      <c r="Y69">
        <v>8.4</v>
      </c>
      <c r="Z69">
        <v>0</v>
      </c>
      <c r="AA69">
        <v>65.47</v>
      </c>
      <c r="AC69" t="s">
        <v>128</v>
      </c>
      <c r="AD69" t="s">
        <v>125</v>
      </c>
      <c r="AE69" t="s">
        <v>127</v>
      </c>
      <c r="AF69">
        <v>4</v>
      </c>
      <c r="AG69">
        <v>5</v>
      </c>
      <c r="AH69">
        <v>7</v>
      </c>
      <c r="AI69">
        <v>6</v>
      </c>
      <c r="AJ69">
        <v>6</v>
      </c>
      <c r="AK69">
        <v>8</v>
      </c>
    </row>
    <row r="70" spans="1:37" x14ac:dyDescent="0.3">
      <c r="B70" t="s">
        <v>32</v>
      </c>
      <c r="C70">
        <v>0</v>
      </c>
      <c r="D70">
        <v>0</v>
      </c>
      <c r="E70">
        <v>0</v>
      </c>
      <c r="F70">
        <v>150</v>
      </c>
      <c r="G70">
        <v>0</v>
      </c>
      <c r="H70">
        <v>32</v>
      </c>
      <c r="I70">
        <v>65</v>
      </c>
      <c r="J70">
        <v>0</v>
      </c>
      <c r="K70" s="8">
        <v>6.19</v>
      </c>
      <c r="N70">
        <v>5.5</v>
      </c>
      <c r="O70" s="8">
        <v>3.78</v>
      </c>
      <c r="R70" s="8">
        <f>LOG10(68*(10^2))</f>
        <v>3.8325089127062362</v>
      </c>
      <c r="S70" t="s">
        <v>127</v>
      </c>
      <c r="T70">
        <v>47.6</v>
      </c>
      <c r="U70">
        <v>6.94</v>
      </c>
      <c r="V70">
        <v>25.92</v>
      </c>
      <c r="W70">
        <v>54.55</v>
      </c>
      <c r="X70">
        <v>13.1</v>
      </c>
      <c r="Y70">
        <v>7.1</v>
      </c>
      <c r="Z70">
        <v>0</v>
      </c>
      <c r="AA70">
        <v>65.47</v>
      </c>
      <c r="AC70" t="s">
        <v>128</v>
      </c>
      <c r="AD70" t="s">
        <v>125</v>
      </c>
      <c r="AE70" t="s">
        <v>127</v>
      </c>
      <c r="AF70">
        <v>6</v>
      </c>
      <c r="AG70">
        <v>6</v>
      </c>
      <c r="AH70">
        <v>6</v>
      </c>
      <c r="AI70">
        <v>7</v>
      </c>
      <c r="AJ70">
        <v>7</v>
      </c>
      <c r="AK70">
        <v>6</v>
      </c>
    </row>
    <row r="71" spans="1:37" x14ac:dyDescent="0.3">
      <c r="B71" t="s">
        <v>48</v>
      </c>
      <c r="C71">
        <v>121</v>
      </c>
      <c r="D71">
        <v>20</v>
      </c>
      <c r="E71">
        <v>15</v>
      </c>
      <c r="F71">
        <v>150</v>
      </c>
      <c r="G71">
        <v>22.479871531659267</v>
      </c>
      <c r="H71">
        <v>32</v>
      </c>
      <c r="I71">
        <v>65</v>
      </c>
      <c r="J71">
        <v>10</v>
      </c>
      <c r="K71" s="8">
        <v>6.15</v>
      </c>
      <c r="N71">
        <v>4.6500000000000004</v>
      </c>
      <c r="O71" s="8">
        <v>7.13</v>
      </c>
      <c r="R71" s="8">
        <v>0</v>
      </c>
      <c r="S71" t="s">
        <v>68</v>
      </c>
      <c r="T71">
        <v>47.6</v>
      </c>
      <c r="U71">
        <v>7.19</v>
      </c>
      <c r="V71">
        <v>39.82</v>
      </c>
      <c r="W71">
        <v>62.48</v>
      </c>
      <c r="X71">
        <v>1E-3</v>
      </c>
      <c r="Y71">
        <v>20.8</v>
      </c>
      <c r="Z71">
        <v>1</v>
      </c>
      <c r="AA71">
        <v>64.78</v>
      </c>
      <c r="AC71" t="s">
        <v>128</v>
      </c>
      <c r="AD71" t="s">
        <v>127</v>
      </c>
      <c r="AE71" t="s">
        <v>128</v>
      </c>
      <c r="AF71">
        <v>3</v>
      </c>
      <c r="AG71">
        <v>6</v>
      </c>
      <c r="AH71">
        <v>6</v>
      </c>
      <c r="AI71">
        <v>6</v>
      </c>
      <c r="AJ71">
        <v>6</v>
      </c>
      <c r="AK71">
        <v>5</v>
      </c>
    </row>
    <row r="72" spans="1:37" x14ac:dyDescent="0.3">
      <c r="B72" t="s">
        <v>48</v>
      </c>
      <c r="C72">
        <v>121</v>
      </c>
      <c r="D72">
        <v>20</v>
      </c>
      <c r="E72">
        <v>15</v>
      </c>
      <c r="F72">
        <v>150</v>
      </c>
      <c r="G72">
        <v>22.479871531659267</v>
      </c>
      <c r="H72">
        <v>32</v>
      </c>
      <c r="I72">
        <v>65</v>
      </c>
      <c r="J72">
        <v>10</v>
      </c>
      <c r="K72" s="8">
        <v>6.22</v>
      </c>
      <c r="N72">
        <v>3.25</v>
      </c>
      <c r="O72" s="8">
        <v>8.4499999999999993</v>
      </c>
      <c r="R72" s="8">
        <v>0</v>
      </c>
      <c r="S72" t="s">
        <v>68</v>
      </c>
      <c r="T72">
        <v>47.65</v>
      </c>
      <c r="U72">
        <v>7.2</v>
      </c>
      <c r="V72">
        <v>39.729999999999997</v>
      </c>
      <c r="W72">
        <v>62.45</v>
      </c>
      <c r="X72">
        <v>1.07</v>
      </c>
      <c r="Y72">
        <v>20.100000000000001</v>
      </c>
      <c r="Z72">
        <v>1</v>
      </c>
      <c r="AA72">
        <v>64.78</v>
      </c>
      <c r="AC72" t="s">
        <v>128</v>
      </c>
      <c r="AD72" t="s">
        <v>127</v>
      </c>
      <c r="AE72" t="s">
        <v>128</v>
      </c>
      <c r="AF72">
        <v>6</v>
      </c>
      <c r="AG72">
        <v>7</v>
      </c>
      <c r="AH72">
        <v>7</v>
      </c>
      <c r="AI72">
        <v>8</v>
      </c>
      <c r="AJ72">
        <v>7</v>
      </c>
      <c r="AK72">
        <v>8</v>
      </c>
    </row>
    <row r="73" spans="1:37" x14ac:dyDescent="0.3">
      <c r="B73" t="s">
        <v>48</v>
      </c>
      <c r="C73">
        <v>121</v>
      </c>
      <c r="D73">
        <v>20</v>
      </c>
      <c r="E73">
        <v>15</v>
      </c>
      <c r="F73">
        <v>150</v>
      </c>
      <c r="G73">
        <v>22.479871531659267</v>
      </c>
      <c r="H73">
        <v>32</v>
      </c>
      <c r="I73">
        <v>65</v>
      </c>
      <c r="J73">
        <v>10</v>
      </c>
      <c r="K73" s="8">
        <v>6.29</v>
      </c>
      <c r="N73">
        <v>2.6</v>
      </c>
      <c r="O73" s="8">
        <v>7.76</v>
      </c>
      <c r="R73" s="8">
        <v>0</v>
      </c>
      <c r="S73" t="s">
        <v>68</v>
      </c>
      <c r="T73">
        <v>47.65</v>
      </c>
      <c r="U73">
        <v>7.2</v>
      </c>
      <c r="V73">
        <v>39.770000000000003</v>
      </c>
      <c r="W73">
        <v>62.49</v>
      </c>
      <c r="X73">
        <v>1.7</v>
      </c>
      <c r="Y73">
        <v>18.8</v>
      </c>
      <c r="Z73">
        <v>1</v>
      </c>
      <c r="AA73">
        <v>64.78</v>
      </c>
      <c r="AC73" t="s">
        <v>128</v>
      </c>
      <c r="AD73" t="s">
        <v>127</v>
      </c>
      <c r="AE73" t="s">
        <v>128</v>
      </c>
      <c r="AF73">
        <v>4</v>
      </c>
      <c r="AG73">
        <v>7</v>
      </c>
      <c r="AH73">
        <v>7</v>
      </c>
      <c r="AI73">
        <v>9</v>
      </c>
      <c r="AJ73">
        <v>6</v>
      </c>
      <c r="AK73">
        <v>7</v>
      </c>
    </row>
    <row r="74" spans="1:37" x14ac:dyDescent="0.3">
      <c r="B74" t="s">
        <v>49</v>
      </c>
      <c r="C74">
        <v>0</v>
      </c>
      <c r="D74">
        <v>0</v>
      </c>
      <c r="E74">
        <v>0</v>
      </c>
      <c r="F74">
        <v>150</v>
      </c>
      <c r="G74">
        <v>0</v>
      </c>
      <c r="H74">
        <v>32</v>
      </c>
      <c r="I74">
        <v>65</v>
      </c>
      <c r="J74">
        <v>10</v>
      </c>
      <c r="K74" s="8">
        <v>4.6399999999999997</v>
      </c>
      <c r="N74">
        <v>3.21</v>
      </c>
      <c r="O74" s="8">
        <v>8.9</v>
      </c>
      <c r="R74" s="10">
        <f>LOG10(243*(10^7))</f>
        <v>9.385606273598313</v>
      </c>
      <c r="S74" s="10" t="s">
        <v>97</v>
      </c>
      <c r="T74">
        <v>58.97</v>
      </c>
      <c r="U74">
        <v>8.6999999999999993</v>
      </c>
      <c r="V74">
        <v>45.62</v>
      </c>
      <c r="W74">
        <v>75.06</v>
      </c>
      <c r="X74">
        <v>0</v>
      </c>
      <c r="Y74">
        <v>54.3</v>
      </c>
      <c r="Z74">
        <v>0</v>
      </c>
      <c r="AA74">
        <v>66.83</v>
      </c>
      <c r="AC74" t="s">
        <v>143</v>
      </c>
      <c r="AD74" t="s">
        <v>69</v>
      </c>
      <c r="AE74" t="s">
        <v>203</v>
      </c>
      <c r="AF74">
        <v>3</v>
      </c>
      <c r="AG74">
        <v>2</v>
      </c>
      <c r="AH74">
        <v>1</v>
      </c>
      <c r="AI74" t="s">
        <v>213</v>
      </c>
      <c r="AJ74">
        <v>3</v>
      </c>
      <c r="AK74">
        <v>1</v>
      </c>
    </row>
    <row r="75" spans="1:37" x14ac:dyDescent="0.3">
      <c r="B75" t="s">
        <v>49</v>
      </c>
      <c r="C75">
        <v>0</v>
      </c>
      <c r="D75">
        <v>0</v>
      </c>
      <c r="E75">
        <v>0</v>
      </c>
      <c r="F75">
        <v>150</v>
      </c>
      <c r="G75">
        <v>0</v>
      </c>
      <c r="H75">
        <v>32</v>
      </c>
      <c r="I75">
        <v>65</v>
      </c>
      <c r="J75">
        <v>10</v>
      </c>
      <c r="K75" s="8">
        <v>5.0199999999999996</v>
      </c>
      <c r="N75">
        <v>3.5</v>
      </c>
      <c r="O75" s="8">
        <v>9.5</v>
      </c>
      <c r="R75" s="10">
        <f>LOG10(180*(10^7))</f>
        <v>9.2552725051033065</v>
      </c>
      <c r="S75" s="10" t="s">
        <v>97</v>
      </c>
      <c r="T75">
        <v>58.95</v>
      </c>
      <c r="U75">
        <v>8.7100000000000009</v>
      </c>
      <c r="V75">
        <v>45.61</v>
      </c>
      <c r="W75">
        <v>75.040000000000006</v>
      </c>
      <c r="X75">
        <v>0</v>
      </c>
      <c r="Y75">
        <v>55</v>
      </c>
      <c r="Z75">
        <v>-1</v>
      </c>
      <c r="AA75">
        <v>66.83</v>
      </c>
      <c r="AC75" t="s">
        <v>143</v>
      </c>
      <c r="AD75" t="s">
        <v>69</v>
      </c>
      <c r="AE75" t="s">
        <v>203</v>
      </c>
      <c r="AF75">
        <v>3</v>
      </c>
      <c r="AG75">
        <v>3</v>
      </c>
      <c r="AH75">
        <v>2</v>
      </c>
      <c r="AI75" t="s">
        <v>213</v>
      </c>
      <c r="AJ75">
        <v>1</v>
      </c>
      <c r="AK75">
        <v>1</v>
      </c>
    </row>
    <row r="76" spans="1:37" x14ac:dyDescent="0.3">
      <c r="B76" t="s">
        <v>49</v>
      </c>
      <c r="C76">
        <v>0</v>
      </c>
      <c r="D76">
        <v>0</v>
      </c>
      <c r="E76">
        <v>0</v>
      </c>
      <c r="F76">
        <v>150</v>
      </c>
      <c r="G76">
        <v>0</v>
      </c>
      <c r="H76">
        <v>32</v>
      </c>
      <c r="I76">
        <v>65</v>
      </c>
      <c r="J76">
        <v>10</v>
      </c>
      <c r="K76" s="8">
        <v>4.58</v>
      </c>
      <c r="N76">
        <v>3.5</v>
      </c>
      <c r="O76" s="8">
        <v>8.98</v>
      </c>
      <c r="R76" s="10">
        <f>LOG10(203*(10^7))</f>
        <v>9.3074960379132126</v>
      </c>
      <c r="S76" s="10" t="s">
        <v>97</v>
      </c>
      <c r="T76">
        <v>58.95</v>
      </c>
      <c r="U76">
        <v>8.6999999999999993</v>
      </c>
      <c r="V76">
        <v>45.58</v>
      </c>
      <c r="W76">
        <v>75.02</v>
      </c>
      <c r="X76">
        <v>0</v>
      </c>
      <c r="Y76">
        <v>55.2</v>
      </c>
      <c r="Z76">
        <v>0</v>
      </c>
      <c r="AA76">
        <v>66.83</v>
      </c>
      <c r="AC76" t="s">
        <v>143</v>
      </c>
      <c r="AD76" t="s">
        <v>69</v>
      </c>
      <c r="AE76" t="s">
        <v>203</v>
      </c>
      <c r="AF76">
        <v>4</v>
      </c>
      <c r="AG76">
        <v>2</v>
      </c>
      <c r="AH76">
        <v>2</v>
      </c>
      <c r="AI76" t="s">
        <v>213</v>
      </c>
      <c r="AJ76">
        <v>2</v>
      </c>
      <c r="AK76">
        <v>1</v>
      </c>
    </row>
    <row r="78" spans="1:37" x14ac:dyDescent="0.3">
      <c r="A78" t="s">
        <v>41</v>
      </c>
      <c r="B78" t="s">
        <v>36</v>
      </c>
      <c r="C78">
        <v>111</v>
      </c>
      <c r="D78">
        <v>20</v>
      </c>
      <c r="E78">
        <v>10</v>
      </c>
      <c r="F78">
        <v>150</v>
      </c>
      <c r="G78">
        <v>2.165699657285534</v>
      </c>
      <c r="H78">
        <v>32</v>
      </c>
      <c r="I78">
        <v>65</v>
      </c>
      <c r="J78">
        <v>0</v>
      </c>
      <c r="K78" s="8">
        <v>6.38</v>
      </c>
      <c r="N78">
        <v>9.5</v>
      </c>
      <c r="O78" s="8">
        <v>9.8000000000000007</v>
      </c>
      <c r="R78" s="8">
        <v>0</v>
      </c>
      <c r="S78" t="s">
        <v>127</v>
      </c>
      <c r="T78">
        <v>48.89</v>
      </c>
      <c r="U78">
        <v>8.08</v>
      </c>
      <c r="V78">
        <v>42.49</v>
      </c>
      <c r="W78">
        <v>65.28</v>
      </c>
      <c r="X78">
        <v>16.100000000000001</v>
      </c>
      <c r="Y78">
        <v>1.2</v>
      </c>
      <c r="Z78">
        <v>-1</v>
      </c>
      <c r="AA78">
        <v>58.43</v>
      </c>
      <c r="AC78" t="s">
        <v>128</v>
      </c>
      <c r="AD78" t="s">
        <v>127</v>
      </c>
      <c r="AE78" t="s">
        <v>128</v>
      </c>
      <c r="AF78">
        <v>7</v>
      </c>
      <c r="AG78">
        <v>7</v>
      </c>
      <c r="AH78">
        <v>6</v>
      </c>
      <c r="AI78">
        <v>7</v>
      </c>
      <c r="AJ78">
        <v>4</v>
      </c>
      <c r="AK78">
        <v>8</v>
      </c>
    </row>
    <row r="79" spans="1:37" x14ac:dyDescent="0.3">
      <c r="B79" t="s">
        <v>36</v>
      </c>
      <c r="C79">
        <v>111</v>
      </c>
      <c r="D79">
        <v>20</v>
      </c>
      <c r="E79">
        <v>10</v>
      </c>
      <c r="F79">
        <v>150</v>
      </c>
      <c r="G79">
        <v>2.165699657285534</v>
      </c>
      <c r="H79">
        <v>32</v>
      </c>
      <c r="I79">
        <v>65</v>
      </c>
      <c r="J79">
        <v>0</v>
      </c>
      <c r="K79" s="8">
        <v>6.51</v>
      </c>
      <c r="N79">
        <v>4.4000000000000004</v>
      </c>
      <c r="O79" s="8">
        <v>8.5</v>
      </c>
      <c r="R79" s="10">
        <f>LOG10(103*(10^1))</f>
        <v>3.012837224705172</v>
      </c>
      <c r="S79" s="10" t="s">
        <v>208</v>
      </c>
      <c r="T79">
        <v>48.7</v>
      </c>
      <c r="U79">
        <v>8.08</v>
      </c>
      <c r="V79">
        <v>42.19</v>
      </c>
      <c r="W79">
        <v>64.94</v>
      </c>
      <c r="X79">
        <v>16.600000000000001</v>
      </c>
      <c r="Y79">
        <v>1</v>
      </c>
      <c r="Z79">
        <v>-1</v>
      </c>
      <c r="AA79">
        <v>58.43</v>
      </c>
      <c r="AC79" t="s">
        <v>128</v>
      </c>
      <c r="AD79" t="s">
        <v>208</v>
      </c>
      <c r="AE79" t="s">
        <v>211</v>
      </c>
      <c r="AF79">
        <v>4</v>
      </c>
      <c r="AG79">
        <v>8</v>
      </c>
      <c r="AH79">
        <v>7</v>
      </c>
      <c r="AI79" t="s">
        <v>213</v>
      </c>
      <c r="AJ79">
        <v>5</v>
      </c>
      <c r="AK79">
        <v>7</v>
      </c>
    </row>
    <row r="80" spans="1:37" x14ac:dyDescent="0.3">
      <c r="B80" t="s">
        <v>36</v>
      </c>
      <c r="C80">
        <v>111</v>
      </c>
      <c r="D80">
        <v>20</v>
      </c>
      <c r="E80">
        <v>10</v>
      </c>
      <c r="F80">
        <v>150</v>
      </c>
      <c r="G80">
        <v>2.165699657285534</v>
      </c>
      <c r="H80">
        <v>32</v>
      </c>
      <c r="I80">
        <v>65</v>
      </c>
      <c r="J80">
        <v>0</v>
      </c>
      <c r="K80" s="8">
        <v>6.47</v>
      </c>
      <c r="N80">
        <v>5</v>
      </c>
      <c r="O80" s="8">
        <v>7.6</v>
      </c>
      <c r="R80" s="10">
        <f>LOG10(109*(10^1))</f>
        <v>3.0374264979406238</v>
      </c>
      <c r="S80" s="10" t="s">
        <v>208</v>
      </c>
      <c r="T80">
        <v>48.71</v>
      </c>
      <c r="U80">
        <v>8.07</v>
      </c>
      <c r="V80">
        <v>42.19</v>
      </c>
      <c r="W80">
        <v>64.94</v>
      </c>
      <c r="X80">
        <v>16.899999999999999</v>
      </c>
      <c r="Y80">
        <v>1</v>
      </c>
      <c r="Z80">
        <v>-1</v>
      </c>
      <c r="AA80">
        <v>58.43</v>
      </c>
      <c r="AC80" t="s">
        <v>128</v>
      </c>
      <c r="AD80" t="s">
        <v>208</v>
      </c>
      <c r="AE80" t="s">
        <v>211</v>
      </c>
      <c r="AF80">
        <v>5</v>
      </c>
      <c r="AG80">
        <v>7</v>
      </c>
      <c r="AH80">
        <v>8</v>
      </c>
      <c r="AI80" t="s">
        <v>213</v>
      </c>
      <c r="AJ80">
        <v>7</v>
      </c>
      <c r="AK80">
        <v>8</v>
      </c>
    </row>
    <row r="81" spans="2:37" x14ac:dyDescent="0.3">
      <c r="B81" t="s">
        <v>37</v>
      </c>
      <c r="C81">
        <v>111</v>
      </c>
      <c r="D81">
        <v>20</v>
      </c>
      <c r="E81">
        <v>10</v>
      </c>
      <c r="F81">
        <v>150</v>
      </c>
      <c r="G81">
        <v>2.165699657285534</v>
      </c>
      <c r="H81">
        <v>32</v>
      </c>
      <c r="I81">
        <v>65</v>
      </c>
      <c r="J81">
        <v>0</v>
      </c>
      <c r="K81" s="8">
        <v>6.83</v>
      </c>
      <c r="N81">
        <v>4.2</v>
      </c>
      <c r="O81" s="8">
        <v>7.3</v>
      </c>
      <c r="R81" s="10">
        <f>LOG10(123*(10^1))</f>
        <v>3.0899051114393981</v>
      </c>
      <c r="S81" s="10" t="s">
        <v>208</v>
      </c>
      <c r="T81">
        <v>52.34</v>
      </c>
      <c r="U81">
        <v>6.8</v>
      </c>
      <c r="V81">
        <v>39.840000000000003</v>
      </c>
      <c r="W81">
        <v>66.14</v>
      </c>
      <c r="X81">
        <v>13.4</v>
      </c>
      <c r="Y81">
        <v>1.5</v>
      </c>
      <c r="Z81">
        <v>-2</v>
      </c>
      <c r="AA81">
        <v>59.33</v>
      </c>
      <c r="AC81" t="s">
        <v>128</v>
      </c>
      <c r="AD81" t="s">
        <v>208</v>
      </c>
      <c r="AE81" t="s">
        <v>211</v>
      </c>
      <c r="AF81">
        <v>4</v>
      </c>
      <c r="AG81">
        <v>5</v>
      </c>
      <c r="AH81">
        <v>5</v>
      </c>
      <c r="AI81" t="s">
        <v>213</v>
      </c>
      <c r="AJ81">
        <v>7</v>
      </c>
      <c r="AK81">
        <v>5</v>
      </c>
    </row>
    <row r="82" spans="2:37" x14ac:dyDescent="0.3">
      <c r="B82" t="s">
        <v>37</v>
      </c>
      <c r="C82">
        <v>111</v>
      </c>
      <c r="D82">
        <v>20</v>
      </c>
      <c r="E82">
        <v>10</v>
      </c>
      <c r="F82">
        <v>150</v>
      </c>
      <c r="G82">
        <v>2.165699657285534</v>
      </c>
      <c r="H82">
        <v>32</v>
      </c>
      <c r="I82">
        <v>65</v>
      </c>
      <c r="J82">
        <v>0</v>
      </c>
      <c r="K82" s="8">
        <v>6.79</v>
      </c>
      <c r="N82">
        <v>3.5</v>
      </c>
      <c r="O82" s="8">
        <v>7.5</v>
      </c>
      <c r="R82" s="10">
        <f>LOG10(135*(10^1))</f>
        <v>3.1303337684950061</v>
      </c>
      <c r="S82" s="10" t="s">
        <v>208</v>
      </c>
      <c r="T82">
        <v>52.32</v>
      </c>
      <c r="U82">
        <v>6.79</v>
      </c>
      <c r="V82">
        <v>39.950000000000003</v>
      </c>
      <c r="W82">
        <v>66.180000000000007</v>
      </c>
      <c r="X82">
        <v>13.5</v>
      </c>
      <c r="Y82">
        <v>1.6</v>
      </c>
      <c r="Z82">
        <v>-2</v>
      </c>
      <c r="AA82">
        <v>59.33</v>
      </c>
      <c r="AC82" t="s">
        <v>128</v>
      </c>
      <c r="AD82" t="s">
        <v>208</v>
      </c>
      <c r="AE82" t="s">
        <v>211</v>
      </c>
      <c r="AF82">
        <v>6</v>
      </c>
      <c r="AG82">
        <v>8</v>
      </c>
      <c r="AH82">
        <v>8</v>
      </c>
      <c r="AI82" t="s">
        <v>213</v>
      </c>
      <c r="AJ82">
        <v>5</v>
      </c>
      <c r="AK82">
        <v>4</v>
      </c>
    </row>
    <row r="83" spans="2:37" x14ac:dyDescent="0.3">
      <c r="B83" t="s">
        <v>37</v>
      </c>
      <c r="C83">
        <v>111</v>
      </c>
      <c r="D83">
        <v>20</v>
      </c>
      <c r="E83">
        <v>10</v>
      </c>
      <c r="F83">
        <v>150</v>
      </c>
      <c r="G83">
        <v>2.165699657285534</v>
      </c>
      <c r="H83">
        <v>32</v>
      </c>
      <c r="I83">
        <v>65</v>
      </c>
      <c r="J83">
        <v>0</v>
      </c>
      <c r="K83" s="8">
        <v>6.74</v>
      </c>
      <c r="N83">
        <v>3.5</v>
      </c>
      <c r="O83" s="8">
        <v>6.2</v>
      </c>
      <c r="R83" s="10">
        <f>LOG10(146*(10^1))</f>
        <v>3.1643528557844371</v>
      </c>
      <c r="S83" s="10" t="s">
        <v>208</v>
      </c>
      <c r="T83">
        <v>52.33</v>
      </c>
      <c r="U83">
        <v>6.8</v>
      </c>
      <c r="V83">
        <v>39.880000000000003</v>
      </c>
      <c r="W83">
        <v>66.14</v>
      </c>
      <c r="X83">
        <v>13.9</v>
      </c>
      <c r="Y83">
        <v>1.5</v>
      </c>
      <c r="Z83">
        <v>-4</v>
      </c>
      <c r="AA83">
        <v>59.33</v>
      </c>
      <c r="AC83" t="s">
        <v>128</v>
      </c>
      <c r="AD83" t="s">
        <v>208</v>
      </c>
      <c r="AE83" t="s">
        <v>211</v>
      </c>
      <c r="AF83">
        <v>7</v>
      </c>
      <c r="AG83">
        <v>4</v>
      </c>
      <c r="AH83">
        <v>6</v>
      </c>
      <c r="AI83" t="s">
        <v>213</v>
      </c>
      <c r="AJ83">
        <v>4</v>
      </c>
      <c r="AK83">
        <v>5</v>
      </c>
    </row>
    <row r="84" spans="2:37" x14ac:dyDescent="0.3">
      <c r="B84" t="s">
        <v>38</v>
      </c>
      <c r="C84">
        <v>111</v>
      </c>
      <c r="D84">
        <v>20</v>
      </c>
      <c r="E84">
        <v>10</v>
      </c>
      <c r="F84">
        <v>150</v>
      </c>
      <c r="G84">
        <v>2.165699657285534</v>
      </c>
      <c r="H84">
        <v>32</v>
      </c>
      <c r="I84">
        <v>65</v>
      </c>
      <c r="J84">
        <v>10</v>
      </c>
      <c r="K84" s="8">
        <v>6.1</v>
      </c>
      <c r="N84">
        <v>3.2</v>
      </c>
      <c r="O84" s="8">
        <v>5.3</v>
      </c>
      <c r="R84" s="10">
        <f>LOG10(153*(10^1))</f>
        <v>3.1846914308175989</v>
      </c>
      <c r="S84" s="10" t="s">
        <v>208</v>
      </c>
      <c r="T84">
        <v>47.31</v>
      </c>
      <c r="U84">
        <v>8.91</v>
      </c>
      <c r="V84">
        <v>40.619999999999997</v>
      </c>
      <c r="W84">
        <v>62.99</v>
      </c>
      <c r="X84">
        <v>11.2</v>
      </c>
      <c r="Y84">
        <v>3</v>
      </c>
      <c r="Z84">
        <v>-9</v>
      </c>
      <c r="AA84">
        <v>57.77</v>
      </c>
      <c r="AC84" t="s">
        <v>128</v>
      </c>
      <c r="AD84" t="s">
        <v>208</v>
      </c>
      <c r="AE84" t="s">
        <v>211</v>
      </c>
      <c r="AF84">
        <v>5</v>
      </c>
      <c r="AG84">
        <v>4</v>
      </c>
      <c r="AH84">
        <v>5</v>
      </c>
      <c r="AI84" t="s">
        <v>213</v>
      </c>
      <c r="AJ84">
        <v>5</v>
      </c>
      <c r="AK84">
        <v>8</v>
      </c>
    </row>
    <row r="85" spans="2:37" x14ac:dyDescent="0.3">
      <c r="B85" t="s">
        <v>38</v>
      </c>
      <c r="C85">
        <v>111</v>
      </c>
      <c r="D85">
        <v>20</v>
      </c>
      <c r="E85">
        <v>10</v>
      </c>
      <c r="F85">
        <v>150</v>
      </c>
      <c r="G85">
        <v>2.165699657285534</v>
      </c>
      <c r="H85">
        <v>32</v>
      </c>
      <c r="I85">
        <v>65</v>
      </c>
      <c r="J85">
        <v>10</v>
      </c>
      <c r="K85" s="8">
        <v>6.11</v>
      </c>
      <c r="N85">
        <v>3.6</v>
      </c>
      <c r="O85" s="8">
        <v>5.8</v>
      </c>
      <c r="R85" s="10">
        <f>LOG10(143*(10^1))</f>
        <v>3.1553360374650619</v>
      </c>
      <c r="S85" s="10" t="s">
        <v>208</v>
      </c>
      <c r="T85">
        <v>47.29</v>
      </c>
      <c r="U85">
        <v>8.86</v>
      </c>
      <c r="V85">
        <v>40.99</v>
      </c>
      <c r="W85">
        <v>63.2</v>
      </c>
      <c r="X85">
        <v>16.100000000000001</v>
      </c>
      <c r="Y85">
        <v>1.3</v>
      </c>
      <c r="Z85">
        <v>-2</v>
      </c>
      <c r="AA85">
        <v>57.77</v>
      </c>
      <c r="AC85" t="s">
        <v>128</v>
      </c>
      <c r="AD85" t="s">
        <v>208</v>
      </c>
      <c r="AE85" t="s">
        <v>211</v>
      </c>
      <c r="AF85">
        <v>6</v>
      </c>
      <c r="AG85">
        <v>8</v>
      </c>
      <c r="AH85">
        <v>8</v>
      </c>
      <c r="AI85" t="s">
        <v>213</v>
      </c>
      <c r="AJ85">
        <v>8</v>
      </c>
      <c r="AK85">
        <v>7</v>
      </c>
    </row>
    <row r="86" spans="2:37" x14ac:dyDescent="0.3">
      <c r="B86" t="s">
        <v>38</v>
      </c>
      <c r="C86">
        <v>111</v>
      </c>
      <c r="D86">
        <v>20</v>
      </c>
      <c r="E86">
        <v>10</v>
      </c>
      <c r="F86">
        <v>150</v>
      </c>
      <c r="G86">
        <v>2.165699657285534</v>
      </c>
      <c r="H86">
        <v>32</v>
      </c>
      <c r="I86">
        <v>65</v>
      </c>
      <c r="J86">
        <v>10</v>
      </c>
      <c r="K86" s="8">
        <v>6.36</v>
      </c>
      <c r="N86">
        <v>2.5</v>
      </c>
      <c r="O86" s="8">
        <v>5.3</v>
      </c>
      <c r="R86" s="10">
        <f>LOG10(188*(10^1))</f>
        <v>3.27415784926368</v>
      </c>
      <c r="S86" s="10" t="s">
        <v>208</v>
      </c>
      <c r="T86">
        <v>47.3</v>
      </c>
      <c r="U86">
        <v>8.85</v>
      </c>
      <c r="V86">
        <v>40.99</v>
      </c>
      <c r="W86">
        <v>63.21</v>
      </c>
      <c r="X86">
        <v>14.7</v>
      </c>
      <c r="Y86">
        <v>1.9</v>
      </c>
      <c r="Z86">
        <v>-5</v>
      </c>
      <c r="AA86">
        <v>57.77</v>
      </c>
      <c r="AC86" t="s">
        <v>128</v>
      </c>
      <c r="AD86" t="s">
        <v>208</v>
      </c>
      <c r="AE86" t="s">
        <v>211</v>
      </c>
      <c r="AF86">
        <v>4</v>
      </c>
      <c r="AG86">
        <v>4</v>
      </c>
      <c r="AH86">
        <v>7</v>
      </c>
      <c r="AI86" t="s">
        <v>213</v>
      </c>
      <c r="AJ86">
        <v>6</v>
      </c>
      <c r="AK86">
        <v>5</v>
      </c>
    </row>
    <row r="87" spans="2:37" x14ac:dyDescent="0.3">
      <c r="B87" t="s">
        <v>39</v>
      </c>
      <c r="C87">
        <v>0</v>
      </c>
      <c r="D87">
        <v>0</v>
      </c>
      <c r="E87">
        <v>0</v>
      </c>
      <c r="F87">
        <v>150</v>
      </c>
      <c r="G87">
        <v>0</v>
      </c>
      <c r="H87">
        <v>32</v>
      </c>
      <c r="I87">
        <v>65</v>
      </c>
      <c r="J87">
        <v>0</v>
      </c>
      <c r="K87" s="8">
        <v>6.57</v>
      </c>
      <c r="N87">
        <v>7.5</v>
      </c>
      <c r="O87" s="8">
        <v>4.3</v>
      </c>
      <c r="R87" s="8">
        <f>LOG10(157*(10^2))</f>
        <v>4.195899652409234</v>
      </c>
      <c r="S87" t="s">
        <v>127</v>
      </c>
      <c r="T87">
        <v>48.72</v>
      </c>
      <c r="U87">
        <v>8.8800000000000008</v>
      </c>
      <c r="V87">
        <v>44.4</v>
      </c>
      <c r="W87">
        <v>66.510000000000005</v>
      </c>
      <c r="X87">
        <v>19.2</v>
      </c>
      <c r="Y87">
        <v>0.2</v>
      </c>
      <c r="Z87">
        <v>-5</v>
      </c>
      <c r="AA87">
        <v>55.11</v>
      </c>
      <c r="AC87" t="s">
        <v>128</v>
      </c>
      <c r="AD87" t="s">
        <v>125</v>
      </c>
      <c r="AE87" t="s">
        <v>128</v>
      </c>
      <c r="AF87">
        <v>6</v>
      </c>
      <c r="AG87">
        <v>6</v>
      </c>
      <c r="AH87">
        <v>8</v>
      </c>
      <c r="AI87">
        <v>8</v>
      </c>
      <c r="AJ87">
        <v>5</v>
      </c>
      <c r="AK87">
        <v>6</v>
      </c>
    </row>
    <row r="88" spans="2:37" x14ac:dyDescent="0.3">
      <c r="B88" t="s">
        <v>39</v>
      </c>
      <c r="C88">
        <v>0</v>
      </c>
      <c r="D88">
        <v>0</v>
      </c>
      <c r="E88">
        <v>0</v>
      </c>
      <c r="F88">
        <v>150</v>
      </c>
      <c r="G88">
        <v>0</v>
      </c>
      <c r="H88">
        <v>32</v>
      </c>
      <c r="I88">
        <v>65</v>
      </c>
      <c r="J88">
        <v>0</v>
      </c>
      <c r="K88" s="8">
        <v>6.54</v>
      </c>
      <c r="N88">
        <v>6.5</v>
      </c>
      <c r="O88" s="8">
        <v>4.5</v>
      </c>
      <c r="R88" s="8">
        <f>LOG10(166*(10^2))</f>
        <v>4.220108088040055</v>
      </c>
      <c r="S88" t="s">
        <v>127</v>
      </c>
      <c r="T88">
        <v>48.71</v>
      </c>
      <c r="U88">
        <v>8.9</v>
      </c>
      <c r="V88">
        <v>44.4</v>
      </c>
      <c r="W88">
        <v>66.5</v>
      </c>
      <c r="X88">
        <v>19.2</v>
      </c>
      <c r="Y88">
        <v>0.1</v>
      </c>
      <c r="Z88">
        <v>-10</v>
      </c>
      <c r="AA88">
        <v>55.11</v>
      </c>
      <c r="AC88" t="s">
        <v>128</v>
      </c>
      <c r="AD88" t="s">
        <v>125</v>
      </c>
      <c r="AE88" t="s">
        <v>128</v>
      </c>
      <c r="AF88">
        <v>7</v>
      </c>
      <c r="AG88">
        <v>6</v>
      </c>
      <c r="AH88">
        <v>7</v>
      </c>
      <c r="AI88">
        <v>7</v>
      </c>
      <c r="AJ88">
        <v>8</v>
      </c>
      <c r="AK88">
        <v>8</v>
      </c>
    </row>
    <row r="89" spans="2:37" x14ac:dyDescent="0.3">
      <c r="B89" t="s">
        <v>39</v>
      </c>
      <c r="C89">
        <v>0</v>
      </c>
      <c r="D89">
        <v>0</v>
      </c>
      <c r="E89">
        <v>0</v>
      </c>
      <c r="F89">
        <v>150</v>
      </c>
      <c r="G89">
        <v>0</v>
      </c>
      <c r="H89">
        <v>32</v>
      </c>
      <c r="I89">
        <v>65</v>
      </c>
      <c r="J89">
        <v>0</v>
      </c>
      <c r="K89" s="8">
        <v>6.42</v>
      </c>
      <c r="N89">
        <v>7.4</v>
      </c>
      <c r="O89" s="8">
        <v>4.2</v>
      </c>
      <c r="R89" s="8">
        <f>LOG10(169*(10^2))</f>
        <v>4.2278867046136739</v>
      </c>
      <c r="S89" t="s">
        <v>127</v>
      </c>
      <c r="T89">
        <v>48.71</v>
      </c>
      <c r="U89">
        <v>8.8800000000000008</v>
      </c>
      <c r="V89">
        <v>44.34</v>
      </c>
      <c r="W89">
        <v>66.47</v>
      </c>
      <c r="X89">
        <v>19.2</v>
      </c>
      <c r="Y89">
        <v>0.1</v>
      </c>
      <c r="Z89">
        <v>-9</v>
      </c>
      <c r="AA89">
        <v>55.11</v>
      </c>
      <c r="AC89" t="s">
        <v>128</v>
      </c>
      <c r="AD89" t="s">
        <v>125</v>
      </c>
      <c r="AE89" t="s">
        <v>128</v>
      </c>
      <c r="AF89">
        <v>8</v>
      </c>
      <c r="AG89">
        <v>5</v>
      </c>
      <c r="AH89">
        <v>8</v>
      </c>
      <c r="AI89">
        <v>8</v>
      </c>
      <c r="AJ89">
        <v>7</v>
      </c>
      <c r="AK89">
        <v>7</v>
      </c>
    </row>
    <row r="90" spans="2:37" x14ac:dyDescent="0.3">
      <c r="B90" t="s">
        <v>40</v>
      </c>
      <c r="C90">
        <v>111</v>
      </c>
      <c r="D90">
        <v>20</v>
      </c>
      <c r="E90">
        <v>10</v>
      </c>
      <c r="F90">
        <v>150</v>
      </c>
      <c r="G90">
        <v>2.165699657285534</v>
      </c>
      <c r="H90">
        <v>32</v>
      </c>
      <c r="I90">
        <v>65</v>
      </c>
      <c r="J90">
        <v>10</v>
      </c>
      <c r="K90" s="8">
        <v>6.95</v>
      </c>
      <c r="N90">
        <v>7.2</v>
      </c>
      <c r="O90" s="8">
        <v>8.9</v>
      </c>
      <c r="R90" s="10">
        <f>LOG10(88*(10^2))</f>
        <v>3.9444826721501687</v>
      </c>
      <c r="S90" s="10" t="s">
        <v>208</v>
      </c>
      <c r="T90">
        <v>49.88</v>
      </c>
      <c r="U90">
        <v>8.7899999999999991</v>
      </c>
      <c r="V90">
        <v>43.23</v>
      </c>
      <c r="W90">
        <v>66.59</v>
      </c>
      <c r="X90">
        <v>2.0499999999999998</v>
      </c>
      <c r="Y90">
        <v>4.4000000000000004</v>
      </c>
      <c r="Z90">
        <v>-12</v>
      </c>
      <c r="AA90">
        <v>54.88</v>
      </c>
      <c r="AC90" t="s">
        <v>128</v>
      </c>
      <c r="AD90" t="s">
        <v>208</v>
      </c>
      <c r="AE90" t="s">
        <v>211</v>
      </c>
      <c r="AF90">
        <v>5</v>
      </c>
      <c r="AG90">
        <v>6</v>
      </c>
      <c r="AH90">
        <v>5</v>
      </c>
      <c r="AI90">
        <v>5</v>
      </c>
      <c r="AJ90">
        <v>5</v>
      </c>
      <c r="AK90">
        <v>5</v>
      </c>
    </row>
    <row r="91" spans="2:37" x14ac:dyDescent="0.3">
      <c r="B91" t="s">
        <v>40</v>
      </c>
      <c r="C91">
        <v>111</v>
      </c>
      <c r="D91">
        <v>20</v>
      </c>
      <c r="E91">
        <v>10</v>
      </c>
      <c r="F91">
        <v>150</v>
      </c>
      <c r="G91">
        <v>2.165699657285534</v>
      </c>
      <c r="H91">
        <v>32</v>
      </c>
      <c r="I91">
        <v>65</v>
      </c>
      <c r="J91">
        <v>10</v>
      </c>
      <c r="K91" s="8">
        <v>6.9</v>
      </c>
      <c r="N91">
        <v>5.5</v>
      </c>
      <c r="O91" s="8">
        <v>6.9</v>
      </c>
      <c r="R91" s="10">
        <f>LOG10(96*(10^2))</f>
        <v>3.9822712330395684</v>
      </c>
      <c r="S91" s="10" t="s">
        <v>208</v>
      </c>
      <c r="T91">
        <v>49.76</v>
      </c>
      <c r="U91">
        <v>8.83</v>
      </c>
      <c r="V91">
        <v>43.15</v>
      </c>
      <c r="W91">
        <v>66.45</v>
      </c>
      <c r="X91">
        <v>2.11</v>
      </c>
      <c r="Y91">
        <v>4.4000000000000004</v>
      </c>
      <c r="Z91">
        <v>-16</v>
      </c>
      <c r="AA91">
        <v>54.88</v>
      </c>
      <c r="AC91" t="s">
        <v>128</v>
      </c>
      <c r="AD91" t="s">
        <v>208</v>
      </c>
      <c r="AE91" t="s">
        <v>211</v>
      </c>
      <c r="AF91">
        <v>7</v>
      </c>
      <c r="AG91">
        <v>5</v>
      </c>
      <c r="AH91">
        <v>6</v>
      </c>
      <c r="AI91">
        <v>6</v>
      </c>
      <c r="AJ91">
        <v>4</v>
      </c>
      <c r="AK91">
        <v>8</v>
      </c>
    </row>
    <row r="92" spans="2:37" x14ac:dyDescent="0.3">
      <c r="B92" t="s">
        <v>40</v>
      </c>
      <c r="C92">
        <v>111</v>
      </c>
      <c r="D92">
        <v>20</v>
      </c>
      <c r="E92">
        <v>10</v>
      </c>
      <c r="F92">
        <v>150</v>
      </c>
      <c r="G92">
        <v>2.165699657285534</v>
      </c>
      <c r="H92">
        <v>32</v>
      </c>
      <c r="I92">
        <v>65</v>
      </c>
      <c r="J92">
        <v>10</v>
      </c>
      <c r="K92" s="8">
        <v>6.94</v>
      </c>
      <c r="N92">
        <v>6.5</v>
      </c>
      <c r="O92" s="8">
        <v>8.1</v>
      </c>
      <c r="R92" s="10">
        <f>LOG10(108*(10^2))</f>
        <v>4.0334237554869494</v>
      </c>
      <c r="S92" s="10" t="s">
        <v>208</v>
      </c>
      <c r="T92">
        <v>49.77</v>
      </c>
      <c r="U92">
        <v>8.81</v>
      </c>
      <c r="V92">
        <v>43.16</v>
      </c>
      <c r="W92">
        <v>66.459999999999994</v>
      </c>
      <c r="X92">
        <v>2.15</v>
      </c>
      <c r="Y92">
        <v>4.5</v>
      </c>
      <c r="Z92">
        <v>-20</v>
      </c>
      <c r="AA92">
        <v>54.88</v>
      </c>
      <c r="AC92" t="s">
        <v>128</v>
      </c>
      <c r="AD92" t="s">
        <v>208</v>
      </c>
      <c r="AE92" t="s">
        <v>211</v>
      </c>
      <c r="AF92">
        <v>5</v>
      </c>
      <c r="AG92">
        <v>7</v>
      </c>
      <c r="AH92">
        <v>8</v>
      </c>
      <c r="AI92">
        <v>8</v>
      </c>
      <c r="AJ92">
        <v>8</v>
      </c>
      <c r="AK92">
        <v>5</v>
      </c>
    </row>
    <row r="93" spans="2:37" x14ac:dyDescent="0.3">
      <c r="B93" t="s">
        <v>138</v>
      </c>
      <c r="C93">
        <v>0</v>
      </c>
      <c r="D93">
        <v>0</v>
      </c>
      <c r="E93">
        <v>0</v>
      </c>
      <c r="F93">
        <v>150</v>
      </c>
      <c r="G93">
        <v>0</v>
      </c>
      <c r="H93">
        <v>32</v>
      </c>
      <c r="I93">
        <v>65</v>
      </c>
      <c r="J93">
        <v>10</v>
      </c>
      <c r="K93" s="8">
        <v>4.51</v>
      </c>
      <c r="N93">
        <v>4.3</v>
      </c>
      <c r="O93" s="8">
        <v>14.8</v>
      </c>
      <c r="R93" s="10">
        <f>LOG10(235*(10^7))</f>
        <v>9.3710678622717367</v>
      </c>
      <c r="S93" s="10" t="s">
        <v>69</v>
      </c>
      <c r="T93">
        <v>59.51</v>
      </c>
      <c r="U93">
        <v>10.95</v>
      </c>
      <c r="V93">
        <v>52.79</v>
      </c>
      <c r="W93">
        <v>80.3</v>
      </c>
      <c r="X93">
        <v>0</v>
      </c>
      <c r="Y93">
        <v>68.099999999999994</v>
      </c>
      <c r="Z93">
        <v>1</v>
      </c>
      <c r="AA93">
        <v>66.430000000000007</v>
      </c>
      <c r="AC93" t="s">
        <v>143</v>
      </c>
      <c r="AD93" t="s">
        <v>69</v>
      </c>
      <c r="AE93" t="s">
        <v>203</v>
      </c>
      <c r="AF93">
        <v>3</v>
      </c>
      <c r="AG93">
        <v>3</v>
      </c>
      <c r="AH93">
        <v>1</v>
      </c>
      <c r="AI93" t="s">
        <v>213</v>
      </c>
      <c r="AJ93">
        <v>3</v>
      </c>
      <c r="AK93">
        <v>1</v>
      </c>
    </row>
    <row r="94" spans="2:37" x14ac:dyDescent="0.3">
      <c r="B94" t="s">
        <v>138</v>
      </c>
      <c r="C94">
        <v>0</v>
      </c>
      <c r="D94">
        <v>0</v>
      </c>
      <c r="E94">
        <v>0</v>
      </c>
      <c r="F94">
        <v>150</v>
      </c>
      <c r="G94">
        <v>0</v>
      </c>
      <c r="H94">
        <v>32</v>
      </c>
      <c r="I94">
        <v>65</v>
      </c>
      <c r="J94">
        <v>10</v>
      </c>
      <c r="K94" s="8">
        <v>4.8</v>
      </c>
      <c r="N94">
        <v>3.2</v>
      </c>
      <c r="O94" s="8">
        <v>16.8</v>
      </c>
      <c r="R94" s="10">
        <f>LOG10(35*(10^7))</f>
        <v>8.5440680443502757</v>
      </c>
      <c r="S94" s="10" t="s">
        <v>69</v>
      </c>
      <c r="T94">
        <v>59.46</v>
      </c>
      <c r="U94">
        <v>10.91</v>
      </c>
      <c r="V94">
        <v>52.77</v>
      </c>
      <c r="W94">
        <v>80.25</v>
      </c>
      <c r="X94">
        <v>0</v>
      </c>
      <c r="Y94">
        <v>68.599999999999994</v>
      </c>
      <c r="Z94">
        <v>0</v>
      </c>
      <c r="AA94">
        <v>66.430000000000007</v>
      </c>
      <c r="AC94" t="s">
        <v>143</v>
      </c>
      <c r="AD94" t="s">
        <v>69</v>
      </c>
      <c r="AE94" t="s">
        <v>203</v>
      </c>
      <c r="AF94">
        <v>2</v>
      </c>
      <c r="AG94">
        <v>2</v>
      </c>
      <c r="AH94">
        <v>2</v>
      </c>
      <c r="AI94" t="s">
        <v>213</v>
      </c>
      <c r="AJ94">
        <v>2</v>
      </c>
      <c r="AK94">
        <v>2</v>
      </c>
    </row>
    <row r="95" spans="2:37" x14ac:dyDescent="0.3">
      <c r="B95" t="s">
        <v>138</v>
      </c>
      <c r="C95">
        <v>0</v>
      </c>
      <c r="D95">
        <v>0</v>
      </c>
      <c r="E95">
        <v>0</v>
      </c>
      <c r="F95">
        <v>150</v>
      </c>
      <c r="G95">
        <v>0</v>
      </c>
      <c r="H95">
        <v>32</v>
      </c>
      <c r="I95">
        <v>65</v>
      </c>
      <c r="J95">
        <v>10</v>
      </c>
      <c r="K95" s="8">
        <v>4.6900000000000004</v>
      </c>
      <c r="N95">
        <v>7.8</v>
      </c>
      <c r="O95" s="8">
        <v>10.9</v>
      </c>
      <c r="R95" s="10">
        <f>LOG10(145*(10^7))</f>
        <v>9.1613680022349744</v>
      </c>
      <c r="S95" s="10" t="s">
        <v>69</v>
      </c>
      <c r="T95">
        <v>59.44</v>
      </c>
      <c r="U95">
        <v>10.89</v>
      </c>
      <c r="V95">
        <v>52.69</v>
      </c>
      <c r="W95">
        <v>80.180000000000007</v>
      </c>
      <c r="X95">
        <v>0</v>
      </c>
      <c r="Y95">
        <v>69</v>
      </c>
      <c r="Z95">
        <v>0</v>
      </c>
      <c r="AA95">
        <v>66.430000000000007</v>
      </c>
      <c r="AC95" t="s">
        <v>143</v>
      </c>
      <c r="AD95" t="s">
        <v>69</v>
      </c>
      <c r="AE95" t="s">
        <v>203</v>
      </c>
      <c r="AF95">
        <v>1</v>
      </c>
      <c r="AG95">
        <v>1</v>
      </c>
      <c r="AH95">
        <v>1</v>
      </c>
      <c r="AI95" t="s">
        <v>213</v>
      </c>
      <c r="AJ95">
        <v>3</v>
      </c>
      <c r="AK95">
        <v>2</v>
      </c>
    </row>
    <row r="97" spans="1:37" x14ac:dyDescent="0.3">
      <c r="A97" t="s">
        <v>42</v>
      </c>
      <c r="B97" t="s">
        <v>43</v>
      </c>
      <c r="C97">
        <v>111</v>
      </c>
      <c r="D97">
        <v>20</v>
      </c>
      <c r="E97">
        <v>20</v>
      </c>
      <c r="F97">
        <v>150</v>
      </c>
      <c r="G97">
        <v>3.7842329580757164</v>
      </c>
      <c r="H97">
        <v>32</v>
      </c>
      <c r="I97">
        <v>65</v>
      </c>
      <c r="J97">
        <v>0</v>
      </c>
      <c r="K97" s="8">
        <v>6.26</v>
      </c>
      <c r="N97">
        <v>4.5</v>
      </c>
      <c r="O97" s="8">
        <v>5.5</v>
      </c>
      <c r="R97" s="10">
        <f>LOG10(152*(10^1))</f>
        <v>3.1818435879447726</v>
      </c>
      <c r="S97" s="10" t="s">
        <v>208</v>
      </c>
      <c r="T97">
        <v>49.95</v>
      </c>
      <c r="U97">
        <v>9.52</v>
      </c>
      <c r="V97">
        <v>46.99</v>
      </c>
      <c r="W97">
        <v>69.239999999999995</v>
      </c>
      <c r="X97">
        <v>13.7</v>
      </c>
      <c r="Y97">
        <v>2</v>
      </c>
      <c r="Z97">
        <v>-2</v>
      </c>
      <c r="AA97">
        <v>63.31</v>
      </c>
      <c r="AC97" t="s">
        <v>128</v>
      </c>
      <c r="AD97" t="s">
        <v>208</v>
      </c>
      <c r="AE97" t="s">
        <v>211</v>
      </c>
      <c r="AF97">
        <v>7</v>
      </c>
      <c r="AG97">
        <v>8</v>
      </c>
      <c r="AH97">
        <v>8</v>
      </c>
      <c r="AI97" t="s">
        <v>213</v>
      </c>
      <c r="AJ97">
        <v>5</v>
      </c>
      <c r="AK97">
        <v>1</v>
      </c>
    </row>
    <row r="98" spans="1:37" x14ac:dyDescent="0.3">
      <c r="B98" t="s">
        <v>43</v>
      </c>
      <c r="C98">
        <v>111</v>
      </c>
      <c r="D98">
        <v>20</v>
      </c>
      <c r="E98">
        <v>20</v>
      </c>
      <c r="F98">
        <v>150</v>
      </c>
      <c r="G98">
        <v>3.7842329580757164</v>
      </c>
      <c r="H98">
        <v>32</v>
      </c>
      <c r="I98">
        <v>65</v>
      </c>
      <c r="J98">
        <v>0</v>
      </c>
      <c r="K98" s="8">
        <v>6.13</v>
      </c>
      <c r="N98">
        <v>3.5</v>
      </c>
      <c r="O98" s="8">
        <v>6.5</v>
      </c>
      <c r="R98" s="8">
        <v>0</v>
      </c>
      <c r="S98" t="s">
        <v>68</v>
      </c>
      <c r="T98">
        <v>49.97</v>
      </c>
      <c r="U98">
        <v>9.52</v>
      </c>
      <c r="V98">
        <v>46.98</v>
      </c>
      <c r="W98">
        <v>69.239999999999995</v>
      </c>
      <c r="X98">
        <v>13.6</v>
      </c>
      <c r="Y98">
        <v>2</v>
      </c>
      <c r="Z98">
        <v>-4</v>
      </c>
      <c r="AA98">
        <v>63.31</v>
      </c>
      <c r="AC98" t="s">
        <v>128</v>
      </c>
      <c r="AD98" t="s">
        <v>127</v>
      </c>
      <c r="AE98" t="s">
        <v>128</v>
      </c>
      <c r="AF98">
        <v>8</v>
      </c>
      <c r="AG98">
        <v>7</v>
      </c>
      <c r="AH98">
        <v>7</v>
      </c>
      <c r="AI98">
        <v>5</v>
      </c>
      <c r="AJ98">
        <v>7</v>
      </c>
      <c r="AK98">
        <v>5</v>
      </c>
    </row>
    <row r="99" spans="1:37" x14ac:dyDescent="0.3">
      <c r="B99" t="s">
        <v>43</v>
      </c>
      <c r="C99">
        <v>111</v>
      </c>
      <c r="D99">
        <v>20</v>
      </c>
      <c r="E99">
        <v>20</v>
      </c>
      <c r="F99">
        <v>150</v>
      </c>
      <c r="G99">
        <v>3.7842329580757164</v>
      </c>
      <c r="H99">
        <v>32</v>
      </c>
      <c r="I99">
        <v>65</v>
      </c>
      <c r="J99">
        <v>0</v>
      </c>
      <c r="K99" s="8">
        <v>6.2</v>
      </c>
      <c r="N99">
        <v>3.5</v>
      </c>
      <c r="O99" s="8">
        <v>4</v>
      </c>
      <c r="R99" s="10">
        <f>LOG10(209*(10^1))</f>
        <v>3.3201462861110542</v>
      </c>
      <c r="S99" s="10" t="s">
        <v>208</v>
      </c>
      <c r="T99">
        <v>49.97</v>
      </c>
      <c r="U99">
        <v>9.51</v>
      </c>
      <c r="V99">
        <v>47.02</v>
      </c>
      <c r="W99">
        <v>69.27</v>
      </c>
      <c r="X99">
        <v>13.5</v>
      </c>
      <c r="Y99">
        <v>2</v>
      </c>
      <c r="Z99">
        <v>-8</v>
      </c>
      <c r="AA99">
        <v>63.31</v>
      </c>
      <c r="AC99" t="s">
        <v>128</v>
      </c>
      <c r="AD99" t="s">
        <v>208</v>
      </c>
      <c r="AE99" t="s">
        <v>211</v>
      </c>
      <c r="AF99">
        <v>4</v>
      </c>
      <c r="AG99">
        <v>8</v>
      </c>
      <c r="AH99">
        <v>8</v>
      </c>
      <c r="AI99" t="s">
        <v>213</v>
      </c>
      <c r="AJ99">
        <v>8</v>
      </c>
      <c r="AK99">
        <v>6</v>
      </c>
    </row>
    <row r="100" spans="1:37" x14ac:dyDescent="0.3">
      <c r="B100" t="s">
        <v>44</v>
      </c>
      <c r="C100">
        <v>111</v>
      </c>
      <c r="D100">
        <v>20</v>
      </c>
      <c r="E100">
        <v>20</v>
      </c>
      <c r="F100">
        <v>150</v>
      </c>
      <c r="G100">
        <v>3.7842329580757164</v>
      </c>
      <c r="H100">
        <v>32</v>
      </c>
      <c r="I100">
        <v>65</v>
      </c>
      <c r="J100">
        <v>0</v>
      </c>
      <c r="K100" s="8">
        <v>6.24</v>
      </c>
      <c r="N100">
        <v>3.4</v>
      </c>
      <c r="O100" s="8">
        <v>6.5</v>
      </c>
      <c r="R100" s="10">
        <f>LOG10(143*(10^1))</f>
        <v>3.1553360374650619</v>
      </c>
      <c r="S100" s="10" t="s">
        <v>208</v>
      </c>
      <c r="T100">
        <v>51.02</v>
      </c>
      <c r="U100">
        <v>8.66</v>
      </c>
      <c r="V100">
        <v>41.13</v>
      </c>
      <c r="W100">
        <v>66.099999999999994</v>
      </c>
      <c r="X100">
        <v>10.55</v>
      </c>
      <c r="Y100">
        <v>2.2000000000000002</v>
      </c>
      <c r="Z100">
        <v>0</v>
      </c>
      <c r="AA100">
        <v>64.73</v>
      </c>
      <c r="AC100" t="s">
        <v>128</v>
      </c>
      <c r="AD100" t="s">
        <v>208</v>
      </c>
      <c r="AE100" t="s">
        <v>211</v>
      </c>
      <c r="AF100">
        <v>5</v>
      </c>
      <c r="AG100">
        <v>7</v>
      </c>
      <c r="AH100">
        <v>7</v>
      </c>
      <c r="AI100" t="s">
        <v>213</v>
      </c>
      <c r="AJ100">
        <v>7</v>
      </c>
      <c r="AK100">
        <v>1</v>
      </c>
    </row>
    <row r="101" spans="1:37" x14ac:dyDescent="0.3">
      <c r="B101" t="s">
        <v>44</v>
      </c>
      <c r="C101">
        <v>111</v>
      </c>
      <c r="D101">
        <v>20</v>
      </c>
      <c r="E101">
        <v>20</v>
      </c>
      <c r="F101">
        <v>150</v>
      </c>
      <c r="G101">
        <v>3.7842329580757164</v>
      </c>
      <c r="H101">
        <v>32</v>
      </c>
      <c r="I101">
        <v>65</v>
      </c>
      <c r="J101">
        <v>0</v>
      </c>
      <c r="K101" s="8">
        <v>6.17</v>
      </c>
      <c r="N101">
        <v>3.6</v>
      </c>
      <c r="O101" s="8">
        <v>4.5</v>
      </c>
      <c r="R101" s="10">
        <f>LOG10(156*(10^1))</f>
        <v>3.1931245983544616</v>
      </c>
      <c r="S101" s="10" t="s">
        <v>208</v>
      </c>
      <c r="T101">
        <v>51.02</v>
      </c>
      <c r="U101">
        <v>8.68</v>
      </c>
      <c r="V101">
        <v>41.12</v>
      </c>
      <c r="W101">
        <v>66.099999999999994</v>
      </c>
      <c r="X101">
        <v>10.5</v>
      </c>
      <c r="Y101">
        <v>2.2999999999999998</v>
      </c>
      <c r="Z101">
        <v>-2</v>
      </c>
      <c r="AA101">
        <v>64.73</v>
      </c>
      <c r="AC101" t="s">
        <v>128</v>
      </c>
      <c r="AD101" t="s">
        <v>208</v>
      </c>
      <c r="AE101" t="s">
        <v>211</v>
      </c>
      <c r="AF101">
        <v>8</v>
      </c>
      <c r="AG101">
        <v>5</v>
      </c>
      <c r="AH101">
        <v>8</v>
      </c>
      <c r="AI101" t="s">
        <v>213</v>
      </c>
      <c r="AJ101">
        <v>5</v>
      </c>
      <c r="AK101">
        <v>1</v>
      </c>
    </row>
    <row r="102" spans="1:37" x14ac:dyDescent="0.3">
      <c r="B102" t="s">
        <v>44</v>
      </c>
      <c r="C102">
        <v>111</v>
      </c>
      <c r="D102">
        <v>20</v>
      </c>
      <c r="E102">
        <v>20</v>
      </c>
      <c r="F102">
        <v>150</v>
      </c>
      <c r="G102">
        <v>3.7842329580757164</v>
      </c>
      <c r="H102">
        <v>32</v>
      </c>
      <c r="I102">
        <v>65</v>
      </c>
      <c r="J102">
        <v>0</v>
      </c>
      <c r="K102" s="8">
        <v>6.2</v>
      </c>
      <c r="N102">
        <v>4.5</v>
      </c>
      <c r="O102" s="8">
        <v>5.2</v>
      </c>
      <c r="R102" s="8">
        <v>0</v>
      </c>
      <c r="S102" t="s">
        <v>68</v>
      </c>
      <c r="T102">
        <v>51.01</v>
      </c>
      <c r="U102">
        <v>8.6999999999999993</v>
      </c>
      <c r="V102">
        <v>41.14</v>
      </c>
      <c r="W102">
        <v>66.11</v>
      </c>
      <c r="X102">
        <v>16.399999999999999</v>
      </c>
      <c r="Y102">
        <v>0.9</v>
      </c>
      <c r="Z102">
        <v>-1</v>
      </c>
      <c r="AA102">
        <v>64.73</v>
      </c>
      <c r="AC102" t="s">
        <v>128</v>
      </c>
      <c r="AD102" t="s">
        <v>127</v>
      </c>
      <c r="AE102" t="s">
        <v>128</v>
      </c>
      <c r="AF102">
        <v>8</v>
      </c>
      <c r="AG102">
        <v>5</v>
      </c>
      <c r="AH102">
        <v>5</v>
      </c>
      <c r="AI102">
        <v>8</v>
      </c>
      <c r="AJ102">
        <v>5</v>
      </c>
      <c r="AK102">
        <v>1</v>
      </c>
    </row>
    <row r="103" spans="1:37" x14ac:dyDescent="0.3">
      <c r="B103" t="s">
        <v>45</v>
      </c>
      <c r="C103">
        <v>111</v>
      </c>
      <c r="D103">
        <v>20</v>
      </c>
      <c r="E103">
        <v>20</v>
      </c>
      <c r="F103">
        <v>150</v>
      </c>
      <c r="G103">
        <v>3.7842329580757164</v>
      </c>
      <c r="H103">
        <v>32</v>
      </c>
      <c r="I103">
        <v>65</v>
      </c>
      <c r="J103">
        <v>10</v>
      </c>
      <c r="K103" s="8">
        <v>6.98</v>
      </c>
      <c r="N103">
        <v>4.5599999999999996</v>
      </c>
      <c r="O103" s="8">
        <v>3</v>
      </c>
      <c r="R103" s="10">
        <f>LOG10(153*(10^1))</f>
        <v>3.1846914308175989</v>
      </c>
      <c r="S103" s="10" t="s">
        <v>208</v>
      </c>
      <c r="T103">
        <v>51.27</v>
      </c>
      <c r="U103">
        <v>8.93</v>
      </c>
      <c r="V103">
        <v>44.29</v>
      </c>
      <c r="W103">
        <v>68.34</v>
      </c>
      <c r="X103">
        <v>4.5199999999999996</v>
      </c>
      <c r="Y103">
        <v>3</v>
      </c>
      <c r="Z103">
        <v>-13</v>
      </c>
      <c r="AA103">
        <v>66.02</v>
      </c>
      <c r="AC103" t="s">
        <v>128</v>
      </c>
      <c r="AD103" t="s">
        <v>208</v>
      </c>
      <c r="AE103" t="s">
        <v>211</v>
      </c>
      <c r="AF103">
        <v>9</v>
      </c>
      <c r="AG103">
        <v>8</v>
      </c>
      <c r="AH103">
        <v>8</v>
      </c>
      <c r="AI103" t="s">
        <v>213</v>
      </c>
      <c r="AJ103">
        <v>6</v>
      </c>
      <c r="AK103">
        <v>1</v>
      </c>
    </row>
    <row r="104" spans="1:37" x14ac:dyDescent="0.3">
      <c r="B104" t="s">
        <v>45</v>
      </c>
      <c r="C104">
        <v>111</v>
      </c>
      <c r="D104">
        <v>20</v>
      </c>
      <c r="E104">
        <v>20</v>
      </c>
      <c r="F104">
        <v>150</v>
      </c>
      <c r="G104">
        <v>3.7842329580757164</v>
      </c>
      <c r="H104">
        <v>32</v>
      </c>
      <c r="I104">
        <v>65</v>
      </c>
      <c r="J104">
        <v>10</v>
      </c>
      <c r="K104" s="8">
        <v>6.95</v>
      </c>
      <c r="N104">
        <v>4.84</v>
      </c>
      <c r="O104" s="8">
        <v>2.2000000000000002</v>
      </c>
      <c r="R104" s="8">
        <v>0</v>
      </c>
      <c r="S104" t="s">
        <v>68</v>
      </c>
      <c r="T104">
        <v>51.26</v>
      </c>
      <c r="U104">
        <v>8.93</v>
      </c>
      <c r="V104">
        <v>44.35</v>
      </c>
      <c r="W104">
        <v>68.37</v>
      </c>
      <c r="X104">
        <v>5.3</v>
      </c>
      <c r="Y104">
        <v>3</v>
      </c>
      <c r="Z104">
        <v>-19</v>
      </c>
      <c r="AA104">
        <v>66.02</v>
      </c>
      <c r="AC104" t="s">
        <v>128</v>
      </c>
      <c r="AD104" t="s">
        <v>127</v>
      </c>
      <c r="AE104" t="s">
        <v>128</v>
      </c>
      <c r="AF104">
        <v>7</v>
      </c>
      <c r="AG104">
        <v>7</v>
      </c>
      <c r="AH104">
        <v>7</v>
      </c>
      <c r="AI104">
        <v>5</v>
      </c>
      <c r="AJ104">
        <v>6</v>
      </c>
      <c r="AK104">
        <v>7</v>
      </c>
    </row>
    <row r="105" spans="1:37" x14ac:dyDescent="0.3">
      <c r="B105" t="s">
        <v>45</v>
      </c>
      <c r="C105">
        <v>111</v>
      </c>
      <c r="D105">
        <v>20</v>
      </c>
      <c r="E105">
        <v>20</v>
      </c>
      <c r="F105">
        <v>150</v>
      </c>
      <c r="G105">
        <v>3.7842329580757164</v>
      </c>
      <c r="H105">
        <v>32</v>
      </c>
      <c r="I105">
        <v>65</v>
      </c>
      <c r="J105">
        <v>10</v>
      </c>
      <c r="K105" s="8">
        <v>6.92</v>
      </c>
      <c r="N105">
        <v>4.9000000000000004</v>
      </c>
      <c r="O105" s="8">
        <v>5.5</v>
      </c>
      <c r="R105" s="10">
        <f>LOG10(178*(10^1))</f>
        <v>3.2504200023088941</v>
      </c>
      <c r="S105" s="10" t="s">
        <v>208</v>
      </c>
      <c r="T105">
        <v>51.27</v>
      </c>
      <c r="U105">
        <v>8.9499999999999993</v>
      </c>
      <c r="V105">
        <v>44.34</v>
      </c>
      <c r="W105">
        <v>68.37</v>
      </c>
      <c r="X105">
        <v>5.72</v>
      </c>
      <c r="Y105">
        <v>2.9</v>
      </c>
      <c r="Z105">
        <v>-23</v>
      </c>
      <c r="AA105">
        <v>66.02</v>
      </c>
      <c r="AC105" t="s">
        <v>128</v>
      </c>
      <c r="AD105" t="s">
        <v>208</v>
      </c>
      <c r="AE105" t="s">
        <v>128</v>
      </c>
      <c r="AF105">
        <v>8</v>
      </c>
      <c r="AG105">
        <v>6</v>
      </c>
      <c r="AH105">
        <v>6</v>
      </c>
      <c r="AI105" t="s">
        <v>213</v>
      </c>
      <c r="AJ105">
        <v>5</v>
      </c>
      <c r="AK105">
        <v>1</v>
      </c>
    </row>
    <row r="106" spans="1:37" x14ac:dyDescent="0.3">
      <c r="B106" t="s">
        <v>46</v>
      </c>
      <c r="C106">
        <v>0</v>
      </c>
      <c r="D106">
        <v>0</v>
      </c>
      <c r="E106">
        <v>0</v>
      </c>
      <c r="F106">
        <v>150</v>
      </c>
      <c r="G106">
        <v>0</v>
      </c>
      <c r="H106">
        <v>32</v>
      </c>
      <c r="I106">
        <v>65</v>
      </c>
      <c r="J106">
        <v>0</v>
      </c>
      <c r="K106" s="8">
        <v>6.64</v>
      </c>
      <c r="N106">
        <v>4.5</v>
      </c>
      <c r="O106" s="8">
        <v>1.38</v>
      </c>
      <c r="R106" s="8">
        <f>LOG10(57*(10^2))</f>
        <v>3.7558748556724915</v>
      </c>
      <c r="S106" t="s">
        <v>127</v>
      </c>
      <c r="T106">
        <v>50.67</v>
      </c>
      <c r="U106">
        <v>8.7799999999999994</v>
      </c>
      <c r="V106">
        <v>47.38</v>
      </c>
      <c r="W106">
        <v>69.930000000000007</v>
      </c>
      <c r="X106">
        <v>18.899999999999999</v>
      </c>
      <c r="Y106">
        <v>0.1</v>
      </c>
      <c r="Z106">
        <v>-2</v>
      </c>
      <c r="AA106">
        <v>68.77</v>
      </c>
      <c r="AC106" t="s">
        <v>128</v>
      </c>
      <c r="AD106" t="s">
        <v>125</v>
      </c>
      <c r="AE106" t="s">
        <v>128</v>
      </c>
      <c r="AF106">
        <v>7</v>
      </c>
      <c r="AG106">
        <v>6</v>
      </c>
      <c r="AH106">
        <v>5</v>
      </c>
      <c r="AI106">
        <v>4</v>
      </c>
      <c r="AJ106">
        <v>7</v>
      </c>
      <c r="AK106">
        <v>9</v>
      </c>
    </row>
    <row r="107" spans="1:37" x14ac:dyDescent="0.3">
      <c r="B107" t="s">
        <v>46</v>
      </c>
      <c r="C107">
        <v>0</v>
      </c>
      <c r="D107">
        <v>0</v>
      </c>
      <c r="E107">
        <v>0</v>
      </c>
      <c r="F107">
        <v>150</v>
      </c>
      <c r="G107">
        <v>0</v>
      </c>
      <c r="H107">
        <v>32</v>
      </c>
      <c r="I107">
        <v>65</v>
      </c>
      <c r="J107">
        <v>0</v>
      </c>
      <c r="K107" s="8">
        <v>6.92</v>
      </c>
      <c r="N107">
        <v>4.5999999999999996</v>
      </c>
      <c r="O107" s="8">
        <v>2.98</v>
      </c>
      <c r="R107" s="8">
        <f>LOG10(77*(10^2))</f>
        <v>3.8864907251724818</v>
      </c>
      <c r="S107" t="s">
        <v>127</v>
      </c>
      <c r="T107">
        <v>50.68</v>
      </c>
      <c r="U107">
        <v>8.77</v>
      </c>
      <c r="V107">
        <v>47.4</v>
      </c>
      <c r="W107">
        <v>69.94</v>
      </c>
      <c r="X107">
        <v>19.2</v>
      </c>
      <c r="Y107">
        <v>0</v>
      </c>
      <c r="Z107">
        <v>-2</v>
      </c>
      <c r="AA107">
        <v>65.69</v>
      </c>
      <c r="AC107" t="s">
        <v>128</v>
      </c>
      <c r="AD107" t="s">
        <v>125</v>
      </c>
      <c r="AE107" t="s">
        <v>128</v>
      </c>
      <c r="AF107">
        <v>8</v>
      </c>
      <c r="AG107">
        <v>8</v>
      </c>
      <c r="AH107">
        <v>8</v>
      </c>
      <c r="AI107">
        <v>6</v>
      </c>
      <c r="AJ107">
        <v>8</v>
      </c>
      <c r="AK107">
        <v>8</v>
      </c>
    </row>
    <row r="108" spans="1:37" x14ac:dyDescent="0.3">
      <c r="B108" t="s">
        <v>46</v>
      </c>
      <c r="C108">
        <v>0</v>
      </c>
      <c r="D108">
        <v>0</v>
      </c>
      <c r="E108">
        <v>0</v>
      </c>
      <c r="F108">
        <v>150</v>
      </c>
      <c r="G108">
        <v>0</v>
      </c>
      <c r="H108">
        <v>32</v>
      </c>
      <c r="I108">
        <v>65</v>
      </c>
      <c r="J108">
        <v>0</v>
      </c>
      <c r="K108" s="8">
        <v>6.96</v>
      </c>
      <c r="N108">
        <v>4.7</v>
      </c>
      <c r="O108" s="8">
        <v>2.48</v>
      </c>
      <c r="R108" s="8">
        <f>LOG10(72*(10^2))</f>
        <v>3.8573324964312685</v>
      </c>
      <c r="S108" t="s">
        <v>127</v>
      </c>
      <c r="T108">
        <v>50.67</v>
      </c>
      <c r="U108">
        <v>8.7799999999999994</v>
      </c>
      <c r="V108">
        <v>47.38</v>
      </c>
      <c r="W108">
        <v>69.92</v>
      </c>
      <c r="X108">
        <v>19.399999999999999</v>
      </c>
      <c r="Y108">
        <v>0</v>
      </c>
      <c r="Z108">
        <v>-2</v>
      </c>
      <c r="AA108">
        <v>65.69</v>
      </c>
      <c r="AC108" t="s">
        <v>128</v>
      </c>
      <c r="AD108" t="s">
        <v>125</v>
      </c>
      <c r="AE108" t="s">
        <v>128</v>
      </c>
      <c r="AF108">
        <v>7</v>
      </c>
      <c r="AG108">
        <v>5</v>
      </c>
      <c r="AH108">
        <v>6</v>
      </c>
      <c r="AI108">
        <v>5</v>
      </c>
      <c r="AJ108">
        <v>5</v>
      </c>
      <c r="AK108">
        <v>6</v>
      </c>
    </row>
    <row r="109" spans="1:37" x14ac:dyDescent="0.3">
      <c r="B109" t="s">
        <v>47</v>
      </c>
      <c r="C109">
        <v>111</v>
      </c>
      <c r="D109">
        <v>20</v>
      </c>
      <c r="E109">
        <v>20</v>
      </c>
      <c r="F109">
        <v>150</v>
      </c>
      <c r="G109">
        <v>3.7842329580757164</v>
      </c>
      <c r="H109">
        <v>32</v>
      </c>
      <c r="I109">
        <v>65</v>
      </c>
      <c r="J109">
        <v>10</v>
      </c>
      <c r="K109" s="8">
        <v>6.96</v>
      </c>
      <c r="N109">
        <v>5.8</v>
      </c>
      <c r="O109" s="8">
        <v>6.6</v>
      </c>
      <c r="R109" s="10">
        <f>LOG10(156*(10^3))</f>
        <v>5.1931245983544612</v>
      </c>
      <c r="S109" s="10" t="s">
        <v>208</v>
      </c>
      <c r="T109">
        <v>52.63</v>
      </c>
      <c r="U109">
        <v>7.76</v>
      </c>
      <c r="V109">
        <v>40.43</v>
      </c>
      <c r="W109">
        <v>66.819999999999993</v>
      </c>
      <c r="X109">
        <v>1.35</v>
      </c>
      <c r="Y109">
        <v>2.4</v>
      </c>
      <c r="Z109">
        <v>-19</v>
      </c>
      <c r="AA109">
        <v>58.09</v>
      </c>
      <c r="AC109" t="s">
        <v>128</v>
      </c>
      <c r="AD109" t="s">
        <v>208</v>
      </c>
      <c r="AE109" t="s">
        <v>211</v>
      </c>
      <c r="AF109">
        <v>5</v>
      </c>
      <c r="AG109">
        <v>8</v>
      </c>
      <c r="AH109">
        <v>5</v>
      </c>
      <c r="AI109" t="s">
        <v>213</v>
      </c>
      <c r="AJ109">
        <v>5</v>
      </c>
      <c r="AK109">
        <v>1</v>
      </c>
    </row>
    <row r="110" spans="1:37" x14ac:dyDescent="0.3">
      <c r="B110" t="s">
        <v>47</v>
      </c>
      <c r="C110">
        <v>111</v>
      </c>
      <c r="D110">
        <v>20</v>
      </c>
      <c r="E110">
        <v>20</v>
      </c>
      <c r="F110">
        <v>150</v>
      </c>
      <c r="G110">
        <v>3.7842329580757164</v>
      </c>
      <c r="H110">
        <v>32</v>
      </c>
      <c r="I110">
        <v>65</v>
      </c>
      <c r="J110">
        <v>10</v>
      </c>
      <c r="K110" s="8">
        <v>6.93</v>
      </c>
      <c r="N110">
        <v>5.6</v>
      </c>
      <c r="O110" s="8">
        <v>7.8</v>
      </c>
      <c r="R110" s="10">
        <f t="shared" ref="R110:R111" si="1">LOG10(156*(10^3))</f>
        <v>5.1931245983544612</v>
      </c>
      <c r="S110" s="10" t="s">
        <v>208</v>
      </c>
      <c r="T110">
        <v>52.64</v>
      </c>
      <c r="U110">
        <v>7.77</v>
      </c>
      <c r="V110">
        <v>40.340000000000003</v>
      </c>
      <c r="W110">
        <v>66.77</v>
      </c>
      <c r="X110">
        <v>6.93</v>
      </c>
      <c r="Y110">
        <v>3</v>
      </c>
      <c r="Z110">
        <v>-19</v>
      </c>
      <c r="AA110">
        <v>58.09</v>
      </c>
      <c r="AC110" t="s">
        <v>128</v>
      </c>
      <c r="AD110" t="s">
        <v>208</v>
      </c>
      <c r="AE110" t="s">
        <v>128</v>
      </c>
      <c r="AF110">
        <v>7</v>
      </c>
      <c r="AG110">
        <v>7</v>
      </c>
      <c r="AH110">
        <v>1</v>
      </c>
      <c r="AI110" t="s">
        <v>213</v>
      </c>
      <c r="AJ110">
        <v>3</v>
      </c>
      <c r="AK110">
        <v>1</v>
      </c>
    </row>
    <row r="111" spans="1:37" x14ac:dyDescent="0.3">
      <c r="B111" t="s">
        <v>47</v>
      </c>
      <c r="C111">
        <v>111</v>
      </c>
      <c r="D111">
        <v>20</v>
      </c>
      <c r="E111">
        <v>20</v>
      </c>
      <c r="F111">
        <v>150</v>
      </c>
      <c r="G111">
        <v>3.7842329580757164</v>
      </c>
      <c r="H111">
        <v>32</v>
      </c>
      <c r="I111">
        <v>65</v>
      </c>
      <c r="J111">
        <v>10</v>
      </c>
      <c r="K111" s="8">
        <v>6.94</v>
      </c>
      <c r="N111">
        <v>5.0999999999999996</v>
      </c>
      <c r="O111" s="8">
        <v>8.6999999999999993</v>
      </c>
      <c r="R111" s="10">
        <f t="shared" si="1"/>
        <v>5.1931245983544612</v>
      </c>
      <c r="S111" s="10" t="s">
        <v>208</v>
      </c>
      <c r="T111">
        <v>52.66</v>
      </c>
      <c r="U111">
        <v>7.77</v>
      </c>
      <c r="V111">
        <v>40.44</v>
      </c>
      <c r="W111">
        <v>66.84</v>
      </c>
      <c r="X111">
        <v>4.0999999999999996</v>
      </c>
      <c r="Y111">
        <v>2.8</v>
      </c>
      <c r="Z111">
        <v>-11</v>
      </c>
      <c r="AA111">
        <v>58.09</v>
      </c>
      <c r="AC111" t="s">
        <v>128</v>
      </c>
      <c r="AD111" t="s">
        <v>208</v>
      </c>
      <c r="AE111" t="s">
        <v>128</v>
      </c>
      <c r="AF111">
        <v>7</v>
      </c>
      <c r="AG111">
        <v>5</v>
      </c>
      <c r="AH111">
        <v>2</v>
      </c>
      <c r="AI111" t="s">
        <v>213</v>
      </c>
      <c r="AJ111">
        <v>4</v>
      </c>
      <c r="AK111">
        <v>1</v>
      </c>
    </row>
    <row r="112" spans="1:37" x14ac:dyDescent="0.3">
      <c r="B112" t="s">
        <v>96</v>
      </c>
      <c r="C112">
        <v>0</v>
      </c>
      <c r="D112">
        <v>0</v>
      </c>
      <c r="E112">
        <v>0</v>
      </c>
      <c r="F112">
        <v>150</v>
      </c>
      <c r="G112">
        <v>0</v>
      </c>
      <c r="H112">
        <v>32</v>
      </c>
      <c r="I112">
        <v>65</v>
      </c>
      <c r="J112">
        <v>10</v>
      </c>
      <c r="K112" s="8">
        <v>5.21</v>
      </c>
      <c r="N112">
        <v>4.3</v>
      </c>
      <c r="O112" s="8">
        <v>7.4</v>
      </c>
      <c r="R112" s="10">
        <f>LOG10(243*(48^10))</f>
        <v>19.198018647354186</v>
      </c>
      <c r="S112" s="10" t="s">
        <v>208</v>
      </c>
      <c r="T112">
        <v>59.51</v>
      </c>
      <c r="U112">
        <v>10.95</v>
      </c>
      <c r="V112">
        <v>52.79</v>
      </c>
      <c r="W112">
        <v>80.3</v>
      </c>
      <c r="X112">
        <v>0</v>
      </c>
      <c r="Y112">
        <v>68.099999999999994</v>
      </c>
      <c r="Z112">
        <v>1</v>
      </c>
      <c r="AA112">
        <v>66.430000000000007</v>
      </c>
      <c r="AC112" t="s">
        <v>143</v>
      </c>
      <c r="AD112" t="s">
        <v>69</v>
      </c>
      <c r="AE112" t="s">
        <v>203</v>
      </c>
      <c r="AF112">
        <v>3</v>
      </c>
      <c r="AG112">
        <v>3</v>
      </c>
      <c r="AH112">
        <v>1</v>
      </c>
      <c r="AI112" t="s">
        <v>213</v>
      </c>
      <c r="AJ112">
        <v>3</v>
      </c>
      <c r="AK112">
        <v>1</v>
      </c>
    </row>
    <row r="113" spans="1:37" x14ac:dyDescent="0.3">
      <c r="B113" t="s">
        <v>96</v>
      </c>
      <c r="C113">
        <v>0</v>
      </c>
      <c r="D113">
        <v>0</v>
      </c>
      <c r="E113">
        <v>0</v>
      </c>
      <c r="F113">
        <v>150</v>
      </c>
      <c r="G113">
        <v>0</v>
      </c>
      <c r="H113">
        <v>32</v>
      </c>
      <c r="I113">
        <v>65</v>
      </c>
      <c r="J113">
        <v>10</v>
      </c>
      <c r="K113" s="8">
        <v>5.79</v>
      </c>
      <c r="N113">
        <v>5.2</v>
      </c>
      <c r="O113" s="8">
        <v>8.3000000000000007</v>
      </c>
      <c r="R113" s="10">
        <f>LOG10(143*(10^7))</f>
        <v>9.1553360374650623</v>
      </c>
      <c r="S113" s="10" t="s">
        <v>208</v>
      </c>
      <c r="T113">
        <v>59.46</v>
      </c>
      <c r="U113">
        <v>10.91</v>
      </c>
      <c r="V113">
        <v>52.77</v>
      </c>
      <c r="W113">
        <v>80.25</v>
      </c>
      <c r="X113">
        <v>0</v>
      </c>
      <c r="Y113">
        <v>68.599999999999994</v>
      </c>
      <c r="Z113">
        <v>0</v>
      </c>
      <c r="AA113">
        <v>66.430000000000007</v>
      </c>
      <c r="AC113" t="s">
        <v>143</v>
      </c>
      <c r="AD113" t="s">
        <v>69</v>
      </c>
      <c r="AE113" t="s">
        <v>203</v>
      </c>
      <c r="AF113">
        <v>2</v>
      </c>
      <c r="AG113">
        <v>3</v>
      </c>
      <c r="AH113">
        <v>1</v>
      </c>
      <c r="AI113" t="s">
        <v>213</v>
      </c>
      <c r="AJ113">
        <v>1</v>
      </c>
      <c r="AK113">
        <v>1</v>
      </c>
    </row>
    <row r="114" spans="1:37" x14ac:dyDescent="0.3">
      <c r="B114" t="s">
        <v>96</v>
      </c>
      <c r="C114">
        <v>0</v>
      </c>
      <c r="D114">
        <v>0</v>
      </c>
      <c r="E114">
        <v>0</v>
      </c>
      <c r="F114">
        <v>150</v>
      </c>
      <c r="G114">
        <v>0</v>
      </c>
      <c r="H114">
        <v>32</v>
      </c>
      <c r="I114">
        <v>65</v>
      </c>
      <c r="J114">
        <v>10</v>
      </c>
      <c r="K114" s="8">
        <v>5.1970000000000001</v>
      </c>
      <c r="N114">
        <v>5.0999999999999996</v>
      </c>
      <c r="O114" s="8">
        <v>9.1199999999999992</v>
      </c>
      <c r="R114" s="10">
        <f>LOG10(258*(10^10))</f>
        <v>12.411619705963231</v>
      </c>
      <c r="S114" s="10" t="s">
        <v>208</v>
      </c>
      <c r="T114">
        <v>59.44</v>
      </c>
      <c r="U114">
        <v>10.89</v>
      </c>
      <c r="V114">
        <v>52.77</v>
      </c>
      <c r="W114">
        <v>80.25</v>
      </c>
      <c r="X114">
        <v>0</v>
      </c>
      <c r="Y114">
        <v>69</v>
      </c>
      <c r="Z114">
        <v>0</v>
      </c>
      <c r="AA114">
        <v>66.430000000000007</v>
      </c>
      <c r="AC114" t="s">
        <v>143</v>
      </c>
      <c r="AD114" t="s">
        <v>69</v>
      </c>
      <c r="AE114" t="s">
        <v>203</v>
      </c>
      <c r="AF114">
        <v>1</v>
      </c>
      <c r="AG114">
        <v>3</v>
      </c>
      <c r="AH114">
        <v>1</v>
      </c>
      <c r="AI114" t="s">
        <v>213</v>
      </c>
      <c r="AJ114">
        <v>2</v>
      </c>
      <c r="AK114">
        <v>1</v>
      </c>
    </row>
    <row r="116" spans="1:37" x14ac:dyDescent="0.3">
      <c r="A116" t="s">
        <v>70</v>
      </c>
      <c r="B116" t="s">
        <v>71</v>
      </c>
      <c r="C116">
        <v>111</v>
      </c>
      <c r="D116">
        <v>20</v>
      </c>
      <c r="E116">
        <v>30</v>
      </c>
      <c r="F116">
        <v>150</v>
      </c>
      <c r="G116">
        <v>5.0371374831543809</v>
      </c>
      <c r="H116">
        <v>32</v>
      </c>
      <c r="I116">
        <v>65</v>
      </c>
      <c r="J116">
        <v>0</v>
      </c>
      <c r="K116" s="8">
        <v>6.26</v>
      </c>
      <c r="N116">
        <v>6.5</v>
      </c>
      <c r="O116" s="8">
        <v>6.3</v>
      </c>
      <c r="R116" s="8">
        <v>0</v>
      </c>
      <c r="S116" t="s">
        <v>68</v>
      </c>
      <c r="T116">
        <v>49.13</v>
      </c>
      <c r="U116">
        <v>8.3699999999999992</v>
      </c>
      <c r="V116">
        <v>41.98</v>
      </c>
      <c r="W116">
        <v>65.16</v>
      </c>
      <c r="X116">
        <v>7.39</v>
      </c>
      <c r="Y116">
        <v>3.5</v>
      </c>
      <c r="Z116">
        <v>-5</v>
      </c>
      <c r="AA116">
        <v>63.46</v>
      </c>
      <c r="AC116" t="s">
        <v>128</v>
      </c>
      <c r="AD116" t="s">
        <v>127</v>
      </c>
      <c r="AE116" t="s">
        <v>128</v>
      </c>
      <c r="AF116">
        <v>5</v>
      </c>
      <c r="AG116">
        <v>4</v>
      </c>
      <c r="AH116">
        <v>7</v>
      </c>
      <c r="AI116">
        <v>8</v>
      </c>
      <c r="AJ116">
        <v>7</v>
      </c>
      <c r="AK116">
        <v>7</v>
      </c>
    </row>
    <row r="117" spans="1:37" x14ac:dyDescent="0.3">
      <c r="B117" t="s">
        <v>71</v>
      </c>
      <c r="C117">
        <v>111</v>
      </c>
      <c r="D117">
        <v>20</v>
      </c>
      <c r="E117">
        <v>30</v>
      </c>
      <c r="F117">
        <v>150</v>
      </c>
      <c r="G117">
        <v>5.0371374831543809</v>
      </c>
      <c r="H117">
        <v>32</v>
      </c>
      <c r="I117">
        <v>65</v>
      </c>
      <c r="J117">
        <v>0</v>
      </c>
      <c r="K117" s="8">
        <v>6.16</v>
      </c>
      <c r="N117">
        <v>6.2</v>
      </c>
      <c r="O117" s="8">
        <v>5.6</v>
      </c>
      <c r="R117" s="8">
        <v>0</v>
      </c>
      <c r="S117" t="s">
        <v>68</v>
      </c>
      <c r="T117">
        <v>49.35</v>
      </c>
      <c r="U117">
        <v>8.3699999999999992</v>
      </c>
      <c r="V117">
        <v>41.73</v>
      </c>
      <c r="W117">
        <v>65.16</v>
      </c>
      <c r="X117">
        <v>7.51</v>
      </c>
      <c r="Y117">
        <v>3.5</v>
      </c>
      <c r="Z117">
        <v>-6</v>
      </c>
      <c r="AA117">
        <v>63.46</v>
      </c>
      <c r="AC117" t="s">
        <v>128</v>
      </c>
      <c r="AD117" t="s">
        <v>127</v>
      </c>
      <c r="AE117" t="s">
        <v>128</v>
      </c>
      <c r="AF117">
        <v>6</v>
      </c>
      <c r="AG117">
        <v>5</v>
      </c>
      <c r="AH117">
        <v>8</v>
      </c>
      <c r="AI117">
        <v>7</v>
      </c>
      <c r="AJ117">
        <v>8</v>
      </c>
      <c r="AK117">
        <v>7</v>
      </c>
    </row>
    <row r="118" spans="1:37" x14ac:dyDescent="0.3">
      <c r="B118" t="s">
        <v>71</v>
      </c>
      <c r="C118">
        <v>111</v>
      </c>
      <c r="D118">
        <v>20</v>
      </c>
      <c r="E118">
        <v>30</v>
      </c>
      <c r="F118">
        <v>150</v>
      </c>
      <c r="G118">
        <v>5.0371374831543809</v>
      </c>
      <c r="H118">
        <v>32</v>
      </c>
      <c r="I118">
        <v>65</v>
      </c>
      <c r="J118">
        <v>0</v>
      </c>
      <c r="K118" s="8">
        <v>6.22</v>
      </c>
      <c r="N118">
        <v>6.4</v>
      </c>
      <c r="O118" s="8">
        <v>7.12</v>
      </c>
      <c r="R118" s="8">
        <v>0</v>
      </c>
      <c r="S118" t="s">
        <v>68</v>
      </c>
      <c r="T118">
        <v>49.39</v>
      </c>
      <c r="U118">
        <v>8.3699999999999992</v>
      </c>
      <c r="V118">
        <v>41.81</v>
      </c>
      <c r="W118">
        <v>65.25</v>
      </c>
      <c r="X118">
        <v>7.62</v>
      </c>
      <c r="Y118">
        <v>3.4</v>
      </c>
      <c r="Z118">
        <v>-10</v>
      </c>
      <c r="AA118">
        <v>63.46</v>
      </c>
      <c r="AC118" t="s">
        <v>128</v>
      </c>
      <c r="AD118" t="s">
        <v>127</v>
      </c>
      <c r="AE118" t="s">
        <v>128</v>
      </c>
      <c r="AF118">
        <v>8</v>
      </c>
      <c r="AG118">
        <v>8</v>
      </c>
      <c r="AH118">
        <v>5</v>
      </c>
      <c r="AI118">
        <v>8</v>
      </c>
      <c r="AJ118">
        <v>5</v>
      </c>
      <c r="AK118">
        <v>8</v>
      </c>
    </row>
    <row r="119" spans="1:37" x14ac:dyDescent="0.3">
      <c r="B119" t="s">
        <v>72</v>
      </c>
      <c r="C119">
        <v>111</v>
      </c>
      <c r="D119">
        <v>20</v>
      </c>
      <c r="E119">
        <v>30</v>
      </c>
      <c r="F119">
        <v>150</v>
      </c>
      <c r="G119">
        <v>5.0371374831543809</v>
      </c>
      <c r="H119">
        <v>32</v>
      </c>
      <c r="I119">
        <v>65</v>
      </c>
      <c r="J119">
        <v>0</v>
      </c>
      <c r="K119" s="8">
        <v>6.88</v>
      </c>
      <c r="N119">
        <v>6.8</v>
      </c>
      <c r="O119" s="8">
        <v>4.6500000000000004</v>
      </c>
      <c r="R119" s="8">
        <v>0</v>
      </c>
      <c r="S119" t="s">
        <v>68</v>
      </c>
      <c r="T119">
        <v>48.45</v>
      </c>
      <c r="U119">
        <v>9.82</v>
      </c>
      <c r="V119">
        <v>42.41</v>
      </c>
      <c r="W119">
        <v>65.13</v>
      </c>
      <c r="X119">
        <v>11.8</v>
      </c>
      <c r="Y119">
        <v>3.8</v>
      </c>
      <c r="Z119">
        <v>-3</v>
      </c>
      <c r="AA119">
        <v>61.98</v>
      </c>
      <c r="AC119" t="s">
        <v>128</v>
      </c>
      <c r="AD119" t="s">
        <v>127</v>
      </c>
      <c r="AE119" t="s">
        <v>128</v>
      </c>
      <c r="AF119">
        <v>6</v>
      </c>
      <c r="AG119">
        <v>5</v>
      </c>
      <c r="AH119">
        <v>8</v>
      </c>
      <c r="AI119" t="s">
        <v>213</v>
      </c>
      <c r="AJ119">
        <v>8</v>
      </c>
      <c r="AK119">
        <v>8</v>
      </c>
    </row>
    <row r="120" spans="1:37" x14ac:dyDescent="0.3">
      <c r="B120" t="s">
        <v>72</v>
      </c>
      <c r="C120">
        <v>111</v>
      </c>
      <c r="D120">
        <v>20</v>
      </c>
      <c r="E120">
        <v>30</v>
      </c>
      <c r="F120">
        <v>150</v>
      </c>
      <c r="G120">
        <v>5.0371374831543809</v>
      </c>
      <c r="H120">
        <v>32</v>
      </c>
      <c r="I120">
        <v>65</v>
      </c>
      <c r="J120">
        <v>0</v>
      </c>
      <c r="K120" s="8">
        <v>6.76</v>
      </c>
      <c r="N120">
        <v>6.9</v>
      </c>
      <c r="O120" s="8">
        <v>5.45</v>
      </c>
      <c r="R120" s="10">
        <f>LOG10(39*(10^1))</f>
        <v>2.5910646070264991</v>
      </c>
      <c r="S120" s="10" t="s">
        <v>208</v>
      </c>
      <c r="T120">
        <v>48.42</v>
      </c>
      <c r="U120">
        <v>9.84</v>
      </c>
      <c r="V120">
        <v>42.58</v>
      </c>
      <c r="W120">
        <v>65.23</v>
      </c>
      <c r="X120">
        <v>5.4</v>
      </c>
      <c r="Y120">
        <v>3.7</v>
      </c>
      <c r="Z120">
        <v>-7</v>
      </c>
      <c r="AA120">
        <v>61.98</v>
      </c>
      <c r="AC120" t="s">
        <v>128</v>
      </c>
      <c r="AD120" t="s">
        <v>208</v>
      </c>
      <c r="AE120" t="s">
        <v>128</v>
      </c>
      <c r="AF120">
        <v>8</v>
      </c>
      <c r="AG120">
        <v>8</v>
      </c>
      <c r="AH120">
        <v>6</v>
      </c>
      <c r="AI120">
        <v>5</v>
      </c>
      <c r="AJ120">
        <v>7</v>
      </c>
      <c r="AK120">
        <v>1</v>
      </c>
    </row>
    <row r="121" spans="1:37" x14ac:dyDescent="0.3">
      <c r="B121" t="s">
        <v>72</v>
      </c>
      <c r="C121">
        <v>111</v>
      </c>
      <c r="D121">
        <v>20</v>
      </c>
      <c r="E121">
        <v>30</v>
      </c>
      <c r="F121">
        <v>150</v>
      </c>
      <c r="G121">
        <v>5.0371374831543809</v>
      </c>
      <c r="H121">
        <v>32</v>
      </c>
      <c r="I121">
        <v>65</v>
      </c>
      <c r="J121">
        <v>0</v>
      </c>
      <c r="K121" s="8">
        <v>6.62</v>
      </c>
      <c r="N121">
        <v>6.1</v>
      </c>
      <c r="O121" s="8">
        <v>5.48</v>
      </c>
      <c r="R121" s="8">
        <v>0</v>
      </c>
      <c r="S121" t="s">
        <v>68</v>
      </c>
      <c r="T121">
        <v>48.42</v>
      </c>
      <c r="U121">
        <v>9.81</v>
      </c>
      <c r="V121">
        <v>42.6</v>
      </c>
      <c r="W121">
        <v>65.239999999999995</v>
      </c>
      <c r="X121">
        <v>5.82</v>
      </c>
      <c r="Y121">
        <v>3.6</v>
      </c>
      <c r="Z121">
        <v>-10</v>
      </c>
      <c r="AA121">
        <v>61.98</v>
      </c>
      <c r="AC121" t="s">
        <v>128</v>
      </c>
      <c r="AD121" t="s">
        <v>127</v>
      </c>
      <c r="AE121" t="s">
        <v>128</v>
      </c>
      <c r="AF121">
        <v>9</v>
      </c>
      <c r="AG121">
        <v>9</v>
      </c>
      <c r="AH121">
        <v>9</v>
      </c>
      <c r="AI121">
        <v>6</v>
      </c>
      <c r="AJ121">
        <v>5</v>
      </c>
      <c r="AK121">
        <v>8</v>
      </c>
    </row>
    <row r="122" spans="1:37" x14ac:dyDescent="0.3">
      <c r="B122" t="s">
        <v>73</v>
      </c>
      <c r="C122">
        <v>111</v>
      </c>
      <c r="D122">
        <v>20</v>
      </c>
      <c r="E122">
        <v>30</v>
      </c>
      <c r="F122">
        <v>150</v>
      </c>
      <c r="G122">
        <v>5.0371374831543809</v>
      </c>
      <c r="H122">
        <v>32</v>
      </c>
      <c r="I122">
        <v>65</v>
      </c>
      <c r="J122">
        <v>0</v>
      </c>
      <c r="K122" s="8">
        <v>6.90933333333333</v>
      </c>
      <c r="N122">
        <v>6.26</v>
      </c>
      <c r="O122" s="8">
        <v>7.23</v>
      </c>
      <c r="R122" s="8">
        <v>0</v>
      </c>
      <c r="S122" t="s">
        <v>68</v>
      </c>
      <c r="T122">
        <v>48.131999999999998</v>
      </c>
      <c r="U122">
        <v>10.4026666666667</v>
      </c>
      <c r="V122">
        <v>42.81</v>
      </c>
      <c r="W122">
        <v>65.244</v>
      </c>
      <c r="X122">
        <v>6.5900000000000096</v>
      </c>
      <c r="Y122">
        <v>3.7333333333333298</v>
      </c>
      <c r="Z122">
        <v>-8.93333333333333</v>
      </c>
      <c r="AA122">
        <v>61.387999999999998</v>
      </c>
      <c r="AC122" t="s">
        <v>128</v>
      </c>
      <c r="AD122" t="s">
        <v>127</v>
      </c>
      <c r="AE122" t="s">
        <v>128</v>
      </c>
      <c r="AF122">
        <v>6</v>
      </c>
      <c r="AG122">
        <v>5</v>
      </c>
      <c r="AH122">
        <v>5</v>
      </c>
      <c r="AI122">
        <v>5</v>
      </c>
      <c r="AJ122">
        <v>8</v>
      </c>
      <c r="AK122">
        <v>5</v>
      </c>
    </row>
    <row r="123" spans="1:37" x14ac:dyDescent="0.3">
      <c r="B123" t="s">
        <v>73</v>
      </c>
      <c r="C123">
        <v>111</v>
      </c>
      <c r="D123">
        <v>20</v>
      </c>
      <c r="E123">
        <v>30</v>
      </c>
      <c r="F123">
        <v>150</v>
      </c>
      <c r="G123">
        <v>5.0371374831543809</v>
      </c>
      <c r="H123">
        <v>32</v>
      </c>
      <c r="I123">
        <v>65</v>
      </c>
      <c r="J123">
        <v>0</v>
      </c>
      <c r="K123" s="8">
        <v>7.0310476190476203</v>
      </c>
      <c r="N123">
        <v>5.3</v>
      </c>
      <c r="O123" s="8">
        <v>7.12</v>
      </c>
      <c r="R123" s="8">
        <v>0</v>
      </c>
      <c r="S123" t="s">
        <v>68</v>
      </c>
      <c r="T123">
        <v>47.923999999999999</v>
      </c>
      <c r="U123">
        <v>10.7758095238095</v>
      </c>
      <c r="V123">
        <v>42.988571428571397</v>
      </c>
      <c r="W123">
        <v>65.257999999999996</v>
      </c>
      <c r="X123">
        <v>6.3042857142857196</v>
      </c>
      <c r="Y123">
        <v>3.7761904761904801</v>
      </c>
      <c r="Z123">
        <v>-9.5333333333333297</v>
      </c>
      <c r="AA123">
        <v>61.007428571428598</v>
      </c>
      <c r="AC123" t="s">
        <v>128</v>
      </c>
      <c r="AD123" t="s">
        <v>127</v>
      </c>
      <c r="AE123" t="s">
        <v>128</v>
      </c>
      <c r="AF123">
        <v>9</v>
      </c>
      <c r="AG123">
        <v>6</v>
      </c>
      <c r="AH123">
        <v>8</v>
      </c>
      <c r="AI123">
        <v>8</v>
      </c>
      <c r="AJ123">
        <v>5</v>
      </c>
      <c r="AK123">
        <v>8</v>
      </c>
    </row>
    <row r="124" spans="1:37" x14ac:dyDescent="0.3">
      <c r="B124" t="s">
        <v>73</v>
      </c>
      <c r="C124">
        <v>111</v>
      </c>
      <c r="D124">
        <v>20</v>
      </c>
      <c r="E124">
        <v>30</v>
      </c>
      <c r="F124">
        <v>150</v>
      </c>
      <c r="G124">
        <v>5.0371374831543809</v>
      </c>
      <c r="H124">
        <v>32</v>
      </c>
      <c r="I124">
        <v>65</v>
      </c>
      <c r="J124">
        <v>0</v>
      </c>
      <c r="K124" s="8">
        <v>7.1527619047619098</v>
      </c>
      <c r="N124">
        <v>5.2</v>
      </c>
      <c r="O124" s="8">
        <v>6.6639999999999997</v>
      </c>
      <c r="R124" s="8">
        <v>0</v>
      </c>
      <c r="S124" t="s">
        <v>68</v>
      </c>
      <c r="T124">
        <v>47.716000000000001</v>
      </c>
      <c r="U124">
        <v>11.1489523809524</v>
      </c>
      <c r="V124">
        <v>43.167142857142899</v>
      </c>
      <c r="W124">
        <v>65.272000000000006</v>
      </c>
      <c r="X124">
        <v>6.0185714285714402</v>
      </c>
      <c r="Y124">
        <v>3.8190476190476201</v>
      </c>
      <c r="Z124">
        <v>-10.133333333333301</v>
      </c>
      <c r="AA124">
        <v>60.626857142857098</v>
      </c>
      <c r="AC124" t="s">
        <v>128</v>
      </c>
      <c r="AD124" t="s">
        <v>127</v>
      </c>
      <c r="AE124" t="s">
        <v>128</v>
      </c>
      <c r="AF124">
        <v>5</v>
      </c>
      <c r="AG124">
        <v>8</v>
      </c>
      <c r="AH124">
        <v>7</v>
      </c>
      <c r="AI124">
        <v>7</v>
      </c>
      <c r="AJ124">
        <v>8</v>
      </c>
      <c r="AK124">
        <v>9</v>
      </c>
    </row>
    <row r="125" spans="1:37" x14ac:dyDescent="0.3">
      <c r="B125" t="s">
        <v>74</v>
      </c>
      <c r="C125">
        <v>0</v>
      </c>
      <c r="D125">
        <v>0</v>
      </c>
      <c r="E125">
        <v>0</v>
      </c>
      <c r="F125">
        <v>150</v>
      </c>
      <c r="G125">
        <v>0</v>
      </c>
      <c r="H125">
        <v>32</v>
      </c>
      <c r="I125">
        <v>65</v>
      </c>
      <c r="J125">
        <v>0</v>
      </c>
      <c r="K125" s="8">
        <v>6.39</v>
      </c>
      <c r="N125">
        <v>6.6</v>
      </c>
      <c r="O125" s="8">
        <v>1.1200000000000001</v>
      </c>
      <c r="R125" s="8">
        <f>LOG10(66*(10^2))</f>
        <v>3.8195439355418688</v>
      </c>
      <c r="S125" t="s">
        <v>127</v>
      </c>
      <c r="T125">
        <v>53.72</v>
      </c>
      <c r="U125">
        <v>12.03</v>
      </c>
      <c r="V125">
        <v>56.74</v>
      </c>
      <c r="W125">
        <v>79.06</v>
      </c>
      <c r="X125">
        <v>17.5</v>
      </c>
      <c r="Y125">
        <v>0.5</v>
      </c>
      <c r="Z125">
        <v>-6</v>
      </c>
      <c r="AA125">
        <v>56.49</v>
      </c>
      <c r="AC125" t="s">
        <v>128</v>
      </c>
      <c r="AD125" t="s">
        <v>125</v>
      </c>
      <c r="AE125" t="s">
        <v>128</v>
      </c>
      <c r="AF125">
        <v>8</v>
      </c>
      <c r="AG125">
        <v>5</v>
      </c>
      <c r="AH125">
        <v>5</v>
      </c>
      <c r="AI125">
        <v>5</v>
      </c>
      <c r="AJ125">
        <v>6</v>
      </c>
      <c r="AK125">
        <v>6</v>
      </c>
    </row>
    <row r="126" spans="1:37" x14ac:dyDescent="0.3">
      <c r="B126" t="s">
        <v>74</v>
      </c>
      <c r="C126">
        <v>0</v>
      </c>
      <c r="D126">
        <v>0</v>
      </c>
      <c r="E126">
        <v>0</v>
      </c>
      <c r="F126">
        <v>150</v>
      </c>
      <c r="G126">
        <v>0</v>
      </c>
      <c r="H126">
        <v>32</v>
      </c>
      <c r="I126">
        <v>65</v>
      </c>
      <c r="J126">
        <v>0</v>
      </c>
      <c r="K126" s="8">
        <v>6.5</v>
      </c>
      <c r="N126">
        <v>6.8</v>
      </c>
      <c r="O126" s="8">
        <v>1.24</v>
      </c>
      <c r="R126" s="8">
        <f>LOG10(63*(10^2))</f>
        <v>3.7993405494535817</v>
      </c>
      <c r="S126" t="s">
        <v>127</v>
      </c>
      <c r="T126">
        <v>53.71</v>
      </c>
      <c r="U126">
        <v>12.02</v>
      </c>
      <c r="V126">
        <v>56.83</v>
      </c>
      <c r="W126">
        <v>79.11</v>
      </c>
      <c r="X126">
        <v>17.5</v>
      </c>
      <c r="Y126">
        <v>0.4</v>
      </c>
      <c r="Z126">
        <v>-12</v>
      </c>
      <c r="AA126">
        <v>56.2</v>
      </c>
      <c r="AC126" t="s">
        <v>128</v>
      </c>
      <c r="AD126" t="s">
        <v>125</v>
      </c>
      <c r="AE126" t="s">
        <v>128</v>
      </c>
      <c r="AF126">
        <v>6</v>
      </c>
      <c r="AG126">
        <v>8</v>
      </c>
      <c r="AH126">
        <v>8</v>
      </c>
      <c r="AI126">
        <v>8</v>
      </c>
      <c r="AJ126">
        <v>8</v>
      </c>
      <c r="AK126">
        <v>8</v>
      </c>
    </row>
    <row r="127" spans="1:37" x14ac:dyDescent="0.3">
      <c r="B127" t="s">
        <v>74</v>
      </c>
      <c r="C127">
        <v>0</v>
      </c>
      <c r="D127">
        <v>0</v>
      </c>
      <c r="E127">
        <v>0</v>
      </c>
      <c r="F127">
        <v>150</v>
      </c>
      <c r="G127">
        <v>0</v>
      </c>
      <c r="H127">
        <v>32</v>
      </c>
      <c r="I127">
        <v>65</v>
      </c>
      <c r="J127">
        <v>0</v>
      </c>
      <c r="K127" s="8">
        <v>6.45</v>
      </c>
      <c r="N127">
        <v>6.4</v>
      </c>
      <c r="O127" s="8">
        <v>2.69</v>
      </c>
      <c r="R127" s="8">
        <f>LOG10(57*(10^2))</f>
        <v>3.7558748556724915</v>
      </c>
      <c r="S127" t="s">
        <v>127</v>
      </c>
      <c r="T127">
        <v>53.71</v>
      </c>
      <c r="U127">
        <v>12.04</v>
      </c>
      <c r="V127">
        <v>56.79</v>
      </c>
      <c r="W127">
        <v>79.09</v>
      </c>
      <c r="X127">
        <v>17.600000000000001</v>
      </c>
      <c r="Y127">
        <v>0.4</v>
      </c>
      <c r="Z127">
        <v>1</v>
      </c>
      <c r="AA127">
        <v>57.28</v>
      </c>
      <c r="AC127" t="s">
        <v>128</v>
      </c>
      <c r="AD127" t="s">
        <v>125</v>
      </c>
      <c r="AE127" t="s">
        <v>128</v>
      </c>
      <c r="AF127">
        <v>8</v>
      </c>
      <c r="AG127">
        <v>7</v>
      </c>
      <c r="AH127">
        <v>6</v>
      </c>
      <c r="AI127">
        <v>5</v>
      </c>
      <c r="AJ127">
        <v>6</v>
      </c>
      <c r="AK127">
        <v>6</v>
      </c>
    </row>
    <row r="128" spans="1:37" x14ac:dyDescent="0.3">
      <c r="B128" t="s">
        <v>136</v>
      </c>
      <c r="C128">
        <v>111</v>
      </c>
      <c r="D128">
        <v>20</v>
      </c>
      <c r="E128">
        <v>30</v>
      </c>
      <c r="F128">
        <v>150</v>
      </c>
      <c r="G128">
        <v>5.0371374831543809</v>
      </c>
      <c r="H128">
        <v>32</v>
      </c>
      <c r="I128">
        <v>65</v>
      </c>
      <c r="J128">
        <v>10</v>
      </c>
      <c r="K128" s="8">
        <v>6.8112380952381004</v>
      </c>
      <c r="N128">
        <v>5.3</v>
      </c>
      <c r="O128" s="8">
        <v>6.5</v>
      </c>
      <c r="R128" s="8">
        <v>0</v>
      </c>
      <c r="S128" t="s">
        <v>127</v>
      </c>
      <c r="T128">
        <v>49.88</v>
      </c>
      <c r="U128">
        <v>8.7899999999999991</v>
      </c>
      <c r="V128">
        <v>43.23</v>
      </c>
      <c r="W128">
        <v>66.59</v>
      </c>
      <c r="X128">
        <v>2.0499999999999998</v>
      </c>
      <c r="Y128">
        <v>4.4000000000000004</v>
      </c>
      <c r="Z128">
        <v>-12</v>
      </c>
      <c r="AA128">
        <v>56.403627705627699</v>
      </c>
      <c r="AC128" t="s">
        <v>128</v>
      </c>
      <c r="AD128" t="s">
        <v>127</v>
      </c>
      <c r="AE128" t="s">
        <v>128</v>
      </c>
      <c r="AF128">
        <v>5</v>
      </c>
      <c r="AG128">
        <v>5</v>
      </c>
      <c r="AH128">
        <v>8</v>
      </c>
      <c r="AI128">
        <v>8</v>
      </c>
      <c r="AJ128">
        <v>9</v>
      </c>
      <c r="AK128">
        <v>9</v>
      </c>
    </row>
    <row r="129" spans="1:37" x14ac:dyDescent="0.3">
      <c r="B129" t="s">
        <v>136</v>
      </c>
      <c r="C129">
        <v>111</v>
      </c>
      <c r="D129">
        <v>20</v>
      </c>
      <c r="E129">
        <v>30</v>
      </c>
      <c r="F129">
        <v>150</v>
      </c>
      <c r="G129">
        <v>5.0371374831543809</v>
      </c>
      <c r="H129">
        <v>32</v>
      </c>
      <c r="I129">
        <v>65</v>
      </c>
      <c r="J129">
        <v>10</v>
      </c>
      <c r="K129" s="8">
        <v>6.8420293040293103</v>
      </c>
      <c r="N129">
        <v>5.3</v>
      </c>
      <c r="O129" s="8">
        <v>4.82</v>
      </c>
      <c r="R129" s="8">
        <v>0</v>
      </c>
      <c r="S129" t="s">
        <v>127</v>
      </c>
      <c r="T129">
        <v>49.76</v>
      </c>
      <c r="U129">
        <v>8.83</v>
      </c>
      <c r="V129">
        <v>43.15</v>
      </c>
      <c r="W129">
        <v>66.45</v>
      </c>
      <c r="X129">
        <v>2.11</v>
      </c>
      <c r="Y129">
        <v>4.4000000000000004</v>
      </c>
      <c r="Z129">
        <v>-16</v>
      </c>
      <c r="AA129">
        <v>55.7309513819514</v>
      </c>
      <c r="AC129" t="s">
        <v>128</v>
      </c>
      <c r="AD129" t="s">
        <v>127</v>
      </c>
      <c r="AE129" t="s">
        <v>128</v>
      </c>
      <c r="AF129">
        <v>6</v>
      </c>
      <c r="AG129">
        <v>8</v>
      </c>
      <c r="AH129">
        <v>6</v>
      </c>
      <c r="AI129">
        <v>5</v>
      </c>
      <c r="AJ129">
        <v>8</v>
      </c>
      <c r="AK129">
        <v>7</v>
      </c>
    </row>
    <row r="130" spans="1:37" x14ac:dyDescent="0.3">
      <c r="B130" t="s">
        <v>136</v>
      </c>
      <c r="C130">
        <v>111</v>
      </c>
      <c r="D130">
        <v>20</v>
      </c>
      <c r="E130">
        <v>30</v>
      </c>
      <c r="F130">
        <v>150</v>
      </c>
      <c r="G130">
        <v>5.0371374831543809</v>
      </c>
      <c r="H130">
        <v>32</v>
      </c>
      <c r="I130">
        <v>65</v>
      </c>
      <c r="J130">
        <v>10</v>
      </c>
      <c r="K130" s="8">
        <v>6.8728205128205104</v>
      </c>
      <c r="N130">
        <v>5.7</v>
      </c>
      <c r="O130" s="8">
        <v>4.3600000000000003</v>
      </c>
      <c r="R130" s="10">
        <f>LOG10(39*(10^1))</f>
        <v>2.5910646070264991</v>
      </c>
      <c r="S130" s="10" t="s">
        <v>208</v>
      </c>
      <c r="T130">
        <v>49.77</v>
      </c>
      <c r="U130">
        <v>8.81</v>
      </c>
      <c r="V130">
        <v>43.16</v>
      </c>
      <c r="W130">
        <v>66.459999999999994</v>
      </c>
      <c r="X130">
        <v>2.15</v>
      </c>
      <c r="Y130">
        <v>4.5</v>
      </c>
      <c r="Z130">
        <v>-20</v>
      </c>
      <c r="AA130">
        <v>55.058275058275001</v>
      </c>
      <c r="AC130" t="s">
        <v>128</v>
      </c>
      <c r="AD130" t="s">
        <v>208</v>
      </c>
      <c r="AE130" t="s">
        <v>128</v>
      </c>
      <c r="AF130">
        <v>7</v>
      </c>
      <c r="AG130">
        <v>8</v>
      </c>
      <c r="AH130">
        <v>6</v>
      </c>
      <c r="AI130" t="s">
        <v>213</v>
      </c>
      <c r="AJ130">
        <v>5</v>
      </c>
      <c r="AK130">
        <v>1</v>
      </c>
    </row>
    <row r="131" spans="1:37" x14ac:dyDescent="0.3">
      <c r="B131" t="s">
        <v>137</v>
      </c>
      <c r="C131">
        <v>0</v>
      </c>
      <c r="D131">
        <v>0</v>
      </c>
      <c r="E131">
        <v>0</v>
      </c>
      <c r="F131">
        <v>150</v>
      </c>
      <c r="G131">
        <v>0</v>
      </c>
      <c r="H131">
        <v>32</v>
      </c>
      <c r="I131">
        <v>65</v>
      </c>
      <c r="J131">
        <v>10</v>
      </c>
      <c r="K131" s="8">
        <v>4.97</v>
      </c>
      <c r="N131">
        <v>5.2</v>
      </c>
      <c r="O131" s="8">
        <v>3.23</v>
      </c>
      <c r="R131" s="10">
        <f>LOG10(224*(10^7))</f>
        <v>9.3502480183341632</v>
      </c>
      <c r="S131" s="10" t="s">
        <v>208</v>
      </c>
      <c r="T131">
        <v>58.97</v>
      </c>
      <c r="U131">
        <v>8.6999999999999993</v>
      </c>
      <c r="V131">
        <v>45.62</v>
      </c>
      <c r="W131">
        <v>75.06</v>
      </c>
      <c r="X131">
        <v>0</v>
      </c>
      <c r="AA131">
        <v>54.385598734598702</v>
      </c>
      <c r="AC131" t="s">
        <v>143</v>
      </c>
      <c r="AD131" t="s">
        <v>69</v>
      </c>
      <c r="AE131" t="s">
        <v>203</v>
      </c>
      <c r="AF131">
        <v>2</v>
      </c>
      <c r="AG131">
        <v>2</v>
      </c>
      <c r="AH131">
        <v>1</v>
      </c>
      <c r="AI131" t="s">
        <v>213</v>
      </c>
      <c r="AJ131">
        <v>8</v>
      </c>
      <c r="AK131">
        <v>2</v>
      </c>
    </row>
    <row r="132" spans="1:37" x14ac:dyDescent="0.3">
      <c r="B132" t="s">
        <v>137</v>
      </c>
      <c r="C132">
        <v>0</v>
      </c>
      <c r="D132">
        <v>0</v>
      </c>
      <c r="E132">
        <v>0</v>
      </c>
      <c r="F132">
        <v>150</v>
      </c>
      <c r="G132">
        <v>0</v>
      </c>
      <c r="H132">
        <v>32</v>
      </c>
      <c r="I132">
        <v>65</v>
      </c>
      <c r="J132">
        <v>10</v>
      </c>
      <c r="K132" s="8">
        <v>4.9800000000000004</v>
      </c>
      <c r="N132">
        <v>5.8</v>
      </c>
      <c r="O132" s="8">
        <v>2.6</v>
      </c>
      <c r="R132" s="10">
        <f>LOG10(244*(10^7))</f>
        <v>9.3873898263387296</v>
      </c>
      <c r="S132" s="10" t="s">
        <v>208</v>
      </c>
      <c r="T132">
        <v>58.95</v>
      </c>
      <c r="U132">
        <v>8.7100000000000009</v>
      </c>
      <c r="V132">
        <v>45.61</v>
      </c>
      <c r="W132">
        <v>75.040000000000006</v>
      </c>
      <c r="X132">
        <v>0</v>
      </c>
      <c r="AA132">
        <v>53.712922410922403</v>
      </c>
      <c r="AC132" t="s">
        <v>143</v>
      </c>
      <c r="AD132" t="s">
        <v>69</v>
      </c>
      <c r="AE132" t="s">
        <v>203</v>
      </c>
      <c r="AF132">
        <v>1</v>
      </c>
      <c r="AG132">
        <v>1</v>
      </c>
      <c r="AH132">
        <v>3</v>
      </c>
      <c r="AI132" t="s">
        <v>213</v>
      </c>
      <c r="AJ132">
        <v>2</v>
      </c>
      <c r="AK132">
        <v>1</v>
      </c>
    </row>
    <row r="133" spans="1:37" x14ac:dyDescent="0.3">
      <c r="B133" t="s">
        <v>137</v>
      </c>
      <c r="C133">
        <v>0</v>
      </c>
      <c r="D133">
        <v>0</v>
      </c>
      <c r="E133">
        <v>0</v>
      </c>
      <c r="F133">
        <v>150</v>
      </c>
      <c r="G133">
        <v>0</v>
      </c>
      <c r="H133">
        <v>32</v>
      </c>
      <c r="I133">
        <v>65</v>
      </c>
      <c r="J133">
        <v>10</v>
      </c>
      <c r="K133" s="8">
        <v>4.2300000000000004</v>
      </c>
      <c r="N133">
        <v>5.7</v>
      </c>
      <c r="O133" s="8">
        <v>3.46</v>
      </c>
      <c r="R133" s="10">
        <f>LOG10(163*(10^7))</f>
        <v>9.2121876044039581</v>
      </c>
      <c r="S133" s="10" t="s">
        <v>208</v>
      </c>
      <c r="T133">
        <v>58.95</v>
      </c>
      <c r="U133">
        <v>8.6999999999999993</v>
      </c>
      <c r="V133">
        <v>45.58</v>
      </c>
      <c r="W133">
        <v>75.02</v>
      </c>
      <c r="X133">
        <v>0</v>
      </c>
      <c r="AA133">
        <v>53.040246087246103</v>
      </c>
      <c r="AC133" t="s">
        <v>143</v>
      </c>
      <c r="AD133" t="s">
        <v>69</v>
      </c>
      <c r="AE133" t="s">
        <v>203</v>
      </c>
      <c r="AF133">
        <v>3</v>
      </c>
      <c r="AG133">
        <v>2</v>
      </c>
      <c r="AH133">
        <v>2</v>
      </c>
      <c r="AI133" t="s">
        <v>213</v>
      </c>
      <c r="AJ133">
        <v>2</v>
      </c>
      <c r="AK133">
        <v>1</v>
      </c>
    </row>
    <row r="135" spans="1:37" x14ac:dyDescent="0.3">
      <c r="A135" t="s">
        <v>76</v>
      </c>
      <c r="B135" t="s">
        <v>77</v>
      </c>
      <c r="C135">
        <v>111</v>
      </c>
      <c r="D135">
        <v>20</v>
      </c>
      <c r="E135">
        <v>40</v>
      </c>
      <c r="F135">
        <v>150</v>
      </c>
      <c r="G135">
        <v>6.5337945250000002</v>
      </c>
      <c r="H135">
        <v>32</v>
      </c>
      <c r="I135">
        <v>65</v>
      </c>
      <c r="J135">
        <v>0</v>
      </c>
      <c r="K135" s="8">
        <v>6.92</v>
      </c>
      <c r="N135">
        <v>5.5</v>
      </c>
      <c r="O135" s="8">
        <v>7.8</v>
      </c>
      <c r="R135" s="8">
        <v>0</v>
      </c>
      <c r="S135" t="s">
        <v>127</v>
      </c>
      <c r="T135">
        <v>51.27</v>
      </c>
      <c r="U135">
        <v>8.93</v>
      </c>
      <c r="V135">
        <v>44.29</v>
      </c>
      <c r="W135">
        <v>68.34</v>
      </c>
      <c r="X135">
        <v>4.5199999999999996</v>
      </c>
      <c r="Y135">
        <v>3</v>
      </c>
      <c r="Z135">
        <v>-13</v>
      </c>
      <c r="AA135">
        <v>66.02</v>
      </c>
      <c r="AC135" t="s">
        <v>128</v>
      </c>
      <c r="AD135" t="s">
        <v>127</v>
      </c>
      <c r="AE135" t="s">
        <v>128</v>
      </c>
      <c r="AF135">
        <v>8</v>
      </c>
      <c r="AG135">
        <v>8</v>
      </c>
      <c r="AH135">
        <v>8</v>
      </c>
      <c r="AI135">
        <v>8</v>
      </c>
      <c r="AJ135">
        <v>8</v>
      </c>
      <c r="AK135">
        <v>8</v>
      </c>
    </row>
    <row r="136" spans="1:37" x14ac:dyDescent="0.3">
      <c r="B136" t="s">
        <v>77</v>
      </c>
      <c r="C136">
        <v>111</v>
      </c>
      <c r="D136">
        <v>20</v>
      </c>
      <c r="E136">
        <v>40</v>
      </c>
      <c r="F136">
        <v>150</v>
      </c>
      <c r="G136">
        <v>6.5337945250000002</v>
      </c>
      <c r="H136">
        <v>32</v>
      </c>
      <c r="I136">
        <v>65</v>
      </c>
      <c r="J136">
        <v>0</v>
      </c>
      <c r="K136" s="8">
        <v>6.96</v>
      </c>
      <c r="N136">
        <v>5.32</v>
      </c>
      <c r="O136" s="8">
        <v>6.5</v>
      </c>
      <c r="R136" s="8">
        <v>0</v>
      </c>
      <c r="S136" t="s">
        <v>127</v>
      </c>
      <c r="T136">
        <v>51.26</v>
      </c>
      <c r="U136">
        <v>8.93</v>
      </c>
      <c r="V136">
        <v>44.35</v>
      </c>
      <c r="W136">
        <v>68.37</v>
      </c>
      <c r="X136">
        <v>5.3</v>
      </c>
      <c r="Y136">
        <v>3</v>
      </c>
      <c r="Z136">
        <v>-19</v>
      </c>
      <c r="AA136">
        <v>66.02</v>
      </c>
      <c r="AC136" t="s">
        <v>128</v>
      </c>
      <c r="AD136" t="s">
        <v>127</v>
      </c>
      <c r="AE136" t="s">
        <v>128</v>
      </c>
      <c r="AF136">
        <v>5</v>
      </c>
      <c r="AG136">
        <v>5</v>
      </c>
      <c r="AH136">
        <v>5</v>
      </c>
      <c r="AI136">
        <v>5</v>
      </c>
      <c r="AJ136">
        <v>6</v>
      </c>
      <c r="AK136">
        <v>5</v>
      </c>
    </row>
    <row r="137" spans="1:37" x14ac:dyDescent="0.3">
      <c r="B137" t="s">
        <v>77</v>
      </c>
      <c r="C137">
        <v>111</v>
      </c>
      <c r="D137">
        <v>20</v>
      </c>
      <c r="E137">
        <v>40</v>
      </c>
      <c r="F137">
        <v>150</v>
      </c>
      <c r="G137">
        <v>6.5337945250000002</v>
      </c>
      <c r="H137">
        <v>32</v>
      </c>
      <c r="I137">
        <v>65</v>
      </c>
      <c r="J137">
        <v>0</v>
      </c>
      <c r="K137" s="8">
        <v>6.96</v>
      </c>
      <c r="N137">
        <v>5.65</v>
      </c>
      <c r="O137" s="8">
        <v>3.99</v>
      </c>
      <c r="R137" s="8">
        <v>0</v>
      </c>
      <c r="S137" t="s">
        <v>127</v>
      </c>
      <c r="T137">
        <v>51.27</v>
      </c>
      <c r="U137">
        <v>8.9499999999999993</v>
      </c>
      <c r="V137">
        <v>44.34</v>
      </c>
      <c r="W137">
        <v>68.37</v>
      </c>
      <c r="X137">
        <v>5.72</v>
      </c>
      <c r="Y137">
        <v>2.9</v>
      </c>
      <c r="Z137">
        <v>-23</v>
      </c>
      <c r="AA137">
        <v>66.02</v>
      </c>
      <c r="AC137" t="s">
        <v>128</v>
      </c>
      <c r="AD137" t="s">
        <v>127</v>
      </c>
      <c r="AE137" t="s">
        <v>128</v>
      </c>
      <c r="AF137">
        <v>8</v>
      </c>
      <c r="AG137">
        <v>8</v>
      </c>
      <c r="AH137">
        <v>8</v>
      </c>
      <c r="AI137">
        <v>8</v>
      </c>
      <c r="AJ137">
        <v>5</v>
      </c>
      <c r="AK137">
        <v>8</v>
      </c>
    </row>
    <row r="138" spans="1:37" x14ac:dyDescent="0.3">
      <c r="B138" t="s">
        <v>78</v>
      </c>
      <c r="C138">
        <v>111</v>
      </c>
      <c r="D138">
        <v>20</v>
      </c>
      <c r="E138">
        <v>40</v>
      </c>
      <c r="F138">
        <v>150</v>
      </c>
      <c r="G138">
        <v>6.5337945250000002</v>
      </c>
      <c r="H138">
        <v>32</v>
      </c>
      <c r="I138">
        <v>65</v>
      </c>
      <c r="J138">
        <v>0</v>
      </c>
      <c r="K138" s="8">
        <v>6.93</v>
      </c>
      <c r="N138">
        <v>5.15</v>
      </c>
      <c r="O138" s="8">
        <v>4.6500000000000004</v>
      </c>
      <c r="R138" s="8">
        <v>0</v>
      </c>
      <c r="S138" t="s">
        <v>127</v>
      </c>
      <c r="T138">
        <v>49.13</v>
      </c>
      <c r="U138">
        <v>8.3699999999999992</v>
      </c>
      <c r="V138">
        <v>41.98</v>
      </c>
      <c r="W138">
        <v>65.16</v>
      </c>
      <c r="X138">
        <v>7.39</v>
      </c>
      <c r="Y138">
        <v>3.5</v>
      </c>
      <c r="Z138">
        <v>-5</v>
      </c>
      <c r="AA138">
        <v>63.46</v>
      </c>
      <c r="AC138" t="s">
        <v>128</v>
      </c>
      <c r="AD138" t="s">
        <v>127</v>
      </c>
      <c r="AE138" t="s">
        <v>128</v>
      </c>
      <c r="AF138">
        <v>5</v>
      </c>
      <c r="AG138">
        <v>5</v>
      </c>
      <c r="AH138">
        <v>7</v>
      </c>
      <c r="AI138">
        <v>5</v>
      </c>
      <c r="AJ138">
        <v>6</v>
      </c>
      <c r="AK138">
        <v>7</v>
      </c>
    </row>
    <row r="139" spans="1:37" x14ac:dyDescent="0.3">
      <c r="B139" t="s">
        <v>78</v>
      </c>
      <c r="C139">
        <v>111</v>
      </c>
      <c r="D139">
        <v>20</v>
      </c>
      <c r="E139">
        <v>40</v>
      </c>
      <c r="F139">
        <v>150</v>
      </c>
      <c r="G139">
        <v>6.5337945250000002</v>
      </c>
      <c r="H139">
        <v>32</v>
      </c>
      <c r="I139">
        <v>65</v>
      </c>
      <c r="J139">
        <v>0</v>
      </c>
      <c r="K139" s="8">
        <v>6.5</v>
      </c>
      <c r="N139">
        <v>5.49</v>
      </c>
      <c r="O139" s="8">
        <v>5.89</v>
      </c>
      <c r="R139" s="8">
        <v>0</v>
      </c>
      <c r="S139" t="s">
        <v>127</v>
      </c>
      <c r="T139">
        <v>49.35</v>
      </c>
      <c r="U139">
        <v>8.3699999999999992</v>
      </c>
      <c r="V139">
        <v>41.73</v>
      </c>
      <c r="W139">
        <v>65.16</v>
      </c>
      <c r="X139">
        <v>7.51</v>
      </c>
      <c r="Y139">
        <v>3.5</v>
      </c>
      <c r="Z139">
        <v>-6</v>
      </c>
      <c r="AA139">
        <v>63.46</v>
      </c>
      <c r="AC139" t="s">
        <v>128</v>
      </c>
      <c r="AD139" t="s">
        <v>127</v>
      </c>
      <c r="AE139" t="s">
        <v>128</v>
      </c>
      <c r="AF139">
        <v>8</v>
      </c>
      <c r="AG139">
        <v>6</v>
      </c>
      <c r="AH139">
        <v>5</v>
      </c>
      <c r="AI139">
        <v>4</v>
      </c>
      <c r="AJ139">
        <v>5</v>
      </c>
      <c r="AK139">
        <v>8</v>
      </c>
    </row>
    <row r="140" spans="1:37" x14ac:dyDescent="0.3">
      <c r="B140" t="s">
        <v>78</v>
      </c>
      <c r="C140">
        <v>111</v>
      </c>
      <c r="D140">
        <v>20</v>
      </c>
      <c r="E140">
        <v>40</v>
      </c>
      <c r="F140">
        <v>150</v>
      </c>
      <c r="G140">
        <v>6.5337945250000002</v>
      </c>
      <c r="H140">
        <v>32</v>
      </c>
      <c r="I140">
        <v>65</v>
      </c>
      <c r="J140">
        <v>0</v>
      </c>
      <c r="K140" s="8">
        <v>6.45</v>
      </c>
      <c r="N140">
        <v>5.46</v>
      </c>
      <c r="O140" s="8">
        <v>5.57</v>
      </c>
      <c r="R140" s="8">
        <v>0</v>
      </c>
      <c r="S140" t="s">
        <v>127</v>
      </c>
      <c r="T140">
        <v>49.39</v>
      </c>
      <c r="U140">
        <v>8.3699999999999992</v>
      </c>
      <c r="V140">
        <v>41.81</v>
      </c>
      <c r="W140">
        <v>65.25</v>
      </c>
      <c r="X140">
        <v>7.62</v>
      </c>
      <c r="Y140">
        <v>3.4</v>
      </c>
      <c r="Z140">
        <v>-10</v>
      </c>
      <c r="AA140">
        <v>63.46</v>
      </c>
      <c r="AC140" t="s">
        <v>128</v>
      </c>
      <c r="AD140" t="s">
        <v>127</v>
      </c>
      <c r="AE140" t="s">
        <v>128</v>
      </c>
      <c r="AF140">
        <v>5</v>
      </c>
      <c r="AG140">
        <v>8</v>
      </c>
      <c r="AH140">
        <v>8</v>
      </c>
      <c r="AI140">
        <v>4</v>
      </c>
      <c r="AJ140">
        <v>8</v>
      </c>
      <c r="AK140">
        <v>7</v>
      </c>
    </row>
    <row r="141" spans="1:37" x14ac:dyDescent="0.3">
      <c r="B141" t="s">
        <v>79</v>
      </c>
      <c r="C141">
        <v>111</v>
      </c>
      <c r="D141">
        <v>20</v>
      </c>
      <c r="E141">
        <v>40</v>
      </c>
      <c r="F141">
        <v>150</v>
      </c>
      <c r="G141">
        <v>6.5337945250000002</v>
      </c>
      <c r="H141">
        <v>32</v>
      </c>
      <c r="I141">
        <v>65</v>
      </c>
      <c r="J141">
        <v>0</v>
      </c>
      <c r="K141" s="8">
        <v>6.8112380952381004</v>
      </c>
      <c r="N141">
        <v>5.28</v>
      </c>
      <c r="O141" s="8">
        <v>5.89</v>
      </c>
      <c r="R141" s="8">
        <v>0</v>
      </c>
      <c r="S141" t="s">
        <v>127</v>
      </c>
      <c r="T141">
        <v>47.31</v>
      </c>
      <c r="U141">
        <v>8.91</v>
      </c>
      <c r="V141">
        <v>40.619999999999997</v>
      </c>
      <c r="W141">
        <v>62.99</v>
      </c>
      <c r="X141">
        <v>11.2</v>
      </c>
      <c r="Y141">
        <v>3</v>
      </c>
      <c r="Z141">
        <v>-9</v>
      </c>
      <c r="AA141">
        <v>57.77</v>
      </c>
      <c r="AC141" t="s">
        <v>128</v>
      </c>
      <c r="AD141" t="s">
        <v>127</v>
      </c>
      <c r="AE141" t="s">
        <v>128</v>
      </c>
      <c r="AF141">
        <v>8</v>
      </c>
      <c r="AG141">
        <v>5</v>
      </c>
      <c r="AH141">
        <v>5</v>
      </c>
      <c r="AI141">
        <v>7</v>
      </c>
      <c r="AJ141">
        <v>6</v>
      </c>
      <c r="AK141">
        <v>8</v>
      </c>
    </row>
    <row r="142" spans="1:37" x14ac:dyDescent="0.3">
      <c r="B142" t="s">
        <v>79</v>
      </c>
      <c r="C142">
        <v>111</v>
      </c>
      <c r="D142">
        <v>20</v>
      </c>
      <c r="E142">
        <v>40</v>
      </c>
      <c r="F142">
        <v>150</v>
      </c>
      <c r="G142">
        <v>6.5337945250000002</v>
      </c>
      <c r="H142">
        <v>32</v>
      </c>
      <c r="I142">
        <v>65</v>
      </c>
      <c r="J142">
        <v>0</v>
      </c>
      <c r="K142" s="8">
        <v>6.8420293040293103</v>
      </c>
      <c r="N142">
        <v>5.46</v>
      </c>
      <c r="O142" s="8">
        <v>5.26</v>
      </c>
      <c r="R142" s="8">
        <v>0</v>
      </c>
      <c r="S142" t="s">
        <v>127</v>
      </c>
      <c r="T142">
        <v>47.29</v>
      </c>
      <c r="U142">
        <v>8.86</v>
      </c>
      <c r="V142">
        <v>40.99</v>
      </c>
      <c r="W142">
        <v>63.2</v>
      </c>
      <c r="X142">
        <v>16.100000000000001</v>
      </c>
      <c r="Y142">
        <v>1.3</v>
      </c>
      <c r="Z142">
        <v>-2</v>
      </c>
      <c r="AA142">
        <v>57.77</v>
      </c>
      <c r="AC142" t="s">
        <v>128</v>
      </c>
      <c r="AD142" t="s">
        <v>127</v>
      </c>
      <c r="AE142" t="s">
        <v>128</v>
      </c>
      <c r="AF142">
        <v>8</v>
      </c>
      <c r="AG142">
        <v>8</v>
      </c>
      <c r="AH142">
        <v>8</v>
      </c>
      <c r="AI142">
        <v>6</v>
      </c>
      <c r="AJ142">
        <v>8</v>
      </c>
      <c r="AK142">
        <v>6</v>
      </c>
    </row>
    <row r="143" spans="1:37" x14ac:dyDescent="0.3">
      <c r="B143" t="s">
        <v>79</v>
      </c>
      <c r="C143">
        <v>111</v>
      </c>
      <c r="D143">
        <v>20</v>
      </c>
      <c r="E143">
        <v>40</v>
      </c>
      <c r="F143">
        <v>150</v>
      </c>
      <c r="G143">
        <v>6.5337945250000002</v>
      </c>
      <c r="H143">
        <v>32</v>
      </c>
      <c r="I143">
        <v>65</v>
      </c>
      <c r="J143">
        <v>0</v>
      </c>
      <c r="K143" s="8">
        <v>6.38</v>
      </c>
      <c r="N143">
        <v>5.7460000000000004</v>
      </c>
      <c r="O143" s="8">
        <v>6.1210000000000004</v>
      </c>
      <c r="R143" s="8">
        <v>0</v>
      </c>
      <c r="S143" t="s">
        <v>127</v>
      </c>
      <c r="T143">
        <v>47.3</v>
      </c>
      <c r="U143">
        <v>8.85</v>
      </c>
      <c r="V143">
        <v>40.99</v>
      </c>
      <c r="W143">
        <v>63.21</v>
      </c>
      <c r="X143">
        <v>14.7</v>
      </c>
      <c r="Y143">
        <v>1.9</v>
      </c>
      <c r="Z143">
        <v>-5</v>
      </c>
      <c r="AA143">
        <v>57.77</v>
      </c>
      <c r="AC143" t="s">
        <v>128</v>
      </c>
      <c r="AD143" t="s">
        <v>127</v>
      </c>
      <c r="AE143" t="s">
        <v>128</v>
      </c>
      <c r="AF143">
        <v>6</v>
      </c>
      <c r="AG143">
        <v>5</v>
      </c>
      <c r="AH143">
        <v>8</v>
      </c>
      <c r="AI143">
        <v>6</v>
      </c>
      <c r="AJ143">
        <v>7</v>
      </c>
      <c r="AK143">
        <v>9</v>
      </c>
    </row>
    <row r="144" spans="1:37" x14ac:dyDescent="0.3">
      <c r="B144" t="s">
        <v>92</v>
      </c>
      <c r="C144">
        <v>0</v>
      </c>
      <c r="D144">
        <v>0</v>
      </c>
      <c r="E144">
        <v>0</v>
      </c>
      <c r="F144">
        <v>150</v>
      </c>
      <c r="H144">
        <v>32</v>
      </c>
      <c r="I144">
        <v>65</v>
      </c>
      <c r="J144">
        <v>0</v>
      </c>
      <c r="K144" s="8">
        <v>6.51</v>
      </c>
      <c r="N144">
        <v>6.25</v>
      </c>
      <c r="O144" s="8">
        <v>0.12</v>
      </c>
      <c r="R144" s="8">
        <f>LOG10(112*(10^2))</f>
        <v>4.0492180226701819</v>
      </c>
      <c r="S144" t="s">
        <v>127</v>
      </c>
      <c r="T144">
        <v>55.31</v>
      </c>
      <c r="U144">
        <v>7.3</v>
      </c>
      <c r="V144">
        <v>48.47</v>
      </c>
      <c r="W144">
        <v>73.91</v>
      </c>
      <c r="X144">
        <v>18.8</v>
      </c>
      <c r="Y144">
        <v>0.3</v>
      </c>
      <c r="Z144">
        <v>-3</v>
      </c>
      <c r="AA144">
        <v>56.2291666666667</v>
      </c>
      <c r="AC144" t="s">
        <v>128</v>
      </c>
      <c r="AD144" t="s">
        <v>125</v>
      </c>
      <c r="AE144" t="s">
        <v>128</v>
      </c>
      <c r="AF144">
        <v>9</v>
      </c>
      <c r="AG144">
        <v>8</v>
      </c>
      <c r="AH144">
        <v>5</v>
      </c>
      <c r="AI144">
        <v>8</v>
      </c>
      <c r="AJ144">
        <v>5</v>
      </c>
      <c r="AK144">
        <v>6</v>
      </c>
    </row>
    <row r="145" spans="1:37" x14ac:dyDescent="0.3">
      <c r="B145" t="s">
        <v>92</v>
      </c>
      <c r="C145">
        <v>0</v>
      </c>
      <c r="D145">
        <v>0</v>
      </c>
      <c r="E145">
        <v>0</v>
      </c>
      <c r="F145">
        <v>150</v>
      </c>
      <c r="H145">
        <v>32</v>
      </c>
      <c r="I145">
        <v>65</v>
      </c>
      <c r="J145">
        <v>0</v>
      </c>
      <c r="K145" s="8">
        <v>6.47</v>
      </c>
      <c r="N145">
        <v>6.13</v>
      </c>
      <c r="O145" s="8">
        <v>1.36</v>
      </c>
      <c r="R145" s="8">
        <f>LOG10(107*(10^2))</f>
        <v>4.0293837776852097</v>
      </c>
      <c r="S145" t="s">
        <v>127</v>
      </c>
      <c r="T145">
        <v>55.28</v>
      </c>
      <c r="U145">
        <v>7.29</v>
      </c>
      <c r="V145">
        <v>48.54</v>
      </c>
      <c r="W145">
        <v>73.930000000000007</v>
      </c>
      <c r="X145">
        <v>18.899999999999999</v>
      </c>
      <c r="Y145">
        <v>0.2</v>
      </c>
      <c r="Z145">
        <v>-2</v>
      </c>
      <c r="AA145">
        <v>54.991666666666703</v>
      </c>
      <c r="AC145" t="s">
        <v>128</v>
      </c>
      <c r="AD145" t="s">
        <v>125</v>
      </c>
      <c r="AE145" t="s">
        <v>128</v>
      </c>
      <c r="AF145">
        <v>8</v>
      </c>
      <c r="AG145">
        <v>5</v>
      </c>
      <c r="AH145">
        <v>8</v>
      </c>
      <c r="AI145">
        <v>9</v>
      </c>
      <c r="AJ145">
        <v>8</v>
      </c>
      <c r="AK145">
        <v>5</v>
      </c>
    </row>
    <row r="146" spans="1:37" x14ac:dyDescent="0.3">
      <c r="B146" t="s">
        <v>92</v>
      </c>
      <c r="C146">
        <v>0</v>
      </c>
      <c r="D146">
        <v>0</v>
      </c>
      <c r="E146">
        <v>0</v>
      </c>
      <c r="F146">
        <v>150</v>
      </c>
      <c r="H146">
        <v>32</v>
      </c>
      <c r="I146">
        <v>65</v>
      </c>
      <c r="J146">
        <v>0</v>
      </c>
      <c r="K146" s="8">
        <v>6.83</v>
      </c>
      <c r="N146">
        <v>6.3</v>
      </c>
      <c r="O146" s="8">
        <v>4.2300000000000004</v>
      </c>
      <c r="R146" s="8">
        <f>LOG10(157*(10^2))</f>
        <v>4.195899652409234</v>
      </c>
      <c r="S146" t="s">
        <v>127</v>
      </c>
      <c r="T146">
        <v>55.28</v>
      </c>
      <c r="U146">
        <v>7.3289999999999997</v>
      </c>
      <c r="V146">
        <v>48.52</v>
      </c>
      <c r="W146">
        <v>73.91</v>
      </c>
      <c r="X146">
        <v>19</v>
      </c>
      <c r="Y146">
        <v>0.2</v>
      </c>
      <c r="Z146">
        <v>-2</v>
      </c>
      <c r="AA146">
        <v>53.754166666666698</v>
      </c>
      <c r="AC146" t="s">
        <v>128</v>
      </c>
      <c r="AD146" t="s">
        <v>125</v>
      </c>
      <c r="AE146" t="s">
        <v>128</v>
      </c>
      <c r="AF146">
        <v>6</v>
      </c>
      <c r="AG146">
        <v>6</v>
      </c>
      <c r="AH146">
        <v>8</v>
      </c>
      <c r="AI146">
        <v>8</v>
      </c>
      <c r="AJ146">
        <v>6</v>
      </c>
      <c r="AK146">
        <v>8</v>
      </c>
    </row>
    <row r="147" spans="1:37" x14ac:dyDescent="0.3">
      <c r="B147" t="s">
        <v>129</v>
      </c>
      <c r="C147">
        <v>111</v>
      </c>
      <c r="D147">
        <v>20</v>
      </c>
      <c r="E147">
        <v>40</v>
      </c>
      <c r="F147">
        <v>150</v>
      </c>
      <c r="G147">
        <v>6.5337945250000002</v>
      </c>
      <c r="H147">
        <v>32</v>
      </c>
      <c r="I147">
        <v>65</v>
      </c>
      <c r="J147">
        <v>10</v>
      </c>
      <c r="K147" s="8">
        <v>6.79</v>
      </c>
      <c r="N147">
        <v>5.3</v>
      </c>
      <c r="O147" s="8">
        <v>5.12</v>
      </c>
      <c r="R147" s="8">
        <v>0</v>
      </c>
      <c r="S147" t="s">
        <v>127</v>
      </c>
      <c r="T147">
        <v>54.22</v>
      </c>
      <c r="U147">
        <v>6.42</v>
      </c>
      <c r="V147">
        <v>43.16</v>
      </c>
      <c r="W147">
        <v>69.59</v>
      </c>
      <c r="X147">
        <v>19.7</v>
      </c>
      <c r="AA147">
        <v>60.23</v>
      </c>
      <c r="AD147" t="s">
        <v>127</v>
      </c>
      <c r="AF147">
        <v>9</v>
      </c>
      <c r="AG147">
        <v>9</v>
      </c>
      <c r="AH147">
        <v>8</v>
      </c>
      <c r="AI147">
        <v>5</v>
      </c>
      <c r="AJ147">
        <v>5</v>
      </c>
      <c r="AK147">
        <v>6</v>
      </c>
    </row>
    <row r="148" spans="1:37" x14ac:dyDescent="0.3">
      <c r="B148" t="s">
        <v>129</v>
      </c>
      <c r="C148">
        <v>111</v>
      </c>
      <c r="D148">
        <v>20</v>
      </c>
      <c r="E148">
        <v>40</v>
      </c>
      <c r="F148">
        <v>150</v>
      </c>
      <c r="G148">
        <v>6.5337945250000002</v>
      </c>
      <c r="H148">
        <v>32</v>
      </c>
      <c r="I148">
        <v>65</v>
      </c>
      <c r="J148">
        <v>10</v>
      </c>
      <c r="K148" s="8">
        <v>6.58</v>
      </c>
      <c r="N148">
        <v>5.6</v>
      </c>
      <c r="O148" s="8">
        <v>4.93</v>
      </c>
      <c r="R148" s="8">
        <v>0</v>
      </c>
      <c r="S148" t="s">
        <v>127</v>
      </c>
      <c r="T148">
        <v>54.21</v>
      </c>
      <c r="U148">
        <v>6.43</v>
      </c>
      <c r="V148">
        <v>43.13</v>
      </c>
      <c r="W148">
        <v>69.569999999999993</v>
      </c>
      <c r="X148">
        <v>19.7</v>
      </c>
      <c r="AA148">
        <v>60.46</v>
      </c>
      <c r="AD148" t="s">
        <v>127</v>
      </c>
      <c r="AF148">
        <v>7</v>
      </c>
      <c r="AG148">
        <v>5</v>
      </c>
      <c r="AH148">
        <v>6</v>
      </c>
      <c r="AI148">
        <v>7</v>
      </c>
      <c r="AJ148">
        <v>9</v>
      </c>
      <c r="AK148">
        <v>9</v>
      </c>
    </row>
    <row r="149" spans="1:37" x14ac:dyDescent="0.3">
      <c r="B149" t="s">
        <v>129</v>
      </c>
      <c r="C149">
        <v>111</v>
      </c>
      <c r="D149">
        <v>20</v>
      </c>
      <c r="E149">
        <v>40</v>
      </c>
      <c r="F149">
        <v>150</v>
      </c>
      <c r="G149">
        <v>6.5337945250000002</v>
      </c>
      <c r="H149">
        <v>32</v>
      </c>
      <c r="I149">
        <v>65</v>
      </c>
      <c r="J149">
        <v>10</v>
      </c>
      <c r="K149" s="8">
        <v>6.58</v>
      </c>
      <c r="N149">
        <v>5.4</v>
      </c>
      <c r="O149" s="8">
        <v>6.78</v>
      </c>
      <c r="R149" s="8">
        <v>0</v>
      </c>
      <c r="S149" t="s">
        <v>127</v>
      </c>
      <c r="T149">
        <v>51.48</v>
      </c>
      <c r="U149">
        <v>5.98</v>
      </c>
      <c r="V149">
        <v>40.28</v>
      </c>
      <c r="W149">
        <v>65.64</v>
      </c>
      <c r="X149">
        <v>18.600000000000001</v>
      </c>
      <c r="AA149">
        <v>60.85</v>
      </c>
      <c r="AD149" t="s">
        <v>127</v>
      </c>
      <c r="AF149">
        <v>9</v>
      </c>
      <c r="AG149">
        <v>8</v>
      </c>
      <c r="AH149">
        <v>9</v>
      </c>
      <c r="AI149">
        <v>6</v>
      </c>
      <c r="AJ149">
        <v>6</v>
      </c>
      <c r="AK149">
        <v>7</v>
      </c>
    </row>
    <row r="150" spans="1:37" x14ac:dyDescent="0.3">
      <c r="B150" t="s">
        <v>130</v>
      </c>
      <c r="C150">
        <v>0</v>
      </c>
      <c r="D150">
        <v>0</v>
      </c>
      <c r="E150">
        <v>0</v>
      </c>
      <c r="F150">
        <v>150</v>
      </c>
      <c r="H150">
        <v>32</v>
      </c>
      <c r="I150">
        <v>65</v>
      </c>
      <c r="J150">
        <v>10</v>
      </c>
      <c r="K150" s="8">
        <v>4.8</v>
      </c>
      <c r="N150">
        <v>6.6</v>
      </c>
      <c r="O150" s="8">
        <v>13.5</v>
      </c>
      <c r="R150" s="10">
        <f>LOG10(112*(10^7))</f>
        <v>9.0492180226701819</v>
      </c>
      <c r="S150" s="10" t="s">
        <v>97</v>
      </c>
      <c r="T150">
        <v>58.5</v>
      </c>
      <c r="U150">
        <v>6.89</v>
      </c>
      <c r="V150">
        <v>52.93</v>
      </c>
      <c r="W150">
        <v>79.19</v>
      </c>
      <c r="X150">
        <v>17.5</v>
      </c>
      <c r="Y150">
        <v>0.5</v>
      </c>
      <c r="Z150">
        <v>-6</v>
      </c>
      <c r="AA150">
        <v>62.63</v>
      </c>
      <c r="AC150" t="s">
        <v>143</v>
      </c>
      <c r="AD150" t="s">
        <v>69</v>
      </c>
      <c r="AE150" t="s">
        <v>203</v>
      </c>
      <c r="AF150">
        <v>3</v>
      </c>
      <c r="AG150">
        <v>3</v>
      </c>
      <c r="AH150">
        <v>2</v>
      </c>
      <c r="AI150" t="s">
        <v>213</v>
      </c>
      <c r="AJ150">
        <v>3</v>
      </c>
      <c r="AK150">
        <v>1</v>
      </c>
    </row>
    <row r="151" spans="1:37" x14ac:dyDescent="0.3">
      <c r="B151" t="s">
        <v>130</v>
      </c>
      <c r="C151">
        <v>0</v>
      </c>
      <c r="D151">
        <v>0</v>
      </c>
      <c r="E151">
        <v>0</v>
      </c>
      <c r="F151">
        <v>150</v>
      </c>
      <c r="H151">
        <v>32</v>
      </c>
      <c r="I151">
        <v>65</v>
      </c>
      <c r="J151">
        <v>10</v>
      </c>
      <c r="K151" s="8">
        <v>4.58</v>
      </c>
      <c r="N151">
        <v>5.6</v>
      </c>
      <c r="O151" s="8">
        <v>10.9</v>
      </c>
      <c r="R151" s="10">
        <f>LOG10(172*(10^7))</f>
        <v>9.2355284469075496</v>
      </c>
      <c r="S151" s="10" t="s">
        <v>97</v>
      </c>
      <c r="T151">
        <v>58.53</v>
      </c>
      <c r="U151">
        <v>6.89</v>
      </c>
      <c r="V151">
        <v>52.85</v>
      </c>
      <c r="W151">
        <v>79.16</v>
      </c>
      <c r="X151">
        <v>17.5</v>
      </c>
      <c r="Y151">
        <v>0.4</v>
      </c>
      <c r="Z151">
        <v>-12</v>
      </c>
      <c r="AA151">
        <v>62.56</v>
      </c>
      <c r="AC151" t="s">
        <v>143</v>
      </c>
      <c r="AD151" t="s">
        <v>69</v>
      </c>
      <c r="AE151" t="s">
        <v>203</v>
      </c>
      <c r="AF151">
        <v>2</v>
      </c>
      <c r="AG151">
        <v>4</v>
      </c>
      <c r="AH151">
        <v>1</v>
      </c>
      <c r="AI151" t="s">
        <v>213</v>
      </c>
      <c r="AJ151">
        <v>2</v>
      </c>
      <c r="AK151">
        <v>1</v>
      </c>
    </row>
    <row r="152" spans="1:37" x14ac:dyDescent="0.3">
      <c r="B152" t="s">
        <v>130</v>
      </c>
      <c r="C152">
        <v>0</v>
      </c>
      <c r="D152">
        <v>0</v>
      </c>
      <c r="E152">
        <v>0</v>
      </c>
      <c r="F152">
        <v>150</v>
      </c>
      <c r="H152">
        <v>32</v>
      </c>
      <c r="I152">
        <v>65</v>
      </c>
      <c r="J152">
        <v>10</v>
      </c>
      <c r="K152" s="8">
        <v>4.6900000000000004</v>
      </c>
      <c r="N152">
        <v>5.8</v>
      </c>
      <c r="O152" s="8">
        <v>9.86</v>
      </c>
      <c r="R152" s="10">
        <f>LOG10(158*(10^7))</f>
        <v>9.1986570869544231</v>
      </c>
      <c r="S152" s="10" t="s">
        <v>97</v>
      </c>
      <c r="T152">
        <v>58.53</v>
      </c>
      <c r="U152">
        <v>6.9</v>
      </c>
      <c r="V152">
        <v>52.78</v>
      </c>
      <c r="W152">
        <v>79.12</v>
      </c>
      <c r="X152">
        <v>17.600000000000001</v>
      </c>
      <c r="Y152">
        <v>0.4</v>
      </c>
      <c r="Z152">
        <v>1</v>
      </c>
      <c r="AA152">
        <v>62.89</v>
      </c>
      <c r="AC152" t="s">
        <v>143</v>
      </c>
      <c r="AD152" t="s">
        <v>69</v>
      </c>
      <c r="AE152" t="s">
        <v>203</v>
      </c>
      <c r="AF152">
        <v>4</v>
      </c>
      <c r="AG152">
        <v>2</v>
      </c>
      <c r="AH152">
        <v>2</v>
      </c>
      <c r="AI152" t="s">
        <v>213</v>
      </c>
      <c r="AJ152">
        <v>3</v>
      </c>
      <c r="AK152">
        <v>1</v>
      </c>
    </row>
    <row r="154" spans="1:37" x14ac:dyDescent="0.3">
      <c r="A154" t="s">
        <v>80</v>
      </c>
      <c r="B154" t="s">
        <v>81</v>
      </c>
      <c r="C154">
        <v>116</v>
      </c>
      <c r="D154">
        <v>20</v>
      </c>
      <c r="E154">
        <v>15</v>
      </c>
      <c r="F154">
        <v>150</v>
      </c>
      <c r="G154">
        <v>8.0258846809804734</v>
      </c>
      <c r="H154">
        <v>32</v>
      </c>
      <c r="I154">
        <v>65</v>
      </c>
      <c r="J154">
        <v>0</v>
      </c>
      <c r="K154" s="8">
        <v>7.02</v>
      </c>
      <c r="N154">
        <v>3.2</v>
      </c>
      <c r="O154" s="8">
        <v>4.5599999999999996</v>
      </c>
      <c r="R154" s="8">
        <v>0</v>
      </c>
      <c r="S154" t="s">
        <v>127</v>
      </c>
      <c r="T154">
        <v>54.22</v>
      </c>
      <c r="U154">
        <v>6.42</v>
      </c>
      <c r="V154">
        <v>43.11</v>
      </c>
      <c r="W154">
        <v>69.569999999999993</v>
      </c>
      <c r="X154">
        <v>19.8</v>
      </c>
      <c r="Y154">
        <v>0</v>
      </c>
      <c r="Z154">
        <v>0</v>
      </c>
      <c r="AA154">
        <v>66.78</v>
      </c>
      <c r="AC154" t="s">
        <v>128</v>
      </c>
      <c r="AD154" t="s">
        <v>127</v>
      </c>
      <c r="AE154" t="s">
        <v>128</v>
      </c>
      <c r="AF154">
        <v>8</v>
      </c>
      <c r="AG154">
        <v>8</v>
      </c>
      <c r="AH154">
        <v>8</v>
      </c>
      <c r="AI154">
        <v>5</v>
      </c>
      <c r="AJ154">
        <v>8</v>
      </c>
      <c r="AK154">
        <v>5</v>
      </c>
    </row>
    <row r="155" spans="1:37" x14ac:dyDescent="0.3">
      <c r="B155" t="s">
        <v>81</v>
      </c>
      <c r="C155">
        <v>116</v>
      </c>
      <c r="D155">
        <v>20</v>
      </c>
      <c r="E155">
        <v>15</v>
      </c>
      <c r="F155">
        <v>150</v>
      </c>
      <c r="G155">
        <v>8.0258846809804734</v>
      </c>
      <c r="H155">
        <v>32</v>
      </c>
      <c r="I155">
        <v>65</v>
      </c>
      <c r="J155">
        <v>0</v>
      </c>
      <c r="K155" s="8">
        <v>6.95</v>
      </c>
      <c r="N155">
        <v>3.5</v>
      </c>
      <c r="O155" s="8">
        <v>6.56</v>
      </c>
      <c r="R155" s="8">
        <v>0</v>
      </c>
      <c r="S155" t="s">
        <v>127</v>
      </c>
      <c r="T155">
        <v>54.22</v>
      </c>
      <c r="U155">
        <v>6.42</v>
      </c>
      <c r="V155">
        <v>43.16</v>
      </c>
      <c r="W155">
        <v>69.59</v>
      </c>
      <c r="X155">
        <v>19.7</v>
      </c>
      <c r="Y155">
        <v>0</v>
      </c>
      <c r="Z155">
        <v>0</v>
      </c>
      <c r="AA155">
        <v>66.75</v>
      </c>
      <c r="AC155" t="s">
        <v>128</v>
      </c>
      <c r="AD155" t="s">
        <v>127</v>
      </c>
      <c r="AE155" t="s">
        <v>128</v>
      </c>
      <c r="AF155">
        <v>5</v>
      </c>
      <c r="AG155">
        <v>5</v>
      </c>
      <c r="AH155">
        <v>5</v>
      </c>
      <c r="AI155">
        <v>6</v>
      </c>
      <c r="AJ155">
        <v>5</v>
      </c>
      <c r="AK155">
        <v>8</v>
      </c>
    </row>
    <row r="156" spans="1:37" x14ac:dyDescent="0.3">
      <c r="B156" t="s">
        <v>81</v>
      </c>
      <c r="C156">
        <v>116</v>
      </c>
      <c r="D156">
        <v>20</v>
      </c>
      <c r="E156">
        <v>15</v>
      </c>
      <c r="F156">
        <v>150</v>
      </c>
      <c r="G156">
        <v>8.0258846809804734</v>
      </c>
      <c r="H156">
        <v>32</v>
      </c>
      <c r="I156">
        <v>65</v>
      </c>
      <c r="J156">
        <v>0</v>
      </c>
      <c r="K156" s="8">
        <v>6.96</v>
      </c>
      <c r="N156">
        <v>3.1</v>
      </c>
      <c r="O156" s="8">
        <v>6.45</v>
      </c>
      <c r="R156" s="8">
        <v>0</v>
      </c>
      <c r="S156" t="s">
        <v>127</v>
      </c>
      <c r="T156">
        <v>54.21</v>
      </c>
      <c r="U156">
        <v>6.43</v>
      </c>
      <c r="V156">
        <v>43.13</v>
      </c>
      <c r="W156">
        <v>69.569999999999993</v>
      </c>
      <c r="X156">
        <v>19.7</v>
      </c>
      <c r="Y156">
        <v>0</v>
      </c>
      <c r="Z156">
        <v>0</v>
      </c>
      <c r="AA156">
        <v>66.8</v>
      </c>
      <c r="AC156" t="s">
        <v>128</v>
      </c>
      <c r="AD156" t="s">
        <v>127</v>
      </c>
      <c r="AE156" t="s">
        <v>128</v>
      </c>
      <c r="AF156">
        <v>8</v>
      </c>
      <c r="AG156">
        <v>8</v>
      </c>
      <c r="AH156">
        <v>8</v>
      </c>
      <c r="AI156">
        <v>8</v>
      </c>
      <c r="AJ156">
        <v>8</v>
      </c>
      <c r="AK156">
        <v>7</v>
      </c>
    </row>
    <row r="157" spans="1:37" x14ac:dyDescent="0.3">
      <c r="B157" t="s">
        <v>82</v>
      </c>
      <c r="C157">
        <v>116</v>
      </c>
      <c r="D157">
        <v>20</v>
      </c>
      <c r="E157">
        <v>15</v>
      </c>
      <c r="F157">
        <v>150</v>
      </c>
      <c r="G157">
        <v>8.0258846809804734</v>
      </c>
      <c r="H157">
        <v>32</v>
      </c>
      <c r="I157">
        <v>65</v>
      </c>
      <c r="J157">
        <v>0</v>
      </c>
      <c r="K157" s="8">
        <v>6.13</v>
      </c>
      <c r="N157">
        <v>2.6</v>
      </c>
      <c r="O157" s="8">
        <v>6.89</v>
      </c>
      <c r="R157" s="8">
        <v>0</v>
      </c>
      <c r="S157" t="s">
        <v>127</v>
      </c>
      <c r="T157">
        <v>51.48</v>
      </c>
      <c r="U157">
        <v>5.98</v>
      </c>
      <c r="V157">
        <v>40.28</v>
      </c>
      <c r="W157">
        <v>65.64</v>
      </c>
      <c r="X157">
        <v>18.600000000000001</v>
      </c>
      <c r="Y157">
        <v>0.3</v>
      </c>
      <c r="Z157">
        <v>-2</v>
      </c>
      <c r="AA157">
        <v>65.510000000000005</v>
      </c>
      <c r="AC157" t="s">
        <v>128</v>
      </c>
      <c r="AD157" t="s">
        <v>127</v>
      </c>
      <c r="AE157" t="s">
        <v>128</v>
      </c>
      <c r="AF157">
        <v>7</v>
      </c>
      <c r="AG157">
        <v>5</v>
      </c>
      <c r="AH157">
        <v>5</v>
      </c>
      <c r="AI157">
        <v>5</v>
      </c>
      <c r="AJ157">
        <v>5</v>
      </c>
      <c r="AK157">
        <v>8</v>
      </c>
    </row>
    <row r="158" spans="1:37" x14ac:dyDescent="0.3">
      <c r="B158" t="s">
        <v>82</v>
      </c>
      <c r="C158">
        <v>116</v>
      </c>
      <c r="D158">
        <v>20</v>
      </c>
      <c r="E158">
        <v>15</v>
      </c>
      <c r="F158">
        <v>150</v>
      </c>
      <c r="G158">
        <v>8.0258846809804734</v>
      </c>
      <c r="H158">
        <v>32</v>
      </c>
      <c r="I158">
        <v>65</v>
      </c>
      <c r="J158">
        <v>0</v>
      </c>
      <c r="K158" s="8">
        <v>6.2</v>
      </c>
      <c r="N158">
        <v>2.8</v>
      </c>
      <c r="O158" s="8">
        <v>6.84</v>
      </c>
      <c r="R158" s="8">
        <v>0</v>
      </c>
      <c r="S158" t="s">
        <v>127</v>
      </c>
      <c r="T158">
        <v>51.48</v>
      </c>
      <c r="U158">
        <v>5.98</v>
      </c>
      <c r="V158">
        <v>40.29</v>
      </c>
      <c r="W158">
        <v>65.64</v>
      </c>
      <c r="X158">
        <v>18.5</v>
      </c>
      <c r="Y158">
        <v>0.3</v>
      </c>
      <c r="Z158">
        <v>-8</v>
      </c>
      <c r="AA158">
        <v>65.510000000000005</v>
      </c>
      <c r="AC158" t="s">
        <v>128</v>
      </c>
      <c r="AD158" t="s">
        <v>127</v>
      </c>
      <c r="AE158" t="s">
        <v>128</v>
      </c>
      <c r="AF158">
        <v>5</v>
      </c>
      <c r="AG158">
        <v>8</v>
      </c>
      <c r="AH158">
        <v>6</v>
      </c>
      <c r="AI158">
        <v>8</v>
      </c>
      <c r="AJ158">
        <v>8</v>
      </c>
      <c r="AK158">
        <v>8</v>
      </c>
    </row>
    <row r="159" spans="1:37" x14ac:dyDescent="0.3">
      <c r="B159" t="s">
        <v>82</v>
      </c>
      <c r="C159">
        <v>116</v>
      </c>
      <c r="D159">
        <v>20</v>
      </c>
      <c r="E159">
        <v>15</v>
      </c>
      <c r="F159">
        <v>150</v>
      </c>
      <c r="G159">
        <v>8.0258846809804734</v>
      </c>
      <c r="H159">
        <v>32</v>
      </c>
      <c r="I159">
        <v>65</v>
      </c>
      <c r="J159">
        <v>0</v>
      </c>
      <c r="K159" s="8">
        <v>6.24</v>
      </c>
      <c r="N159">
        <v>2.6</v>
      </c>
      <c r="O159" s="8">
        <v>6.95</v>
      </c>
      <c r="R159" s="8">
        <v>0</v>
      </c>
      <c r="S159" t="s">
        <v>127</v>
      </c>
      <c r="T159">
        <v>51.49</v>
      </c>
      <c r="U159">
        <v>6</v>
      </c>
      <c r="V159">
        <v>40.270000000000003</v>
      </c>
      <c r="W159">
        <v>65.64</v>
      </c>
      <c r="X159">
        <v>18.2</v>
      </c>
      <c r="Y159">
        <v>0.3</v>
      </c>
      <c r="Z159">
        <v>-8</v>
      </c>
      <c r="AA159">
        <v>65.510000000000005</v>
      </c>
      <c r="AC159" t="s">
        <v>128</v>
      </c>
      <c r="AD159" t="s">
        <v>127</v>
      </c>
      <c r="AE159" t="s">
        <v>128</v>
      </c>
      <c r="AF159">
        <v>8</v>
      </c>
      <c r="AG159">
        <v>6</v>
      </c>
      <c r="AH159">
        <v>8</v>
      </c>
      <c r="AI159">
        <v>5</v>
      </c>
      <c r="AJ159">
        <v>5</v>
      </c>
      <c r="AK159">
        <v>7</v>
      </c>
    </row>
    <row r="160" spans="1:37" x14ac:dyDescent="0.3">
      <c r="B160" t="s">
        <v>83</v>
      </c>
      <c r="C160">
        <v>116</v>
      </c>
      <c r="D160">
        <v>20</v>
      </c>
      <c r="E160">
        <v>15</v>
      </c>
      <c r="F160">
        <v>150</v>
      </c>
      <c r="G160">
        <v>8.0258846809804734</v>
      </c>
      <c r="H160">
        <v>32</v>
      </c>
      <c r="I160">
        <v>65</v>
      </c>
      <c r="J160">
        <v>0</v>
      </c>
      <c r="K160" s="8">
        <v>6.8266666666666698</v>
      </c>
      <c r="N160">
        <v>3.5</v>
      </c>
      <c r="O160" s="8">
        <v>7.95</v>
      </c>
      <c r="R160" s="8">
        <v>0</v>
      </c>
      <c r="S160" t="s">
        <v>127</v>
      </c>
      <c r="T160">
        <v>50.39</v>
      </c>
      <c r="U160">
        <v>5.8179999999999996</v>
      </c>
      <c r="V160">
        <v>39.140666666666696</v>
      </c>
      <c r="W160">
        <v>64.065333333333299</v>
      </c>
      <c r="X160">
        <v>19.7</v>
      </c>
      <c r="Y160">
        <v>0</v>
      </c>
      <c r="Z160">
        <v>0</v>
      </c>
      <c r="AA160">
        <v>66.11</v>
      </c>
      <c r="AC160" t="s">
        <v>128</v>
      </c>
      <c r="AD160" t="s">
        <v>127</v>
      </c>
      <c r="AE160" t="s">
        <v>128</v>
      </c>
      <c r="AF160">
        <v>5</v>
      </c>
      <c r="AG160">
        <v>7</v>
      </c>
      <c r="AH160">
        <v>9</v>
      </c>
      <c r="AI160">
        <v>4</v>
      </c>
      <c r="AJ160">
        <v>7</v>
      </c>
      <c r="AK160">
        <v>7</v>
      </c>
    </row>
    <row r="161" spans="1:37" x14ac:dyDescent="0.3">
      <c r="B161" t="s">
        <v>83</v>
      </c>
      <c r="C161">
        <v>116</v>
      </c>
      <c r="D161">
        <v>20</v>
      </c>
      <c r="E161">
        <v>15</v>
      </c>
      <c r="F161">
        <v>150</v>
      </c>
      <c r="G161">
        <v>8.0258846809804734</v>
      </c>
      <c r="H161">
        <v>32</v>
      </c>
      <c r="I161">
        <v>65</v>
      </c>
      <c r="J161">
        <v>0</v>
      </c>
      <c r="K161" s="8">
        <v>6.7966666666666704</v>
      </c>
      <c r="N161">
        <v>3.8</v>
      </c>
      <c r="O161" s="8">
        <v>8.19</v>
      </c>
      <c r="R161" s="8">
        <v>0</v>
      </c>
      <c r="S161" t="s">
        <v>127</v>
      </c>
      <c r="T161">
        <v>49.687142857142902</v>
      </c>
      <c r="U161">
        <v>5.7074285714285704</v>
      </c>
      <c r="V161">
        <v>38.407523809523802</v>
      </c>
      <c r="W161">
        <v>63.053047619047597</v>
      </c>
      <c r="X161">
        <v>18.5</v>
      </c>
      <c r="Y161">
        <v>0.3</v>
      </c>
      <c r="Z161">
        <v>-2</v>
      </c>
      <c r="AA161">
        <v>66.11</v>
      </c>
      <c r="AC161" t="s">
        <v>128</v>
      </c>
      <c r="AD161" t="s">
        <v>127</v>
      </c>
      <c r="AE161" t="s">
        <v>128</v>
      </c>
      <c r="AF161">
        <v>8</v>
      </c>
      <c r="AG161">
        <v>7</v>
      </c>
      <c r="AH161">
        <v>5</v>
      </c>
      <c r="AI161">
        <v>7</v>
      </c>
      <c r="AJ161">
        <v>5</v>
      </c>
      <c r="AK161">
        <v>6</v>
      </c>
    </row>
    <row r="162" spans="1:37" x14ac:dyDescent="0.3">
      <c r="B162" t="s">
        <v>83</v>
      </c>
      <c r="C162">
        <v>116</v>
      </c>
      <c r="D162">
        <v>20</v>
      </c>
      <c r="E162">
        <v>15</v>
      </c>
      <c r="F162">
        <v>150</v>
      </c>
      <c r="G162">
        <v>8.0258846809804734</v>
      </c>
      <c r="H162">
        <v>32</v>
      </c>
      <c r="I162">
        <v>65</v>
      </c>
      <c r="J162">
        <v>0</v>
      </c>
      <c r="K162" s="8">
        <v>6.7666666666666702</v>
      </c>
      <c r="N162">
        <v>4.2</v>
      </c>
      <c r="O162" s="8">
        <v>9.36</v>
      </c>
      <c r="R162" s="8">
        <v>0</v>
      </c>
      <c r="S162" t="s">
        <v>127</v>
      </c>
      <c r="T162">
        <v>48.984285714285697</v>
      </c>
      <c r="U162">
        <v>5.5968571428571403</v>
      </c>
      <c r="V162">
        <v>37.674380952381</v>
      </c>
      <c r="W162">
        <v>62.040761904761901</v>
      </c>
      <c r="X162">
        <v>19.7</v>
      </c>
      <c r="Y162">
        <v>0</v>
      </c>
      <c r="Z162">
        <v>0</v>
      </c>
      <c r="AA162">
        <v>66.11</v>
      </c>
      <c r="AC162" t="s">
        <v>128</v>
      </c>
      <c r="AD162" t="s">
        <v>127</v>
      </c>
      <c r="AE162" t="s">
        <v>128</v>
      </c>
      <c r="AF162">
        <v>9</v>
      </c>
      <c r="AG162">
        <v>5</v>
      </c>
      <c r="AH162">
        <v>8</v>
      </c>
      <c r="AI162">
        <v>5</v>
      </c>
      <c r="AJ162">
        <v>4</v>
      </c>
      <c r="AK162">
        <v>5</v>
      </c>
    </row>
    <row r="163" spans="1:37" x14ac:dyDescent="0.3">
      <c r="B163" t="s">
        <v>93</v>
      </c>
      <c r="C163">
        <v>0</v>
      </c>
      <c r="D163">
        <v>0</v>
      </c>
      <c r="E163">
        <v>0</v>
      </c>
      <c r="F163">
        <v>150</v>
      </c>
      <c r="G163">
        <v>0</v>
      </c>
      <c r="H163">
        <v>32</v>
      </c>
      <c r="I163">
        <v>65</v>
      </c>
      <c r="J163">
        <v>0</v>
      </c>
      <c r="K163" s="8">
        <v>6.23</v>
      </c>
      <c r="N163">
        <v>4.5</v>
      </c>
      <c r="O163" s="8">
        <v>1.23</v>
      </c>
      <c r="R163" s="8">
        <f>LOG10(57*(10^2))</f>
        <v>3.7558748556724915</v>
      </c>
      <c r="S163" t="s">
        <v>127</v>
      </c>
      <c r="T163">
        <v>55.31</v>
      </c>
      <c r="U163">
        <v>7.3</v>
      </c>
      <c r="V163">
        <v>48.47</v>
      </c>
      <c r="W163">
        <v>73.91</v>
      </c>
      <c r="X163">
        <v>18.8</v>
      </c>
      <c r="Y163">
        <v>0.3</v>
      </c>
      <c r="Z163">
        <v>-3</v>
      </c>
      <c r="AA163">
        <v>67.56</v>
      </c>
      <c r="AC163" t="s">
        <v>128</v>
      </c>
      <c r="AD163" t="s">
        <v>125</v>
      </c>
      <c r="AE163" t="s">
        <v>128</v>
      </c>
      <c r="AF163">
        <v>6</v>
      </c>
      <c r="AG163">
        <v>8</v>
      </c>
      <c r="AH163">
        <v>5</v>
      </c>
      <c r="AI163">
        <v>5</v>
      </c>
      <c r="AJ163">
        <v>9</v>
      </c>
      <c r="AK163">
        <v>9</v>
      </c>
    </row>
    <row r="164" spans="1:37" x14ac:dyDescent="0.3">
      <c r="B164" t="s">
        <v>93</v>
      </c>
      <c r="C164">
        <v>0</v>
      </c>
      <c r="D164">
        <v>0</v>
      </c>
      <c r="E164">
        <v>0</v>
      </c>
      <c r="F164">
        <v>150</v>
      </c>
      <c r="G164">
        <v>0</v>
      </c>
      <c r="H164">
        <v>32</v>
      </c>
      <c r="I164">
        <v>65</v>
      </c>
      <c r="J164">
        <v>0</v>
      </c>
      <c r="K164" s="8">
        <v>6.15</v>
      </c>
      <c r="N164">
        <v>4.5999999999999996</v>
      </c>
      <c r="O164" s="8">
        <v>3.556</v>
      </c>
      <c r="R164" s="8">
        <v>0</v>
      </c>
      <c r="S164" t="s">
        <v>127</v>
      </c>
      <c r="T164">
        <v>55.28</v>
      </c>
      <c r="U164">
        <v>7.29</v>
      </c>
      <c r="V164">
        <v>48.54</v>
      </c>
      <c r="W164">
        <v>73.930000000000007</v>
      </c>
      <c r="X164">
        <v>18.899999999999999</v>
      </c>
      <c r="Y164">
        <v>0.2</v>
      </c>
      <c r="Z164">
        <v>-2</v>
      </c>
      <c r="AA164">
        <v>66.89</v>
      </c>
      <c r="AC164" t="s">
        <v>128</v>
      </c>
      <c r="AD164" t="s">
        <v>125</v>
      </c>
      <c r="AE164" t="s">
        <v>128</v>
      </c>
      <c r="AF164">
        <v>5</v>
      </c>
      <c r="AG164">
        <v>7</v>
      </c>
      <c r="AH164">
        <v>8</v>
      </c>
      <c r="AI164">
        <v>8</v>
      </c>
      <c r="AJ164">
        <v>6</v>
      </c>
      <c r="AK164">
        <v>6</v>
      </c>
    </row>
    <row r="165" spans="1:37" x14ac:dyDescent="0.3">
      <c r="B165" t="s">
        <v>93</v>
      </c>
      <c r="C165">
        <v>0</v>
      </c>
      <c r="D165">
        <v>0</v>
      </c>
      <c r="E165">
        <v>0</v>
      </c>
      <c r="F165">
        <v>150</v>
      </c>
      <c r="G165">
        <v>0</v>
      </c>
      <c r="H165">
        <v>32</v>
      </c>
      <c r="I165">
        <v>65</v>
      </c>
      <c r="J165">
        <v>0</v>
      </c>
      <c r="K165" s="8">
        <v>6.97</v>
      </c>
      <c r="N165">
        <v>4.0999999999999996</v>
      </c>
      <c r="O165" s="8">
        <v>2.86</v>
      </c>
      <c r="R165" s="8">
        <f>LOG10(102*(10^2))</f>
        <v>4.008600171761918</v>
      </c>
      <c r="S165" t="s">
        <v>127</v>
      </c>
      <c r="T165">
        <v>55.28</v>
      </c>
      <c r="U165">
        <v>7.3289999999999997</v>
      </c>
      <c r="V165">
        <v>48.52</v>
      </c>
      <c r="W165">
        <v>73.91</v>
      </c>
      <c r="X165">
        <v>19</v>
      </c>
      <c r="Y165">
        <v>0.2</v>
      </c>
      <c r="Z165">
        <v>-2</v>
      </c>
      <c r="AA165">
        <v>67.89</v>
      </c>
      <c r="AC165" t="s">
        <v>128</v>
      </c>
      <c r="AD165" t="s">
        <v>125</v>
      </c>
      <c r="AE165" t="s">
        <v>128</v>
      </c>
      <c r="AF165">
        <v>8</v>
      </c>
      <c r="AG165">
        <v>5</v>
      </c>
      <c r="AH165">
        <v>7</v>
      </c>
      <c r="AI165">
        <v>5</v>
      </c>
      <c r="AJ165">
        <v>9</v>
      </c>
      <c r="AK165">
        <v>6</v>
      </c>
    </row>
    <row r="166" spans="1:37" x14ac:dyDescent="0.3">
      <c r="B166" t="s">
        <v>131</v>
      </c>
      <c r="C166">
        <v>116</v>
      </c>
      <c r="D166">
        <v>20</v>
      </c>
      <c r="E166">
        <v>15</v>
      </c>
      <c r="F166">
        <v>150</v>
      </c>
      <c r="G166">
        <v>8.0258846809804734</v>
      </c>
      <c r="H166">
        <v>32</v>
      </c>
      <c r="I166">
        <v>65</v>
      </c>
      <c r="J166">
        <v>10</v>
      </c>
      <c r="K166" s="8">
        <v>7.02</v>
      </c>
      <c r="N166">
        <v>1.5</v>
      </c>
      <c r="O166" s="8">
        <v>8.6</v>
      </c>
      <c r="R166" s="8">
        <v>0</v>
      </c>
      <c r="S166" t="s">
        <v>127</v>
      </c>
      <c r="T166">
        <v>54.22</v>
      </c>
      <c r="U166">
        <v>6.42</v>
      </c>
      <c r="V166">
        <v>43.16</v>
      </c>
      <c r="W166">
        <v>69.59</v>
      </c>
      <c r="X166">
        <v>19.7</v>
      </c>
      <c r="AC166" t="s">
        <v>128</v>
      </c>
      <c r="AD166" t="s">
        <v>127</v>
      </c>
      <c r="AE166" t="s">
        <v>128</v>
      </c>
      <c r="AF166">
        <v>5</v>
      </c>
      <c r="AG166">
        <v>8</v>
      </c>
      <c r="AH166">
        <v>5</v>
      </c>
      <c r="AI166">
        <v>7</v>
      </c>
      <c r="AJ166">
        <v>6</v>
      </c>
      <c r="AK166">
        <v>9</v>
      </c>
    </row>
    <row r="167" spans="1:37" x14ac:dyDescent="0.3">
      <c r="B167" t="s">
        <v>131</v>
      </c>
      <c r="C167">
        <v>116</v>
      </c>
      <c r="D167">
        <v>20</v>
      </c>
      <c r="E167">
        <v>15</v>
      </c>
      <c r="F167">
        <v>150</v>
      </c>
      <c r="G167">
        <v>8.0258846809804734</v>
      </c>
      <c r="H167">
        <v>32</v>
      </c>
      <c r="I167">
        <v>65</v>
      </c>
      <c r="J167">
        <v>10</v>
      </c>
      <c r="K167" s="8">
        <v>7.18</v>
      </c>
      <c r="N167">
        <v>1.2</v>
      </c>
      <c r="O167" s="8">
        <v>7.6</v>
      </c>
      <c r="R167" s="8">
        <v>0</v>
      </c>
      <c r="S167" t="s">
        <v>127</v>
      </c>
      <c r="T167">
        <v>54.21</v>
      </c>
      <c r="U167">
        <v>6.43</v>
      </c>
      <c r="V167">
        <v>43.13</v>
      </c>
      <c r="W167">
        <v>69.569999999999993</v>
      </c>
      <c r="X167">
        <v>19.7</v>
      </c>
      <c r="AA167">
        <v>66.59</v>
      </c>
      <c r="AC167" t="s">
        <v>128</v>
      </c>
      <c r="AD167" t="s">
        <v>127</v>
      </c>
      <c r="AE167" t="s">
        <v>128</v>
      </c>
      <c r="AF167">
        <v>8</v>
      </c>
      <c r="AG167">
        <v>5</v>
      </c>
      <c r="AH167">
        <v>5</v>
      </c>
      <c r="AI167">
        <v>4</v>
      </c>
      <c r="AJ167">
        <v>9</v>
      </c>
      <c r="AK167">
        <v>4</v>
      </c>
    </row>
    <row r="168" spans="1:37" x14ac:dyDescent="0.3">
      <c r="B168" t="s">
        <v>131</v>
      </c>
      <c r="C168">
        <v>116</v>
      </c>
      <c r="D168">
        <v>20</v>
      </c>
      <c r="E168">
        <v>15</v>
      </c>
      <c r="F168">
        <v>150</v>
      </c>
      <c r="G168">
        <v>8.0258846809804734</v>
      </c>
      <c r="H168">
        <v>32</v>
      </c>
      <c r="I168">
        <v>65</v>
      </c>
      <c r="J168">
        <v>10</v>
      </c>
      <c r="K168" s="8">
        <v>6.17</v>
      </c>
      <c r="N168">
        <v>2.6</v>
      </c>
      <c r="O168" s="8">
        <v>4.32</v>
      </c>
      <c r="R168" s="8">
        <v>0</v>
      </c>
      <c r="S168" t="s">
        <v>127</v>
      </c>
      <c r="T168">
        <v>51.48</v>
      </c>
      <c r="U168">
        <v>5.98</v>
      </c>
      <c r="V168">
        <v>40.28</v>
      </c>
      <c r="W168">
        <v>65.64</v>
      </c>
      <c r="X168">
        <v>18.600000000000001</v>
      </c>
      <c r="AC168" t="s">
        <v>128</v>
      </c>
      <c r="AD168" t="s">
        <v>127</v>
      </c>
      <c r="AE168" t="s">
        <v>128</v>
      </c>
      <c r="AF168">
        <v>5</v>
      </c>
      <c r="AG168">
        <v>5</v>
      </c>
      <c r="AH168">
        <v>9</v>
      </c>
      <c r="AI168">
        <v>5</v>
      </c>
      <c r="AJ168">
        <v>5</v>
      </c>
      <c r="AK168">
        <v>8</v>
      </c>
    </row>
    <row r="169" spans="1:37" x14ac:dyDescent="0.3">
      <c r="B169" t="s">
        <v>132</v>
      </c>
      <c r="C169">
        <v>0</v>
      </c>
      <c r="D169">
        <v>0</v>
      </c>
      <c r="E169">
        <v>0</v>
      </c>
      <c r="F169">
        <v>150</v>
      </c>
      <c r="G169">
        <v>0</v>
      </c>
      <c r="H169">
        <v>32</v>
      </c>
      <c r="I169">
        <v>65</v>
      </c>
      <c r="J169">
        <v>10</v>
      </c>
      <c r="K169" s="8">
        <v>5.4266666666666703</v>
      </c>
      <c r="N169">
        <v>3.2</v>
      </c>
      <c r="O169" s="8">
        <v>8.99</v>
      </c>
      <c r="R169" s="10">
        <f>LOG10(112*(10^10))</f>
        <v>12.049218022670182</v>
      </c>
      <c r="S169" s="10" t="s">
        <v>97</v>
      </c>
      <c r="T169">
        <v>58.5</v>
      </c>
      <c r="U169">
        <v>6.89</v>
      </c>
      <c r="V169">
        <v>52.93</v>
      </c>
      <c r="W169">
        <v>79.19</v>
      </c>
      <c r="X169">
        <v>1.03</v>
      </c>
      <c r="Y169">
        <v>5.9</v>
      </c>
      <c r="Z169">
        <v>-3</v>
      </c>
      <c r="AA169">
        <v>63.56</v>
      </c>
      <c r="AC169" t="s">
        <v>143</v>
      </c>
      <c r="AD169" t="s">
        <v>69</v>
      </c>
      <c r="AE169" t="s">
        <v>203</v>
      </c>
      <c r="AF169">
        <v>3</v>
      </c>
      <c r="AG169">
        <v>3</v>
      </c>
      <c r="AH169">
        <v>2</v>
      </c>
      <c r="AI169" t="s">
        <v>213</v>
      </c>
      <c r="AJ169">
        <v>3</v>
      </c>
      <c r="AK169">
        <v>1</v>
      </c>
    </row>
    <row r="170" spans="1:37" x14ac:dyDescent="0.3">
      <c r="B170" t="s">
        <v>132</v>
      </c>
      <c r="C170">
        <v>0</v>
      </c>
      <c r="D170">
        <v>0</v>
      </c>
      <c r="E170">
        <v>0</v>
      </c>
      <c r="F170">
        <v>150</v>
      </c>
      <c r="G170">
        <v>0</v>
      </c>
      <c r="H170">
        <v>32</v>
      </c>
      <c r="I170">
        <v>65</v>
      </c>
      <c r="J170">
        <v>10</v>
      </c>
      <c r="K170" s="8">
        <v>5.14</v>
      </c>
      <c r="N170">
        <v>3.5</v>
      </c>
      <c r="O170" s="8">
        <v>8.2899999999999991</v>
      </c>
      <c r="R170" s="10">
        <f>LOG10(101*(10^6))</f>
        <v>8.0043213737826431</v>
      </c>
      <c r="S170" s="10" t="s">
        <v>97</v>
      </c>
      <c r="T170">
        <v>58.53</v>
      </c>
      <c r="U170">
        <v>6.89</v>
      </c>
      <c r="V170">
        <v>52.85</v>
      </c>
      <c r="W170">
        <v>79.16</v>
      </c>
      <c r="X170">
        <v>1.0900000000000001</v>
      </c>
      <c r="Y170">
        <v>5.2</v>
      </c>
      <c r="Z170">
        <v>-3</v>
      </c>
      <c r="AA170">
        <v>64.55</v>
      </c>
      <c r="AC170" t="s">
        <v>143</v>
      </c>
      <c r="AD170" t="s">
        <v>69</v>
      </c>
      <c r="AE170" t="s">
        <v>203</v>
      </c>
      <c r="AF170">
        <v>4</v>
      </c>
      <c r="AG170">
        <v>2</v>
      </c>
      <c r="AH170">
        <v>1</v>
      </c>
      <c r="AI170" t="s">
        <v>213</v>
      </c>
      <c r="AJ170">
        <v>2</v>
      </c>
      <c r="AK170">
        <v>1</v>
      </c>
    </row>
    <row r="171" spans="1:37" x14ac:dyDescent="0.3">
      <c r="B171" t="s">
        <v>132</v>
      </c>
      <c r="C171">
        <v>0</v>
      </c>
      <c r="D171">
        <v>0</v>
      </c>
      <c r="E171">
        <v>0</v>
      </c>
      <c r="F171">
        <v>150</v>
      </c>
      <c r="G171">
        <v>0</v>
      </c>
      <c r="H171">
        <v>32</v>
      </c>
      <c r="I171">
        <v>65</v>
      </c>
      <c r="J171">
        <v>10</v>
      </c>
      <c r="K171" s="8">
        <v>5.36</v>
      </c>
      <c r="N171">
        <v>3.6</v>
      </c>
      <c r="O171" s="8">
        <v>12.55</v>
      </c>
      <c r="R171" s="10">
        <f>LOG10(32*(10^9))</f>
        <v>10.505149978319906</v>
      </c>
      <c r="S171" s="10" t="s">
        <v>97</v>
      </c>
      <c r="T171">
        <v>58.53</v>
      </c>
      <c r="U171">
        <v>6.9</v>
      </c>
      <c r="V171">
        <v>52.78</v>
      </c>
      <c r="W171">
        <v>79.12</v>
      </c>
      <c r="X171">
        <v>1.48</v>
      </c>
      <c r="Y171">
        <v>5</v>
      </c>
      <c r="Z171">
        <v>-6</v>
      </c>
      <c r="AA171">
        <v>63.59</v>
      </c>
      <c r="AC171" t="s">
        <v>143</v>
      </c>
      <c r="AD171" t="s">
        <v>69</v>
      </c>
      <c r="AE171" t="s">
        <v>203</v>
      </c>
      <c r="AF171">
        <v>1</v>
      </c>
      <c r="AG171">
        <v>2</v>
      </c>
      <c r="AH171">
        <v>2</v>
      </c>
      <c r="AI171" t="s">
        <v>213</v>
      </c>
      <c r="AJ171">
        <v>4</v>
      </c>
      <c r="AK171">
        <v>1</v>
      </c>
    </row>
    <row r="172" spans="1:37" x14ac:dyDescent="0.3">
      <c r="AF172" s="3"/>
      <c r="AG172" s="3"/>
      <c r="AH172" s="3"/>
      <c r="AI172" s="3"/>
      <c r="AJ172" s="3"/>
      <c r="AK172" s="3"/>
    </row>
    <row r="173" spans="1:37" x14ac:dyDescent="0.3">
      <c r="A173" t="s">
        <v>84</v>
      </c>
      <c r="B173" t="s">
        <v>85</v>
      </c>
      <c r="C173">
        <v>116</v>
      </c>
      <c r="D173">
        <v>20</v>
      </c>
      <c r="E173">
        <v>25</v>
      </c>
      <c r="F173">
        <v>150</v>
      </c>
      <c r="G173">
        <v>11.344441230105227</v>
      </c>
      <c r="H173">
        <v>32</v>
      </c>
      <c r="I173">
        <v>65</v>
      </c>
      <c r="J173">
        <v>0</v>
      </c>
      <c r="K173" s="8">
        <v>6.9359999999999999</v>
      </c>
      <c r="N173">
        <v>5.6</v>
      </c>
      <c r="O173" s="8">
        <v>4.5999999999999996</v>
      </c>
      <c r="R173" s="8">
        <v>0</v>
      </c>
      <c r="S173" t="s">
        <v>127</v>
      </c>
      <c r="T173">
        <v>48.9</v>
      </c>
      <c r="U173">
        <v>8.85</v>
      </c>
      <c r="V173">
        <v>44.5</v>
      </c>
      <c r="W173">
        <v>66.7</v>
      </c>
      <c r="X173">
        <v>3.78</v>
      </c>
      <c r="Y173">
        <v>5.3</v>
      </c>
      <c r="Z173">
        <v>-7</v>
      </c>
      <c r="AA173">
        <v>62.31</v>
      </c>
      <c r="AC173" t="s">
        <v>128</v>
      </c>
      <c r="AD173" t="s">
        <v>127</v>
      </c>
      <c r="AE173" t="s">
        <v>128</v>
      </c>
      <c r="AF173">
        <v>9</v>
      </c>
      <c r="AG173">
        <v>8</v>
      </c>
      <c r="AH173">
        <v>9</v>
      </c>
      <c r="AI173">
        <v>9</v>
      </c>
      <c r="AJ173">
        <v>9</v>
      </c>
      <c r="AK173">
        <v>9</v>
      </c>
    </row>
    <row r="174" spans="1:37" x14ac:dyDescent="0.3">
      <c r="B174" t="s">
        <v>85</v>
      </c>
      <c r="C174">
        <v>116</v>
      </c>
      <c r="D174">
        <v>20</v>
      </c>
      <c r="E174">
        <v>25</v>
      </c>
      <c r="F174">
        <v>150</v>
      </c>
      <c r="G174">
        <v>11.344441230105227</v>
      </c>
      <c r="H174">
        <v>32</v>
      </c>
      <c r="I174">
        <v>65</v>
      </c>
      <c r="J174">
        <v>0</v>
      </c>
      <c r="K174" s="8">
        <v>6.92</v>
      </c>
      <c r="N174">
        <v>5.5</v>
      </c>
      <c r="O174" s="8">
        <v>4.2</v>
      </c>
      <c r="R174" s="8">
        <v>0</v>
      </c>
      <c r="S174" t="s">
        <v>127</v>
      </c>
      <c r="T174">
        <v>48.98</v>
      </c>
      <c r="U174">
        <v>8.86</v>
      </c>
      <c r="V174">
        <v>44.56</v>
      </c>
      <c r="W174">
        <v>66.81</v>
      </c>
      <c r="X174">
        <v>3.71</v>
      </c>
      <c r="Y174">
        <v>5.5</v>
      </c>
      <c r="Z174">
        <v>-12</v>
      </c>
      <c r="AA174">
        <v>62.31</v>
      </c>
      <c r="AC174" t="s">
        <v>128</v>
      </c>
      <c r="AD174" t="s">
        <v>127</v>
      </c>
      <c r="AE174" t="s">
        <v>128</v>
      </c>
      <c r="AF174">
        <v>8</v>
      </c>
      <c r="AG174">
        <v>8</v>
      </c>
      <c r="AH174">
        <v>7</v>
      </c>
      <c r="AI174">
        <v>8</v>
      </c>
      <c r="AJ174">
        <v>8</v>
      </c>
      <c r="AK174">
        <v>7</v>
      </c>
    </row>
    <row r="175" spans="1:37" x14ac:dyDescent="0.3">
      <c r="B175" t="s">
        <v>85</v>
      </c>
      <c r="C175">
        <v>116</v>
      </c>
      <c r="D175">
        <v>20</v>
      </c>
      <c r="E175">
        <v>25</v>
      </c>
      <c r="F175">
        <v>150</v>
      </c>
      <c r="G175">
        <v>11.344441230105227</v>
      </c>
      <c r="H175">
        <v>32</v>
      </c>
      <c r="I175">
        <v>65</v>
      </c>
      <c r="J175">
        <v>0</v>
      </c>
      <c r="K175" s="8">
        <v>7.1</v>
      </c>
      <c r="N175">
        <v>1.2</v>
      </c>
      <c r="O175" s="8">
        <v>4.5199999999999996</v>
      </c>
      <c r="R175" s="8">
        <v>0</v>
      </c>
      <c r="S175" t="s">
        <v>127</v>
      </c>
      <c r="T175">
        <v>49</v>
      </c>
      <c r="U175">
        <v>8.85</v>
      </c>
      <c r="V175">
        <v>44.5</v>
      </c>
      <c r="W175">
        <v>66.78</v>
      </c>
      <c r="X175">
        <v>3.7</v>
      </c>
      <c r="Y175">
        <v>5.5</v>
      </c>
      <c r="Z175">
        <v>-16</v>
      </c>
      <c r="AA175">
        <v>62.31</v>
      </c>
      <c r="AC175" t="s">
        <v>128</v>
      </c>
      <c r="AD175" t="s">
        <v>127</v>
      </c>
      <c r="AE175" t="s">
        <v>128</v>
      </c>
      <c r="AF175">
        <v>7</v>
      </c>
      <c r="AG175">
        <v>7</v>
      </c>
      <c r="AH175">
        <v>6</v>
      </c>
      <c r="AI175">
        <v>9</v>
      </c>
      <c r="AJ175">
        <v>9</v>
      </c>
      <c r="AK175">
        <v>5</v>
      </c>
    </row>
    <row r="176" spans="1:37" x14ac:dyDescent="0.3">
      <c r="B176" t="s">
        <v>86</v>
      </c>
      <c r="C176">
        <v>116</v>
      </c>
      <c r="D176">
        <v>20</v>
      </c>
      <c r="E176">
        <v>25</v>
      </c>
      <c r="F176">
        <v>150</v>
      </c>
      <c r="G176">
        <v>11.344441230105227</v>
      </c>
      <c r="H176">
        <v>32</v>
      </c>
      <c r="I176">
        <v>65</v>
      </c>
      <c r="J176">
        <v>0</v>
      </c>
      <c r="K176" s="8">
        <v>6.97</v>
      </c>
      <c r="N176">
        <v>1.6</v>
      </c>
      <c r="O176" s="8">
        <v>4.13</v>
      </c>
      <c r="R176" s="8">
        <v>0</v>
      </c>
      <c r="S176" t="s">
        <v>127</v>
      </c>
      <c r="T176">
        <v>51.14</v>
      </c>
      <c r="U176">
        <v>8.69</v>
      </c>
      <c r="V176">
        <v>45.69</v>
      </c>
      <c r="W176">
        <v>69.13</v>
      </c>
      <c r="X176">
        <v>2.87</v>
      </c>
      <c r="Y176">
        <v>3.9</v>
      </c>
      <c r="Z176">
        <v>-8</v>
      </c>
      <c r="AA176">
        <v>60.29</v>
      </c>
      <c r="AC176" t="s">
        <v>128</v>
      </c>
      <c r="AD176" t="s">
        <v>127</v>
      </c>
      <c r="AE176" t="s">
        <v>128</v>
      </c>
      <c r="AF176">
        <v>8</v>
      </c>
      <c r="AG176">
        <v>6</v>
      </c>
      <c r="AH176">
        <v>9</v>
      </c>
      <c r="AI176">
        <v>8</v>
      </c>
      <c r="AJ176">
        <v>7</v>
      </c>
      <c r="AK176">
        <v>6</v>
      </c>
    </row>
    <row r="177" spans="1:37" x14ac:dyDescent="0.3">
      <c r="B177" t="s">
        <v>86</v>
      </c>
      <c r="C177">
        <v>116</v>
      </c>
      <c r="D177">
        <v>20</v>
      </c>
      <c r="E177">
        <v>25</v>
      </c>
      <c r="F177">
        <v>150</v>
      </c>
      <c r="G177">
        <v>11.344441230105227</v>
      </c>
      <c r="H177">
        <v>32</v>
      </c>
      <c r="I177">
        <v>65</v>
      </c>
      <c r="J177">
        <v>0</v>
      </c>
      <c r="K177" s="8">
        <v>6.92</v>
      </c>
      <c r="N177">
        <v>1.5</v>
      </c>
      <c r="O177" s="8">
        <v>4.58</v>
      </c>
      <c r="R177" s="8">
        <v>0</v>
      </c>
      <c r="S177" t="s">
        <v>127</v>
      </c>
      <c r="T177">
        <v>51.17</v>
      </c>
      <c r="U177">
        <v>8.6999999999999993</v>
      </c>
      <c r="V177">
        <v>45.66</v>
      </c>
      <c r="W177">
        <v>69.12</v>
      </c>
      <c r="X177">
        <v>2.2799999999999998</v>
      </c>
      <c r="Y177">
        <v>4.2</v>
      </c>
      <c r="Z177">
        <v>-13</v>
      </c>
      <c r="AA177">
        <v>60.29</v>
      </c>
      <c r="AC177" t="s">
        <v>128</v>
      </c>
      <c r="AD177" t="s">
        <v>127</v>
      </c>
      <c r="AE177" t="s">
        <v>128</v>
      </c>
      <c r="AF177">
        <v>9</v>
      </c>
      <c r="AG177">
        <v>9</v>
      </c>
      <c r="AH177">
        <v>4</v>
      </c>
      <c r="AI177">
        <v>9</v>
      </c>
      <c r="AJ177">
        <v>5</v>
      </c>
      <c r="AK177">
        <v>7</v>
      </c>
    </row>
    <row r="178" spans="1:37" x14ac:dyDescent="0.3">
      <c r="B178" t="s">
        <v>86</v>
      </c>
      <c r="C178">
        <v>116</v>
      </c>
      <c r="D178">
        <v>20</v>
      </c>
      <c r="E178">
        <v>25</v>
      </c>
      <c r="F178">
        <v>150</v>
      </c>
      <c r="G178">
        <v>11.344441230105227</v>
      </c>
      <c r="H178">
        <v>32</v>
      </c>
      <c r="I178">
        <v>65</v>
      </c>
      <c r="J178">
        <v>0</v>
      </c>
      <c r="K178" s="8">
        <v>6.92</v>
      </c>
      <c r="N178">
        <v>1.4</v>
      </c>
      <c r="O178" s="8">
        <v>3.89</v>
      </c>
      <c r="R178" s="8">
        <v>0</v>
      </c>
      <c r="S178" t="s">
        <v>127</v>
      </c>
      <c r="T178">
        <v>51.18</v>
      </c>
      <c r="U178">
        <v>8.73</v>
      </c>
      <c r="V178">
        <v>45.45</v>
      </c>
      <c r="W178">
        <v>69</v>
      </c>
      <c r="X178">
        <v>2.0699999999999998</v>
      </c>
      <c r="Y178">
        <v>4.4000000000000004</v>
      </c>
      <c r="Z178">
        <v>-18</v>
      </c>
      <c r="AA178">
        <v>60.29</v>
      </c>
      <c r="AC178" t="s">
        <v>128</v>
      </c>
      <c r="AD178" t="s">
        <v>127</v>
      </c>
      <c r="AE178" t="s">
        <v>128</v>
      </c>
      <c r="AF178">
        <v>9</v>
      </c>
      <c r="AG178">
        <v>7</v>
      </c>
      <c r="AH178">
        <v>8</v>
      </c>
      <c r="AI178">
        <v>7</v>
      </c>
      <c r="AJ178">
        <v>6</v>
      </c>
      <c r="AK178">
        <v>9</v>
      </c>
    </row>
    <row r="179" spans="1:37" x14ac:dyDescent="0.3">
      <c r="B179" t="s">
        <v>87</v>
      </c>
      <c r="C179">
        <v>116</v>
      </c>
      <c r="D179">
        <v>20</v>
      </c>
      <c r="E179">
        <v>25</v>
      </c>
      <c r="F179">
        <v>150</v>
      </c>
      <c r="G179">
        <v>11.344441230105227</v>
      </c>
      <c r="H179">
        <v>32</v>
      </c>
      <c r="I179">
        <v>65</v>
      </c>
      <c r="J179">
        <v>0</v>
      </c>
      <c r="K179" s="8">
        <v>6.97</v>
      </c>
      <c r="N179">
        <v>2.5</v>
      </c>
      <c r="O179" s="8">
        <v>3.87</v>
      </c>
      <c r="R179" s="8">
        <v>0</v>
      </c>
      <c r="S179" t="s">
        <v>127</v>
      </c>
      <c r="T179">
        <v>52.072666666666699</v>
      </c>
      <c r="U179">
        <v>8.6560000000000006</v>
      </c>
      <c r="V179">
        <v>45.984000000000002</v>
      </c>
      <c r="W179">
        <v>70.001333333333307</v>
      </c>
      <c r="X179">
        <v>3.66</v>
      </c>
      <c r="Y179">
        <v>5.55</v>
      </c>
      <c r="Z179">
        <v>-14</v>
      </c>
      <c r="AA179">
        <v>61.55</v>
      </c>
      <c r="AC179" t="s">
        <v>128</v>
      </c>
      <c r="AD179" t="s">
        <v>127</v>
      </c>
      <c r="AE179" t="s">
        <v>128</v>
      </c>
      <c r="AF179">
        <v>8</v>
      </c>
      <c r="AG179">
        <v>6</v>
      </c>
      <c r="AH179">
        <v>9</v>
      </c>
      <c r="AI179">
        <v>6</v>
      </c>
      <c r="AJ179">
        <v>9</v>
      </c>
      <c r="AK179">
        <v>8</v>
      </c>
    </row>
    <row r="180" spans="1:37" x14ac:dyDescent="0.3">
      <c r="B180" t="s">
        <v>87</v>
      </c>
      <c r="C180">
        <v>116</v>
      </c>
      <c r="D180">
        <v>20</v>
      </c>
      <c r="E180">
        <v>25</v>
      </c>
      <c r="F180">
        <v>150</v>
      </c>
      <c r="G180">
        <v>11.344441230105227</v>
      </c>
      <c r="H180">
        <v>32</v>
      </c>
      <c r="I180">
        <v>65</v>
      </c>
      <c r="J180">
        <v>0</v>
      </c>
      <c r="K180" s="8">
        <v>6.8</v>
      </c>
      <c r="N180">
        <v>2.7</v>
      </c>
      <c r="O180" s="8">
        <v>4.57</v>
      </c>
      <c r="R180" s="8">
        <v>0</v>
      </c>
      <c r="S180" t="s">
        <v>127</v>
      </c>
      <c r="T180">
        <v>52.647238095238102</v>
      </c>
      <c r="U180">
        <v>8.6205714285714308</v>
      </c>
      <c r="V180">
        <v>46.247999999999998</v>
      </c>
      <c r="W180">
        <v>70.595047619047605</v>
      </c>
      <c r="X180">
        <v>3.69</v>
      </c>
      <c r="Y180">
        <v>5.5</v>
      </c>
      <c r="Z180">
        <v>-14</v>
      </c>
      <c r="AA180">
        <v>61.55</v>
      </c>
      <c r="AC180" t="s">
        <v>128</v>
      </c>
      <c r="AD180" t="s">
        <v>127</v>
      </c>
      <c r="AE180" t="s">
        <v>128</v>
      </c>
      <c r="AF180">
        <v>7</v>
      </c>
      <c r="AG180">
        <v>9</v>
      </c>
      <c r="AH180">
        <v>7</v>
      </c>
      <c r="AI180">
        <v>9</v>
      </c>
      <c r="AJ180">
        <v>8</v>
      </c>
      <c r="AK180">
        <v>9</v>
      </c>
    </row>
    <row r="181" spans="1:37" x14ac:dyDescent="0.3">
      <c r="B181" t="s">
        <v>87</v>
      </c>
      <c r="C181">
        <v>116</v>
      </c>
      <c r="D181">
        <v>20</v>
      </c>
      <c r="E181">
        <v>25</v>
      </c>
      <c r="F181">
        <v>150</v>
      </c>
      <c r="G181">
        <v>11.344441230105227</v>
      </c>
      <c r="H181">
        <v>32</v>
      </c>
      <c r="I181">
        <v>65</v>
      </c>
      <c r="J181">
        <v>0</v>
      </c>
      <c r="K181" s="8">
        <v>6.5</v>
      </c>
      <c r="N181">
        <v>2.9</v>
      </c>
      <c r="O181" s="8">
        <v>4.9000000000000004</v>
      </c>
      <c r="R181" s="8">
        <v>0</v>
      </c>
      <c r="S181" t="s">
        <v>127</v>
      </c>
      <c r="T181">
        <v>53.221809523809497</v>
      </c>
      <c r="U181">
        <v>8.5851428571428592</v>
      </c>
      <c r="V181">
        <v>46.512</v>
      </c>
      <c r="W181">
        <v>71.188761904761904</v>
      </c>
      <c r="X181">
        <v>3.7</v>
      </c>
      <c r="Y181">
        <v>5.5</v>
      </c>
      <c r="Z181">
        <v>-6</v>
      </c>
      <c r="AA181">
        <v>61.55</v>
      </c>
      <c r="AC181" t="s">
        <v>128</v>
      </c>
      <c r="AD181" t="s">
        <v>127</v>
      </c>
      <c r="AE181" t="s">
        <v>128</v>
      </c>
      <c r="AF181">
        <v>9</v>
      </c>
      <c r="AG181">
        <v>8</v>
      </c>
      <c r="AH181">
        <v>7</v>
      </c>
      <c r="AI181">
        <v>8</v>
      </c>
      <c r="AJ181">
        <v>8</v>
      </c>
      <c r="AK181">
        <v>8</v>
      </c>
    </row>
    <row r="182" spans="1:37" x14ac:dyDescent="0.3">
      <c r="B182" t="s">
        <v>94</v>
      </c>
      <c r="C182">
        <v>0</v>
      </c>
      <c r="D182">
        <v>0</v>
      </c>
      <c r="E182">
        <v>0</v>
      </c>
      <c r="F182">
        <v>150</v>
      </c>
      <c r="G182">
        <v>0</v>
      </c>
      <c r="H182">
        <v>32</v>
      </c>
      <c r="I182">
        <v>65</v>
      </c>
      <c r="J182">
        <v>0</v>
      </c>
      <c r="K182" s="8">
        <v>6.4</v>
      </c>
      <c r="N182">
        <v>3.8</v>
      </c>
      <c r="O182" s="8">
        <v>2.2999999999999998</v>
      </c>
      <c r="R182" s="8">
        <f>LOG10(57*(10^2))</f>
        <v>3.7558748556724915</v>
      </c>
      <c r="S182" t="s">
        <v>127</v>
      </c>
      <c r="T182">
        <v>50.56</v>
      </c>
      <c r="U182">
        <v>11.03</v>
      </c>
      <c r="V182">
        <v>53.34</v>
      </c>
      <c r="W182">
        <v>74.31</v>
      </c>
      <c r="X182">
        <v>17.5</v>
      </c>
      <c r="Y182">
        <v>0.5</v>
      </c>
      <c r="Z182">
        <v>-6</v>
      </c>
      <c r="AA182">
        <v>57.28</v>
      </c>
      <c r="AC182" t="s">
        <v>128</v>
      </c>
      <c r="AD182" t="s">
        <v>125</v>
      </c>
      <c r="AE182" t="s">
        <v>128</v>
      </c>
      <c r="AF182">
        <v>9</v>
      </c>
      <c r="AG182">
        <v>9</v>
      </c>
      <c r="AH182">
        <v>8</v>
      </c>
      <c r="AI182">
        <v>6</v>
      </c>
      <c r="AJ182">
        <v>9</v>
      </c>
      <c r="AK182">
        <v>9</v>
      </c>
    </row>
    <row r="183" spans="1:37" x14ac:dyDescent="0.3">
      <c r="B183" t="s">
        <v>94</v>
      </c>
      <c r="C183">
        <v>0</v>
      </c>
      <c r="D183">
        <v>0</v>
      </c>
      <c r="E183">
        <v>0</v>
      </c>
      <c r="F183">
        <v>150</v>
      </c>
      <c r="G183">
        <v>0</v>
      </c>
      <c r="H183">
        <v>32</v>
      </c>
      <c r="I183">
        <v>65</v>
      </c>
      <c r="J183">
        <v>0</v>
      </c>
      <c r="K183" s="8">
        <v>6.28</v>
      </c>
      <c r="N183">
        <v>4.8</v>
      </c>
      <c r="O183" s="8">
        <v>2.6</v>
      </c>
      <c r="R183" s="8">
        <f>LOG10(308*(10^7))</f>
        <v>9.4885507165004448</v>
      </c>
      <c r="S183" t="s">
        <v>208</v>
      </c>
      <c r="T183">
        <v>50.6</v>
      </c>
      <c r="U183">
        <v>11</v>
      </c>
      <c r="V183">
        <v>53.34</v>
      </c>
      <c r="W183">
        <v>74.34</v>
      </c>
      <c r="X183">
        <v>17.5</v>
      </c>
      <c r="Y183">
        <v>0.4</v>
      </c>
      <c r="Z183">
        <v>-12</v>
      </c>
      <c r="AA183">
        <v>57.28</v>
      </c>
      <c r="AC183" t="s">
        <v>128</v>
      </c>
      <c r="AD183" t="s">
        <v>211</v>
      </c>
      <c r="AE183" t="s">
        <v>128</v>
      </c>
      <c r="AF183">
        <v>8</v>
      </c>
      <c r="AG183">
        <v>6</v>
      </c>
      <c r="AH183">
        <v>5</v>
      </c>
      <c r="AI183" t="s">
        <v>213</v>
      </c>
      <c r="AJ183">
        <v>9</v>
      </c>
      <c r="AK183">
        <v>1</v>
      </c>
    </row>
    <row r="184" spans="1:37" x14ac:dyDescent="0.3">
      <c r="B184" t="s">
        <v>94</v>
      </c>
      <c r="C184">
        <v>0</v>
      </c>
      <c r="D184">
        <v>0</v>
      </c>
      <c r="E184">
        <v>0</v>
      </c>
      <c r="F184">
        <v>150</v>
      </c>
      <c r="G184">
        <v>0</v>
      </c>
      <c r="H184">
        <v>32</v>
      </c>
      <c r="I184">
        <v>65</v>
      </c>
      <c r="J184">
        <v>0</v>
      </c>
      <c r="K184" s="8">
        <v>6.21</v>
      </c>
      <c r="N184">
        <v>5.7</v>
      </c>
      <c r="O184" s="8">
        <v>1.9</v>
      </c>
      <c r="R184" s="8">
        <f>LOG10(133*(10^2))</f>
        <v>4.1238516409670858</v>
      </c>
      <c r="S184" t="s">
        <v>127</v>
      </c>
      <c r="T184">
        <v>50.59</v>
      </c>
      <c r="U184">
        <v>11.03</v>
      </c>
      <c r="V184">
        <v>53.26</v>
      </c>
      <c r="W184">
        <v>74.28</v>
      </c>
      <c r="X184">
        <v>17.600000000000001</v>
      </c>
      <c r="Y184">
        <v>0.4</v>
      </c>
      <c r="Z184">
        <v>1</v>
      </c>
      <c r="AA184">
        <v>57.28</v>
      </c>
      <c r="AC184" t="s">
        <v>128</v>
      </c>
      <c r="AD184" t="s">
        <v>125</v>
      </c>
      <c r="AE184" t="s">
        <v>128</v>
      </c>
      <c r="AF184">
        <v>9</v>
      </c>
      <c r="AG184">
        <v>5</v>
      </c>
      <c r="AH184">
        <v>8</v>
      </c>
      <c r="AI184">
        <v>7</v>
      </c>
      <c r="AJ184">
        <v>8</v>
      </c>
      <c r="AK184">
        <v>9</v>
      </c>
    </row>
    <row r="185" spans="1:37" x14ac:dyDescent="0.3">
      <c r="B185" t="s">
        <v>131</v>
      </c>
      <c r="C185">
        <v>116</v>
      </c>
      <c r="D185">
        <v>20</v>
      </c>
      <c r="E185">
        <v>25</v>
      </c>
      <c r="F185">
        <v>150</v>
      </c>
      <c r="G185">
        <v>11.344441230105227</v>
      </c>
      <c r="H185">
        <v>32</v>
      </c>
      <c r="I185">
        <v>65</v>
      </c>
      <c r="J185">
        <v>10</v>
      </c>
      <c r="K185" s="8">
        <v>6.2596060606060604</v>
      </c>
      <c r="N185">
        <v>5.0999999999999996</v>
      </c>
      <c r="O185" s="8">
        <v>5.9</v>
      </c>
      <c r="R185" s="8">
        <v>0</v>
      </c>
      <c r="S185" t="s">
        <v>127</v>
      </c>
      <c r="T185">
        <v>51.17</v>
      </c>
      <c r="U185">
        <v>8.6999999999999993</v>
      </c>
      <c r="V185">
        <v>45.66</v>
      </c>
      <c r="W185">
        <v>69.12</v>
      </c>
      <c r="X185">
        <v>2.2799999999999998</v>
      </c>
      <c r="AA185">
        <v>60.528636363636402</v>
      </c>
      <c r="AC185" t="s">
        <v>128</v>
      </c>
      <c r="AD185" t="s">
        <v>127</v>
      </c>
      <c r="AE185" t="s">
        <v>128</v>
      </c>
      <c r="AF185">
        <v>7</v>
      </c>
      <c r="AG185">
        <v>8</v>
      </c>
      <c r="AH185">
        <v>9</v>
      </c>
      <c r="AI185">
        <v>9</v>
      </c>
      <c r="AJ185">
        <v>9</v>
      </c>
      <c r="AK185">
        <v>9</v>
      </c>
    </row>
    <row r="186" spans="1:37" x14ac:dyDescent="0.3">
      <c r="B186" t="s">
        <v>131</v>
      </c>
      <c r="C186">
        <v>116</v>
      </c>
      <c r="D186">
        <v>20</v>
      </c>
      <c r="E186">
        <v>25</v>
      </c>
      <c r="F186">
        <v>150</v>
      </c>
      <c r="G186">
        <v>11.344441230105227</v>
      </c>
      <c r="H186">
        <v>32</v>
      </c>
      <c r="I186">
        <v>65</v>
      </c>
      <c r="J186">
        <v>10</v>
      </c>
      <c r="K186" s="8">
        <v>6.18510955710956</v>
      </c>
      <c r="N186">
        <v>4.3</v>
      </c>
      <c r="O186" s="8">
        <v>6.8</v>
      </c>
      <c r="R186" s="8">
        <v>0</v>
      </c>
      <c r="S186" t="s">
        <v>127</v>
      </c>
      <c r="T186">
        <v>51.18</v>
      </c>
      <c r="U186">
        <v>8.73</v>
      </c>
      <c r="V186">
        <v>45.45</v>
      </c>
      <c r="W186">
        <v>69</v>
      </c>
      <c r="X186">
        <v>2.0699999999999998</v>
      </c>
      <c r="AA186">
        <v>61.093426573426598</v>
      </c>
      <c r="AC186" t="s">
        <v>128</v>
      </c>
      <c r="AD186" t="s">
        <v>127</v>
      </c>
      <c r="AE186" t="s">
        <v>128</v>
      </c>
      <c r="AF186">
        <v>8</v>
      </c>
      <c r="AG186">
        <v>7</v>
      </c>
      <c r="AH186">
        <v>8</v>
      </c>
      <c r="AI186">
        <v>8</v>
      </c>
      <c r="AJ186">
        <v>9</v>
      </c>
      <c r="AK186">
        <v>8</v>
      </c>
    </row>
    <row r="187" spans="1:37" x14ac:dyDescent="0.3">
      <c r="B187" t="s">
        <v>131</v>
      </c>
      <c r="C187">
        <v>116</v>
      </c>
      <c r="D187">
        <v>20</v>
      </c>
      <c r="E187">
        <v>25</v>
      </c>
      <c r="F187">
        <v>150</v>
      </c>
      <c r="G187">
        <v>11.344441230105227</v>
      </c>
      <c r="H187">
        <v>32</v>
      </c>
      <c r="I187">
        <v>65</v>
      </c>
      <c r="J187">
        <v>10</v>
      </c>
      <c r="K187" s="8">
        <v>6.1106130536130498</v>
      </c>
      <c r="N187">
        <v>2.6</v>
      </c>
      <c r="O187" s="8">
        <v>6.2</v>
      </c>
      <c r="R187" s="8">
        <v>0</v>
      </c>
      <c r="S187" t="s">
        <v>127</v>
      </c>
      <c r="T187">
        <v>52.072666666666699</v>
      </c>
      <c r="U187">
        <v>8.6560000000000006</v>
      </c>
      <c r="V187">
        <v>45.984000000000002</v>
      </c>
      <c r="W187">
        <v>70.001333333333307</v>
      </c>
      <c r="X187">
        <v>3.66</v>
      </c>
      <c r="AA187">
        <v>60.658216783216801</v>
      </c>
      <c r="AC187" t="s">
        <v>128</v>
      </c>
      <c r="AD187" t="s">
        <v>127</v>
      </c>
      <c r="AE187" t="s">
        <v>128</v>
      </c>
      <c r="AF187">
        <v>7</v>
      </c>
      <c r="AG187">
        <v>9</v>
      </c>
      <c r="AH187">
        <v>6</v>
      </c>
      <c r="AI187">
        <v>7</v>
      </c>
      <c r="AJ187">
        <v>7</v>
      </c>
      <c r="AK187">
        <v>9</v>
      </c>
    </row>
    <row r="188" spans="1:37" x14ac:dyDescent="0.3">
      <c r="B188" t="s">
        <v>132</v>
      </c>
      <c r="C188">
        <v>0</v>
      </c>
      <c r="D188">
        <v>0</v>
      </c>
      <c r="E188">
        <v>0</v>
      </c>
      <c r="F188">
        <v>150</v>
      </c>
      <c r="G188">
        <v>0</v>
      </c>
      <c r="H188">
        <v>32</v>
      </c>
      <c r="I188">
        <v>65</v>
      </c>
      <c r="J188">
        <v>10</v>
      </c>
      <c r="K188" s="8">
        <v>5.0599999999999996</v>
      </c>
      <c r="N188">
        <v>2.6</v>
      </c>
      <c r="O188" s="8">
        <v>11.3</v>
      </c>
      <c r="R188" s="10">
        <f>LOG10(38*(10^6))</f>
        <v>7.5797835966168101</v>
      </c>
      <c r="S188" s="10" t="s">
        <v>97</v>
      </c>
      <c r="T188">
        <v>58.5</v>
      </c>
      <c r="U188">
        <v>6.89</v>
      </c>
      <c r="V188">
        <v>52.93</v>
      </c>
      <c r="W188">
        <v>79.19</v>
      </c>
      <c r="X188">
        <v>1.03</v>
      </c>
      <c r="Y188">
        <v>5.9</v>
      </c>
      <c r="Z188">
        <v>-3</v>
      </c>
      <c r="AA188">
        <v>56.223006993006997</v>
      </c>
      <c r="AC188" t="s">
        <v>143</v>
      </c>
      <c r="AD188" t="s">
        <v>69</v>
      </c>
      <c r="AE188" t="s">
        <v>203</v>
      </c>
      <c r="AF188">
        <v>3</v>
      </c>
      <c r="AG188">
        <v>3</v>
      </c>
      <c r="AH188">
        <v>2</v>
      </c>
      <c r="AI188" t="s">
        <v>213</v>
      </c>
      <c r="AJ188">
        <v>2</v>
      </c>
      <c r="AK188">
        <v>1</v>
      </c>
    </row>
    <row r="189" spans="1:37" x14ac:dyDescent="0.3">
      <c r="B189" t="s">
        <v>132</v>
      </c>
      <c r="C189">
        <v>0</v>
      </c>
      <c r="D189">
        <v>0</v>
      </c>
      <c r="E189">
        <v>0</v>
      </c>
      <c r="F189">
        <v>150</v>
      </c>
      <c r="G189">
        <v>0</v>
      </c>
      <c r="H189">
        <v>32</v>
      </c>
      <c r="I189">
        <v>65</v>
      </c>
      <c r="J189">
        <v>10</v>
      </c>
      <c r="K189" s="8">
        <v>5.048</v>
      </c>
      <c r="N189">
        <v>2.5</v>
      </c>
      <c r="O189" s="8">
        <v>11.9</v>
      </c>
      <c r="R189" s="10">
        <f>LOG10(46*(10^6))</f>
        <v>7.6627578316815743</v>
      </c>
      <c r="S189" s="10" t="s">
        <v>97</v>
      </c>
      <c r="T189">
        <v>58.53</v>
      </c>
      <c r="U189">
        <v>6.89</v>
      </c>
      <c r="V189">
        <v>52.85</v>
      </c>
      <c r="W189">
        <v>79.16</v>
      </c>
      <c r="X189">
        <v>1.0900000000000001</v>
      </c>
      <c r="Y189">
        <v>5.2</v>
      </c>
      <c r="Z189">
        <v>-3</v>
      </c>
      <c r="AA189">
        <v>55.787797202797201</v>
      </c>
      <c r="AC189" t="s">
        <v>143</v>
      </c>
      <c r="AD189" t="s">
        <v>69</v>
      </c>
      <c r="AE189" t="s">
        <v>203</v>
      </c>
      <c r="AF189">
        <v>2</v>
      </c>
      <c r="AG189">
        <v>3</v>
      </c>
      <c r="AH189">
        <v>2</v>
      </c>
      <c r="AI189" t="s">
        <v>213</v>
      </c>
      <c r="AJ189">
        <v>2</v>
      </c>
      <c r="AK189">
        <v>1</v>
      </c>
    </row>
    <row r="190" spans="1:37" x14ac:dyDescent="0.3">
      <c r="B190" t="s">
        <v>132</v>
      </c>
      <c r="C190">
        <v>0</v>
      </c>
      <c r="D190">
        <v>0</v>
      </c>
      <c r="E190">
        <v>0</v>
      </c>
      <c r="F190">
        <v>150</v>
      </c>
      <c r="G190">
        <v>0</v>
      </c>
      <c r="H190">
        <v>32</v>
      </c>
      <c r="I190">
        <v>65</v>
      </c>
      <c r="J190">
        <v>10</v>
      </c>
      <c r="K190" s="8">
        <v>4.9630000000000001</v>
      </c>
      <c r="N190">
        <v>3.4</v>
      </c>
      <c r="O190" s="8">
        <v>9.9979999999999993</v>
      </c>
      <c r="R190" s="10">
        <f>LOG10(51*(10^7))</f>
        <v>8.7075701760979367</v>
      </c>
      <c r="S190" s="10" t="s">
        <v>97</v>
      </c>
      <c r="T190">
        <v>58.53</v>
      </c>
      <c r="U190">
        <v>6.9</v>
      </c>
      <c r="V190">
        <v>52.78</v>
      </c>
      <c r="W190">
        <v>79.12</v>
      </c>
      <c r="X190">
        <v>1.48</v>
      </c>
      <c r="Y190">
        <v>5</v>
      </c>
      <c r="Z190">
        <v>-6</v>
      </c>
      <c r="AA190">
        <v>55.352587412587397</v>
      </c>
      <c r="AC190" t="s">
        <v>143</v>
      </c>
      <c r="AD190" t="s">
        <v>69</v>
      </c>
      <c r="AE190" t="s">
        <v>203</v>
      </c>
      <c r="AF190">
        <v>3</v>
      </c>
      <c r="AG190">
        <v>2</v>
      </c>
      <c r="AH190">
        <v>1</v>
      </c>
      <c r="AI190" t="s">
        <v>213</v>
      </c>
      <c r="AJ190">
        <v>2</v>
      </c>
      <c r="AK190">
        <v>1</v>
      </c>
    </row>
    <row r="192" spans="1:37" x14ac:dyDescent="0.3">
      <c r="A192" t="s">
        <v>88</v>
      </c>
      <c r="B192" t="s">
        <v>89</v>
      </c>
      <c r="C192">
        <v>116</v>
      </c>
      <c r="D192">
        <v>20</v>
      </c>
      <c r="E192">
        <v>35</v>
      </c>
      <c r="F192">
        <v>150</v>
      </c>
      <c r="G192">
        <v>16.684285583877863</v>
      </c>
      <c r="H192">
        <v>32</v>
      </c>
      <c r="I192">
        <v>65</v>
      </c>
      <c r="J192">
        <v>0</v>
      </c>
      <c r="K192" s="8">
        <v>6.61</v>
      </c>
      <c r="N192">
        <v>5.6</v>
      </c>
      <c r="O192" s="8">
        <v>5.56</v>
      </c>
      <c r="R192" s="8">
        <v>0</v>
      </c>
      <c r="S192" t="s">
        <v>127</v>
      </c>
      <c r="T192">
        <v>48.93</v>
      </c>
      <c r="U192">
        <v>6.36</v>
      </c>
      <c r="V192">
        <v>34.31</v>
      </c>
      <c r="W192">
        <v>60.31</v>
      </c>
      <c r="X192">
        <v>1.03</v>
      </c>
      <c r="Y192">
        <v>5.9</v>
      </c>
      <c r="Z192">
        <v>-3</v>
      </c>
      <c r="AA192">
        <v>64.73</v>
      </c>
      <c r="AC192" t="s">
        <v>128</v>
      </c>
      <c r="AD192" t="s">
        <v>127</v>
      </c>
      <c r="AE192" t="s">
        <v>128</v>
      </c>
      <c r="AF192">
        <v>8</v>
      </c>
      <c r="AG192">
        <v>7</v>
      </c>
      <c r="AH192">
        <v>7</v>
      </c>
      <c r="AI192">
        <v>8</v>
      </c>
      <c r="AJ192">
        <v>8</v>
      </c>
    </row>
    <row r="193" spans="2:37" x14ac:dyDescent="0.3">
      <c r="B193" t="s">
        <v>89</v>
      </c>
      <c r="C193">
        <v>116</v>
      </c>
      <c r="D193">
        <v>20</v>
      </c>
      <c r="E193">
        <v>35</v>
      </c>
      <c r="F193">
        <v>150</v>
      </c>
      <c r="G193">
        <v>16.684285583877863</v>
      </c>
      <c r="H193">
        <v>32</v>
      </c>
      <c r="I193">
        <v>65</v>
      </c>
      <c r="J193">
        <v>0</v>
      </c>
      <c r="K193" s="8">
        <v>6.59</v>
      </c>
      <c r="N193">
        <v>3.5</v>
      </c>
      <c r="O193" s="8">
        <v>4.95</v>
      </c>
      <c r="R193" s="8">
        <v>0</v>
      </c>
      <c r="S193" t="s">
        <v>127</v>
      </c>
      <c r="T193">
        <v>48.93</v>
      </c>
      <c r="U193">
        <v>6.36</v>
      </c>
      <c r="V193">
        <v>34.31</v>
      </c>
      <c r="W193">
        <v>60.1</v>
      </c>
      <c r="X193">
        <v>1.0900000000000001</v>
      </c>
      <c r="Y193">
        <v>5.2</v>
      </c>
      <c r="Z193">
        <v>-3</v>
      </c>
      <c r="AA193">
        <v>64.83</v>
      </c>
      <c r="AC193" t="s">
        <v>128</v>
      </c>
      <c r="AD193" t="s">
        <v>127</v>
      </c>
      <c r="AE193" t="s">
        <v>128</v>
      </c>
      <c r="AF193">
        <v>5</v>
      </c>
      <c r="AG193">
        <v>8</v>
      </c>
      <c r="AH193">
        <v>8</v>
      </c>
      <c r="AI193">
        <v>7</v>
      </c>
      <c r="AJ193">
        <v>5</v>
      </c>
      <c r="AK193">
        <v>7</v>
      </c>
    </row>
    <row r="194" spans="2:37" x14ac:dyDescent="0.3">
      <c r="B194" t="s">
        <v>89</v>
      </c>
      <c r="C194">
        <v>116</v>
      </c>
      <c r="D194">
        <v>20</v>
      </c>
      <c r="E194">
        <v>35</v>
      </c>
      <c r="F194">
        <v>150</v>
      </c>
      <c r="G194">
        <v>16.684285583877863</v>
      </c>
      <c r="H194">
        <v>32</v>
      </c>
      <c r="I194">
        <v>65</v>
      </c>
      <c r="J194">
        <v>0</v>
      </c>
      <c r="K194" s="8">
        <v>6.61</v>
      </c>
      <c r="N194">
        <v>3.4</v>
      </c>
      <c r="O194" s="8">
        <v>7.63</v>
      </c>
      <c r="R194" s="8">
        <v>0</v>
      </c>
      <c r="S194" t="s">
        <v>127</v>
      </c>
      <c r="T194">
        <v>48.92</v>
      </c>
      <c r="U194">
        <v>6.37</v>
      </c>
      <c r="V194">
        <v>34.409999999999997</v>
      </c>
      <c r="W194">
        <v>60.15</v>
      </c>
      <c r="X194">
        <v>1.48</v>
      </c>
      <c r="Y194">
        <v>5</v>
      </c>
      <c r="Z194">
        <v>-6</v>
      </c>
      <c r="AA194">
        <v>64.930000000000007</v>
      </c>
      <c r="AC194" t="s">
        <v>128</v>
      </c>
      <c r="AD194" t="s">
        <v>127</v>
      </c>
      <c r="AE194" t="s">
        <v>128</v>
      </c>
      <c r="AF194">
        <v>8</v>
      </c>
      <c r="AG194">
        <v>7</v>
      </c>
      <c r="AH194">
        <v>5</v>
      </c>
      <c r="AI194">
        <v>5</v>
      </c>
      <c r="AJ194">
        <v>6</v>
      </c>
      <c r="AK194">
        <v>5</v>
      </c>
    </row>
    <row r="195" spans="2:37" x14ac:dyDescent="0.3">
      <c r="B195" t="s">
        <v>89</v>
      </c>
      <c r="C195">
        <v>116</v>
      </c>
      <c r="D195">
        <v>20</v>
      </c>
      <c r="E195">
        <v>35</v>
      </c>
      <c r="F195">
        <v>150</v>
      </c>
      <c r="G195">
        <v>16.684285583877863</v>
      </c>
      <c r="H195">
        <v>32</v>
      </c>
      <c r="I195">
        <v>65</v>
      </c>
      <c r="J195">
        <v>0</v>
      </c>
      <c r="K195" s="8">
        <v>6.6033333333333299</v>
      </c>
      <c r="N195">
        <v>5.6</v>
      </c>
      <c r="O195" s="8">
        <v>6.95</v>
      </c>
      <c r="R195" s="8">
        <v>0</v>
      </c>
      <c r="S195" t="s">
        <v>127</v>
      </c>
      <c r="T195">
        <v>48.92</v>
      </c>
      <c r="U195">
        <v>6.37</v>
      </c>
      <c r="V195">
        <v>34.380000000000003</v>
      </c>
      <c r="W195">
        <v>60.13</v>
      </c>
      <c r="X195">
        <v>1.65</v>
      </c>
      <c r="Y195">
        <v>4.4666666666666703</v>
      </c>
      <c r="Z195">
        <v>-7</v>
      </c>
      <c r="AA195">
        <v>65.03</v>
      </c>
      <c r="AC195" t="s">
        <v>128</v>
      </c>
      <c r="AD195" t="s">
        <v>127</v>
      </c>
      <c r="AE195" t="s">
        <v>128</v>
      </c>
      <c r="AF195">
        <v>4</v>
      </c>
      <c r="AG195">
        <v>5</v>
      </c>
      <c r="AH195">
        <v>8</v>
      </c>
      <c r="AI195">
        <v>8</v>
      </c>
      <c r="AJ195">
        <v>8</v>
      </c>
      <c r="AK195">
        <v>8</v>
      </c>
    </row>
    <row r="196" spans="2:37" x14ac:dyDescent="0.3">
      <c r="B196" t="s">
        <v>90</v>
      </c>
      <c r="C196">
        <v>116</v>
      </c>
      <c r="D196">
        <v>20</v>
      </c>
      <c r="E196">
        <v>35</v>
      </c>
      <c r="F196">
        <v>150</v>
      </c>
      <c r="G196">
        <v>16.684285583877863</v>
      </c>
      <c r="H196">
        <v>32</v>
      </c>
      <c r="I196">
        <v>65</v>
      </c>
      <c r="J196">
        <v>0</v>
      </c>
      <c r="K196" s="8">
        <v>6.57</v>
      </c>
      <c r="N196">
        <v>5.8</v>
      </c>
      <c r="O196" s="8">
        <v>5.26</v>
      </c>
      <c r="R196" s="8">
        <v>0</v>
      </c>
      <c r="S196" t="s">
        <v>127</v>
      </c>
      <c r="T196">
        <v>48.31</v>
      </c>
      <c r="U196">
        <v>7.09</v>
      </c>
      <c r="V196">
        <v>35.409999999999997</v>
      </c>
      <c r="W196">
        <v>60.31</v>
      </c>
      <c r="X196">
        <v>1.875</v>
      </c>
      <c r="Y196">
        <v>4.0166666666666702</v>
      </c>
      <c r="Z196">
        <v>-8.5</v>
      </c>
      <c r="AA196">
        <v>65.13</v>
      </c>
      <c r="AC196" t="s">
        <v>128</v>
      </c>
      <c r="AD196" t="s">
        <v>127</v>
      </c>
      <c r="AE196" t="s">
        <v>128</v>
      </c>
      <c r="AF196">
        <v>7</v>
      </c>
      <c r="AG196">
        <v>8</v>
      </c>
      <c r="AH196">
        <v>7</v>
      </c>
      <c r="AI196">
        <v>6</v>
      </c>
      <c r="AJ196">
        <v>5</v>
      </c>
      <c r="AK196">
        <v>8</v>
      </c>
    </row>
    <row r="197" spans="2:37" x14ac:dyDescent="0.3">
      <c r="B197" t="s">
        <v>90</v>
      </c>
      <c r="C197">
        <v>116</v>
      </c>
      <c r="D197">
        <v>20</v>
      </c>
      <c r="E197">
        <v>35</v>
      </c>
      <c r="F197">
        <v>150</v>
      </c>
      <c r="G197">
        <v>16.684285583877863</v>
      </c>
      <c r="H197">
        <v>32</v>
      </c>
      <c r="I197">
        <v>65</v>
      </c>
      <c r="J197">
        <v>0</v>
      </c>
      <c r="K197" s="8">
        <v>6.48</v>
      </c>
      <c r="N197">
        <v>3.5</v>
      </c>
      <c r="O197" s="8">
        <v>5.36</v>
      </c>
      <c r="R197" s="8">
        <v>0</v>
      </c>
      <c r="S197" t="s">
        <v>127</v>
      </c>
      <c r="T197">
        <v>48.31</v>
      </c>
      <c r="U197">
        <v>7.11</v>
      </c>
      <c r="V197">
        <v>35.409999999999997</v>
      </c>
      <c r="W197">
        <v>60.31</v>
      </c>
      <c r="X197">
        <v>2.1</v>
      </c>
      <c r="Y197">
        <v>3.56666666666667</v>
      </c>
      <c r="Z197">
        <v>-10</v>
      </c>
      <c r="AA197">
        <v>65.23</v>
      </c>
      <c r="AC197" t="s">
        <v>128</v>
      </c>
      <c r="AD197" t="s">
        <v>127</v>
      </c>
      <c r="AE197" t="s">
        <v>128</v>
      </c>
      <c r="AF197">
        <v>5</v>
      </c>
      <c r="AG197">
        <v>5</v>
      </c>
      <c r="AH197">
        <v>6</v>
      </c>
      <c r="AI197">
        <v>5</v>
      </c>
      <c r="AJ197">
        <v>8</v>
      </c>
      <c r="AK197">
        <v>9</v>
      </c>
    </row>
    <row r="198" spans="2:37" x14ac:dyDescent="0.3">
      <c r="B198" t="s">
        <v>90</v>
      </c>
      <c r="C198">
        <v>116</v>
      </c>
      <c r="D198">
        <v>20</v>
      </c>
      <c r="E198">
        <v>35</v>
      </c>
      <c r="F198">
        <v>150</v>
      </c>
      <c r="G198">
        <v>16.684285583877863</v>
      </c>
      <c r="H198">
        <v>32</v>
      </c>
      <c r="I198">
        <v>65</v>
      </c>
      <c r="J198">
        <v>0</v>
      </c>
      <c r="K198" s="8">
        <v>6.56</v>
      </c>
      <c r="N198">
        <v>3.4</v>
      </c>
      <c r="O198" s="8">
        <v>5.76</v>
      </c>
      <c r="R198" s="8">
        <v>0</v>
      </c>
      <c r="S198" t="s">
        <v>127</v>
      </c>
      <c r="T198">
        <v>48.3</v>
      </c>
      <c r="U198">
        <v>7.1</v>
      </c>
      <c r="V198">
        <v>35.4</v>
      </c>
      <c r="W198">
        <v>60.3</v>
      </c>
      <c r="X198">
        <v>2.3250000000000002</v>
      </c>
      <c r="Y198">
        <v>3.1166666666666698</v>
      </c>
      <c r="Z198">
        <v>-11.5</v>
      </c>
      <c r="AA198">
        <v>65.33</v>
      </c>
      <c r="AC198" t="s">
        <v>128</v>
      </c>
      <c r="AD198" t="s">
        <v>127</v>
      </c>
      <c r="AE198" t="s">
        <v>128</v>
      </c>
      <c r="AF198">
        <v>8</v>
      </c>
      <c r="AG198">
        <v>7</v>
      </c>
      <c r="AH198">
        <v>8</v>
      </c>
      <c r="AI198">
        <v>8</v>
      </c>
      <c r="AJ198">
        <v>4</v>
      </c>
      <c r="AK198">
        <v>7</v>
      </c>
    </row>
    <row r="199" spans="2:37" x14ac:dyDescent="0.3">
      <c r="B199" t="s">
        <v>91</v>
      </c>
      <c r="C199">
        <v>116</v>
      </c>
      <c r="D199">
        <v>20</v>
      </c>
      <c r="E199">
        <v>35</v>
      </c>
      <c r="F199">
        <v>150</v>
      </c>
      <c r="G199">
        <v>16.684285583877863</v>
      </c>
      <c r="H199">
        <v>32</v>
      </c>
      <c r="I199">
        <v>65</v>
      </c>
      <c r="J199">
        <v>0</v>
      </c>
      <c r="K199" s="8">
        <v>6.5161904761904799</v>
      </c>
      <c r="N199">
        <v>3.6</v>
      </c>
      <c r="O199" s="8">
        <v>6.71</v>
      </c>
      <c r="R199" s="8">
        <v>0</v>
      </c>
      <c r="S199" t="s">
        <v>127</v>
      </c>
      <c r="T199">
        <v>48.125714285714302</v>
      </c>
      <c r="U199">
        <v>7.3142857142857096</v>
      </c>
      <c r="V199">
        <v>35.728571428571399</v>
      </c>
      <c r="W199">
        <v>60.308571428571398</v>
      </c>
      <c r="X199">
        <v>1.03</v>
      </c>
      <c r="Y199">
        <v>5.9</v>
      </c>
      <c r="Z199">
        <v>-3</v>
      </c>
      <c r="AA199">
        <v>65.430000000000007</v>
      </c>
      <c r="AC199" t="s">
        <v>128</v>
      </c>
      <c r="AD199" t="s">
        <v>127</v>
      </c>
      <c r="AE199" t="s">
        <v>128</v>
      </c>
      <c r="AF199">
        <v>4</v>
      </c>
      <c r="AG199">
        <v>4</v>
      </c>
      <c r="AH199">
        <v>6</v>
      </c>
      <c r="AI199">
        <v>5</v>
      </c>
      <c r="AJ199">
        <v>5</v>
      </c>
      <c r="AK199">
        <v>8</v>
      </c>
    </row>
    <row r="200" spans="2:37" x14ac:dyDescent="0.3">
      <c r="B200" t="s">
        <v>91</v>
      </c>
      <c r="C200">
        <v>116</v>
      </c>
      <c r="D200">
        <v>20</v>
      </c>
      <c r="E200">
        <v>35</v>
      </c>
      <c r="F200">
        <v>150</v>
      </c>
      <c r="G200">
        <v>16.684285583877863</v>
      </c>
      <c r="H200">
        <v>32</v>
      </c>
      <c r="I200">
        <v>65</v>
      </c>
      <c r="J200">
        <v>0</v>
      </c>
      <c r="K200" s="8">
        <v>6.5015476190476198</v>
      </c>
      <c r="N200">
        <v>7.5</v>
      </c>
      <c r="O200" s="8">
        <v>6.18</v>
      </c>
      <c r="R200" s="8">
        <v>0</v>
      </c>
      <c r="S200" t="s">
        <v>127</v>
      </c>
      <c r="T200">
        <v>47.992142857142902</v>
      </c>
      <c r="U200">
        <v>7.4728571428571398</v>
      </c>
      <c r="V200">
        <v>35.959642857142804</v>
      </c>
      <c r="W200">
        <v>60.328214285714303</v>
      </c>
      <c r="X200">
        <v>1.0900000000000001</v>
      </c>
      <c r="Y200">
        <v>5.2</v>
      </c>
      <c r="Z200">
        <v>-3</v>
      </c>
      <c r="AA200">
        <v>65.53</v>
      </c>
      <c r="AC200" t="s">
        <v>128</v>
      </c>
      <c r="AD200" t="s">
        <v>127</v>
      </c>
      <c r="AE200" t="s">
        <v>128</v>
      </c>
      <c r="AF200">
        <v>7</v>
      </c>
      <c r="AG200">
        <v>8</v>
      </c>
      <c r="AH200">
        <v>6</v>
      </c>
      <c r="AI200">
        <v>6</v>
      </c>
      <c r="AJ200">
        <v>7</v>
      </c>
      <c r="AK200">
        <v>8</v>
      </c>
    </row>
    <row r="201" spans="2:37" x14ac:dyDescent="0.3">
      <c r="B201" t="s">
        <v>91</v>
      </c>
      <c r="C201">
        <v>116</v>
      </c>
      <c r="D201">
        <v>20</v>
      </c>
      <c r="E201">
        <v>35</v>
      </c>
      <c r="F201">
        <v>150</v>
      </c>
      <c r="G201">
        <v>16.684285583877863</v>
      </c>
      <c r="H201">
        <v>32</v>
      </c>
      <c r="I201">
        <v>65</v>
      </c>
      <c r="J201">
        <v>0</v>
      </c>
      <c r="K201" s="8">
        <v>6.4869047619047597</v>
      </c>
      <c r="N201">
        <v>5.0999999999999996</v>
      </c>
      <c r="O201" s="8">
        <v>8.16</v>
      </c>
      <c r="R201" s="8">
        <v>0</v>
      </c>
      <c r="S201" t="s">
        <v>127</v>
      </c>
      <c r="T201">
        <v>47.858571428571402</v>
      </c>
      <c r="U201">
        <v>7.6314285714285699</v>
      </c>
      <c r="V201">
        <v>36.1907142857143</v>
      </c>
      <c r="W201">
        <v>60.347857142857102</v>
      </c>
      <c r="X201">
        <v>1.48</v>
      </c>
      <c r="Y201">
        <v>5</v>
      </c>
      <c r="Z201">
        <v>-6</v>
      </c>
      <c r="AA201">
        <v>65.63</v>
      </c>
      <c r="AC201" t="s">
        <v>128</v>
      </c>
      <c r="AD201" t="s">
        <v>127</v>
      </c>
      <c r="AE201" t="s">
        <v>128</v>
      </c>
      <c r="AF201">
        <v>7</v>
      </c>
      <c r="AG201">
        <v>5</v>
      </c>
      <c r="AH201">
        <v>8</v>
      </c>
      <c r="AI201">
        <v>8</v>
      </c>
      <c r="AJ201">
        <v>5</v>
      </c>
      <c r="AK201">
        <v>7</v>
      </c>
    </row>
    <row r="202" spans="2:37" x14ac:dyDescent="0.3">
      <c r="B202" t="s">
        <v>95</v>
      </c>
      <c r="C202">
        <v>0</v>
      </c>
      <c r="D202">
        <v>0</v>
      </c>
      <c r="E202">
        <v>0</v>
      </c>
      <c r="F202">
        <v>150</v>
      </c>
      <c r="G202">
        <v>0</v>
      </c>
      <c r="H202">
        <v>32</v>
      </c>
      <c r="I202">
        <v>65</v>
      </c>
      <c r="J202">
        <v>0</v>
      </c>
      <c r="K202" s="8">
        <v>6.4722619047618997</v>
      </c>
      <c r="N202">
        <v>6.5</v>
      </c>
      <c r="O202" s="8">
        <v>2.5</v>
      </c>
      <c r="R202" s="8">
        <f>LOG10(57*(10^3))</f>
        <v>4.7558748556724915</v>
      </c>
      <c r="S202" t="s">
        <v>127</v>
      </c>
      <c r="T202">
        <v>55.31</v>
      </c>
      <c r="U202">
        <v>7.3</v>
      </c>
      <c r="V202">
        <v>48.47</v>
      </c>
      <c r="W202">
        <v>73.91</v>
      </c>
      <c r="X202">
        <v>18.8</v>
      </c>
      <c r="Y202">
        <v>0.3</v>
      </c>
      <c r="Z202">
        <v>-3</v>
      </c>
      <c r="AA202">
        <v>65.73</v>
      </c>
      <c r="AC202" t="s">
        <v>128</v>
      </c>
      <c r="AD202" t="s">
        <v>125</v>
      </c>
      <c r="AE202" t="s">
        <v>128</v>
      </c>
      <c r="AF202">
        <v>4</v>
      </c>
      <c r="AG202">
        <v>8</v>
      </c>
      <c r="AH202">
        <v>5</v>
      </c>
      <c r="AI202">
        <v>5</v>
      </c>
      <c r="AJ202">
        <v>6</v>
      </c>
      <c r="AK202">
        <v>8</v>
      </c>
    </row>
    <row r="203" spans="2:37" x14ac:dyDescent="0.3">
      <c r="B203" t="s">
        <v>95</v>
      </c>
      <c r="C203">
        <v>0</v>
      </c>
      <c r="D203">
        <v>0</v>
      </c>
      <c r="E203">
        <v>0</v>
      </c>
      <c r="F203">
        <v>150</v>
      </c>
      <c r="G203">
        <v>0</v>
      </c>
      <c r="H203">
        <v>32</v>
      </c>
      <c r="I203">
        <v>65</v>
      </c>
      <c r="J203">
        <v>0</v>
      </c>
      <c r="K203" s="8">
        <v>6.4576190476190503</v>
      </c>
      <c r="N203">
        <v>5.0999999999999996</v>
      </c>
      <c r="O203" s="8">
        <v>3.45</v>
      </c>
      <c r="R203" s="8">
        <f>LOG10(116*(10^2))</f>
        <v>4.0644579892269181</v>
      </c>
      <c r="S203" t="s">
        <v>127</v>
      </c>
      <c r="T203">
        <v>55.28</v>
      </c>
      <c r="U203">
        <v>7.29</v>
      </c>
      <c r="V203">
        <v>48.54</v>
      </c>
      <c r="W203">
        <v>73.930000000000007</v>
      </c>
      <c r="X203">
        <v>18.899999999999999</v>
      </c>
      <c r="Y203">
        <v>0.2</v>
      </c>
      <c r="Z203">
        <v>-2</v>
      </c>
      <c r="AA203">
        <v>65.83</v>
      </c>
      <c r="AC203" t="s">
        <v>128</v>
      </c>
      <c r="AD203" t="s">
        <v>125</v>
      </c>
      <c r="AE203" t="s">
        <v>128</v>
      </c>
      <c r="AF203">
        <v>5</v>
      </c>
      <c r="AG203">
        <v>5</v>
      </c>
      <c r="AH203">
        <v>6</v>
      </c>
      <c r="AI203">
        <v>8</v>
      </c>
      <c r="AJ203">
        <v>5</v>
      </c>
      <c r="AK203">
        <v>6</v>
      </c>
    </row>
    <row r="204" spans="2:37" x14ac:dyDescent="0.3">
      <c r="B204" t="s">
        <v>95</v>
      </c>
      <c r="C204">
        <v>0</v>
      </c>
      <c r="D204">
        <v>0</v>
      </c>
      <c r="E204">
        <v>0</v>
      </c>
      <c r="F204">
        <v>150</v>
      </c>
      <c r="G204">
        <v>0</v>
      </c>
      <c r="H204">
        <v>32</v>
      </c>
      <c r="I204">
        <v>65</v>
      </c>
      <c r="J204">
        <v>0</v>
      </c>
      <c r="K204" s="8">
        <v>6.4429761904761902</v>
      </c>
      <c r="N204">
        <v>5.6</v>
      </c>
      <c r="O204" s="8">
        <v>5.69</v>
      </c>
      <c r="R204" s="8">
        <f>LOG10(121*(10^2))</f>
        <v>4.0827853703164498</v>
      </c>
      <c r="S204" t="s">
        <v>127</v>
      </c>
      <c r="T204">
        <v>55.28</v>
      </c>
      <c r="U204">
        <v>7329</v>
      </c>
      <c r="V204">
        <v>48.52</v>
      </c>
      <c r="W204">
        <v>73.91</v>
      </c>
      <c r="X204">
        <v>19</v>
      </c>
      <c r="Y204">
        <v>0.2</v>
      </c>
      <c r="Z204">
        <v>-2</v>
      </c>
      <c r="AA204">
        <v>65.930000000000007</v>
      </c>
      <c r="AC204" t="s">
        <v>128</v>
      </c>
      <c r="AD204" t="s">
        <v>125</v>
      </c>
      <c r="AE204" t="s">
        <v>128</v>
      </c>
      <c r="AF204">
        <v>8</v>
      </c>
      <c r="AG204">
        <v>7</v>
      </c>
      <c r="AH204">
        <v>8</v>
      </c>
      <c r="AI204">
        <v>5</v>
      </c>
      <c r="AJ204">
        <v>7</v>
      </c>
      <c r="AK204">
        <v>5</v>
      </c>
    </row>
    <row r="205" spans="2:37" x14ac:dyDescent="0.3">
      <c r="B205" t="s">
        <v>133</v>
      </c>
      <c r="C205">
        <v>116</v>
      </c>
      <c r="D205">
        <v>20</v>
      </c>
      <c r="E205">
        <v>35</v>
      </c>
      <c r="F205">
        <v>150</v>
      </c>
      <c r="G205">
        <v>16.684285583877863</v>
      </c>
      <c r="H205">
        <v>32</v>
      </c>
      <c r="I205">
        <v>65</v>
      </c>
      <c r="J205">
        <v>10</v>
      </c>
      <c r="K205" s="8">
        <v>5.89</v>
      </c>
      <c r="N205">
        <v>5.6</v>
      </c>
      <c r="O205" s="8">
        <v>6.33</v>
      </c>
      <c r="R205" s="8">
        <v>0</v>
      </c>
      <c r="S205" t="s">
        <v>127</v>
      </c>
      <c r="AA205">
        <v>66.03</v>
      </c>
      <c r="AC205" t="s">
        <v>128</v>
      </c>
      <c r="AD205" t="s">
        <v>127</v>
      </c>
      <c r="AE205" t="s">
        <v>128</v>
      </c>
      <c r="AF205">
        <v>8</v>
      </c>
      <c r="AG205">
        <v>8</v>
      </c>
      <c r="AH205">
        <v>8</v>
      </c>
      <c r="AI205">
        <v>8</v>
      </c>
      <c r="AJ205">
        <v>8</v>
      </c>
      <c r="AK205">
        <v>9</v>
      </c>
    </row>
    <row r="206" spans="2:37" x14ac:dyDescent="0.3">
      <c r="B206" t="s">
        <v>133</v>
      </c>
      <c r="C206">
        <v>116</v>
      </c>
      <c r="D206">
        <v>20</v>
      </c>
      <c r="E206">
        <v>35</v>
      </c>
      <c r="F206">
        <v>150</v>
      </c>
      <c r="G206">
        <v>16.684285583877863</v>
      </c>
      <c r="H206">
        <v>32</v>
      </c>
      <c r="I206">
        <v>65</v>
      </c>
      <c r="J206">
        <v>10</v>
      </c>
      <c r="K206" s="8">
        <v>5.69</v>
      </c>
      <c r="N206">
        <v>4.3</v>
      </c>
      <c r="O206" s="8">
        <v>5.95</v>
      </c>
      <c r="R206" s="8">
        <v>0</v>
      </c>
      <c r="S206" t="s">
        <v>127</v>
      </c>
      <c r="AA206">
        <v>66.13</v>
      </c>
      <c r="AC206" t="s">
        <v>128</v>
      </c>
      <c r="AD206" t="s">
        <v>127</v>
      </c>
      <c r="AE206" t="s">
        <v>128</v>
      </c>
      <c r="AF206">
        <v>8</v>
      </c>
      <c r="AG206">
        <v>7</v>
      </c>
      <c r="AH206">
        <v>7</v>
      </c>
      <c r="AI206">
        <v>9</v>
      </c>
      <c r="AJ206">
        <v>7</v>
      </c>
      <c r="AK206">
        <v>8</v>
      </c>
    </row>
    <row r="207" spans="2:37" x14ac:dyDescent="0.3">
      <c r="B207" t="s">
        <v>133</v>
      </c>
      <c r="C207">
        <v>116</v>
      </c>
      <c r="D207">
        <v>20</v>
      </c>
      <c r="E207">
        <v>35</v>
      </c>
      <c r="F207">
        <v>150</v>
      </c>
      <c r="G207">
        <v>16.684285583877863</v>
      </c>
      <c r="H207">
        <v>32</v>
      </c>
      <c r="I207">
        <v>65</v>
      </c>
      <c r="J207">
        <v>10</v>
      </c>
      <c r="K207" s="8">
        <v>5.99</v>
      </c>
      <c r="N207">
        <v>4.5</v>
      </c>
      <c r="O207" s="8">
        <v>6.96</v>
      </c>
      <c r="R207" s="8">
        <v>0</v>
      </c>
      <c r="S207" t="s">
        <v>127</v>
      </c>
      <c r="AA207">
        <v>66.23</v>
      </c>
      <c r="AC207" t="s">
        <v>128</v>
      </c>
      <c r="AD207" t="s">
        <v>127</v>
      </c>
      <c r="AE207" t="s">
        <v>128</v>
      </c>
      <c r="AF207">
        <v>8</v>
      </c>
      <c r="AG207">
        <v>8</v>
      </c>
      <c r="AH207">
        <v>9</v>
      </c>
      <c r="AI207">
        <v>8</v>
      </c>
      <c r="AJ207">
        <v>9</v>
      </c>
      <c r="AK207">
        <v>9</v>
      </c>
    </row>
    <row r="208" spans="2:37" x14ac:dyDescent="0.3">
      <c r="B208" t="s">
        <v>134</v>
      </c>
      <c r="C208">
        <v>0</v>
      </c>
      <c r="D208">
        <v>0</v>
      </c>
      <c r="E208">
        <v>0</v>
      </c>
      <c r="F208">
        <v>150</v>
      </c>
      <c r="G208">
        <v>0</v>
      </c>
      <c r="H208">
        <v>32</v>
      </c>
      <c r="I208">
        <v>65</v>
      </c>
      <c r="J208">
        <v>10</v>
      </c>
      <c r="K208" s="8">
        <v>4.8899999999999997</v>
      </c>
      <c r="N208">
        <v>4.5999999999999996</v>
      </c>
      <c r="O208" s="8">
        <v>7.89</v>
      </c>
      <c r="R208" s="10">
        <f>LOG10(57*(10^6))</f>
        <v>7.7558748556724915</v>
      </c>
      <c r="S208" s="10" t="s">
        <v>97</v>
      </c>
      <c r="T208">
        <v>58.5</v>
      </c>
      <c r="U208">
        <v>6.89</v>
      </c>
      <c r="V208">
        <v>52.93</v>
      </c>
      <c r="W208">
        <v>79.19</v>
      </c>
      <c r="AA208">
        <v>66.33</v>
      </c>
      <c r="AC208" t="s">
        <v>143</v>
      </c>
      <c r="AD208" t="s">
        <v>69</v>
      </c>
      <c r="AE208" t="s">
        <v>203</v>
      </c>
      <c r="AF208">
        <v>3</v>
      </c>
      <c r="AG208">
        <v>1</v>
      </c>
      <c r="AH208">
        <v>2</v>
      </c>
      <c r="AI208" t="s">
        <v>213</v>
      </c>
      <c r="AJ208">
        <v>3</v>
      </c>
      <c r="AK208">
        <v>1</v>
      </c>
    </row>
    <row r="209" spans="1:37" x14ac:dyDescent="0.3">
      <c r="B209" t="s">
        <v>134</v>
      </c>
      <c r="C209">
        <v>0</v>
      </c>
      <c r="D209">
        <v>0</v>
      </c>
      <c r="E209">
        <v>0</v>
      </c>
      <c r="F209">
        <v>150</v>
      </c>
      <c r="G209">
        <v>0</v>
      </c>
      <c r="H209">
        <v>32</v>
      </c>
      <c r="I209">
        <v>65</v>
      </c>
      <c r="J209">
        <v>10</v>
      </c>
      <c r="K209" s="8">
        <v>5.36</v>
      </c>
      <c r="N209">
        <v>5.2</v>
      </c>
      <c r="O209" s="8">
        <v>8.99</v>
      </c>
      <c r="R209" s="10">
        <f>LOG10(84*(10^7))</f>
        <v>8.924279286061882</v>
      </c>
      <c r="S209" s="10" t="s">
        <v>97</v>
      </c>
      <c r="T209">
        <v>58.53</v>
      </c>
      <c r="U209">
        <v>6.89</v>
      </c>
      <c r="V209">
        <v>52.85</v>
      </c>
      <c r="W209">
        <v>79.16</v>
      </c>
      <c r="AA209">
        <v>66.430000000000007</v>
      </c>
      <c r="AC209" t="s">
        <v>143</v>
      </c>
      <c r="AD209" t="s">
        <v>69</v>
      </c>
      <c r="AE209" t="s">
        <v>203</v>
      </c>
      <c r="AF209">
        <v>3</v>
      </c>
      <c r="AG209">
        <v>2</v>
      </c>
      <c r="AH209">
        <v>4</v>
      </c>
      <c r="AI209" t="s">
        <v>213</v>
      </c>
      <c r="AJ209">
        <v>2</v>
      </c>
      <c r="AK209">
        <v>1</v>
      </c>
    </row>
    <row r="210" spans="1:37" x14ac:dyDescent="0.3">
      <c r="B210" t="s">
        <v>134</v>
      </c>
      <c r="C210">
        <v>0</v>
      </c>
      <c r="D210">
        <v>0</v>
      </c>
      <c r="E210">
        <v>0</v>
      </c>
      <c r="F210">
        <v>150</v>
      </c>
      <c r="G210">
        <v>0</v>
      </c>
      <c r="H210">
        <v>32</v>
      </c>
      <c r="I210">
        <v>65</v>
      </c>
      <c r="J210">
        <v>10</v>
      </c>
      <c r="K210" s="8">
        <v>5.6</v>
      </c>
      <c r="N210">
        <v>4.0999999999999996</v>
      </c>
      <c r="O210" s="8">
        <v>9.2899999999999991</v>
      </c>
      <c r="R210" s="10">
        <f>LOG10(106*(10^6))</f>
        <v>8.0253058652647695</v>
      </c>
      <c r="S210" s="10" t="s">
        <v>97</v>
      </c>
      <c r="T210">
        <v>58.53</v>
      </c>
      <c r="U210">
        <v>6.9</v>
      </c>
      <c r="V210">
        <v>52.78</v>
      </c>
      <c r="W210">
        <v>79.12</v>
      </c>
      <c r="X210" t="s">
        <v>202</v>
      </c>
      <c r="AA210">
        <v>66.53</v>
      </c>
      <c r="AC210" t="s">
        <v>143</v>
      </c>
      <c r="AD210" t="s">
        <v>69</v>
      </c>
      <c r="AE210" t="s">
        <v>203</v>
      </c>
      <c r="AF210">
        <v>3</v>
      </c>
      <c r="AG210">
        <v>1</v>
      </c>
      <c r="AH210">
        <v>3</v>
      </c>
      <c r="AI210" t="s">
        <v>213</v>
      </c>
      <c r="AJ210">
        <v>3</v>
      </c>
      <c r="AK210">
        <v>1</v>
      </c>
    </row>
    <row r="212" spans="1:37" x14ac:dyDescent="0.3">
      <c r="A212" s="2" t="s">
        <v>197</v>
      </c>
      <c r="B212" t="s">
        <v>102</v>
      </c>
      <c r="C212">
        <v>121</v>
      </c>
      <c r="D212">
        <v>20</v>
      </c>
      <c r="E212">
        <v>10</v>
      </c>
      <c r="F212">
        <v>150</v>
      </c>
      <c r="G212">
        <v>17.160660425863654</v>
      </c>
      <c r="H212">
        <v>32</v>
      </c>
      <c r="I212">
        <v>65</v>
      </c>
      <c r="J212">
        <v>0</v>
      </c>
      <c r="K212" s="8">
        <v>6.48</v>
      </c>
      <c r="L212">
        <v>9.5719999999999992</v>
      </c>
      <c r="M212">
        <f>100-(AA212+L212+N212+P212+Q212)</f>
        <v>17.847999999999985</v>
      </c>
      <c r="N212">
        <v>1.1200000000000001</v>
      </c>
      <c r="O212" s="8">
        <v>4.0469999999999997</v>
      </c>
      <c r="P212" s="8">
        <v>1.08</v>
      </c>
      <c r="Q212" s="8">
        <v>2.76</v>
      </c>
      <c r="R212" s="8">
        <v>0</v>
      </c>
      <c r="S212" t="s">
        <v>68</v>
      </c>
      <c r="T212">
        <v>51.14</v>
      </c>
      <c r="U212">
        <v>6.26</v>
      </c>
      <c r="V212">
        <v>41.58</v>
      </c>
      <c r="W212">
        <v>66.209999999999994</v>
      </c>
      <c r="X212">
        <v>0.30669999999999997</v>
      </c>
      <c r="Y212">
        <v>21.947619047619</v>
      </c>
      <c r="Z212">
        <v>0</v>
      </c>
      <c r="AA212">
        <v>67.62</v>
      </c>
      <c r="AB212">
        <v>0.71645000000000003</v>
      </c>
      <c r="AC212" t="s">
        <v>128</v>
      </c>
      <c r="AD212" t="s">
        <v>125</v>
      </c>
      <c r="AE212" t="s">
        <v>128</v>
      </c>
      <c r="AF212">
        <v>9</v>
      </c>
      <c r="AG212">
        <v>9</v>
      </c>
      <c r="AH212">
        <v>9</v>
      </c>
      <c r="AI212">
        <v>9</v>
      </c>
      <c r="AJ212">
        <v>8</v>
      </c>
      <c r="AK212">
        <v>8</v>
      </c>
    </row>
    <row r="213" spans="1:37" x14ac:dyDescent="0.3">
      <c r="B213" t="s">
        <v>102</v>
      </c>
      <c r="C213">
        <v>121</v>
      </c>
      <c r="D213">
        <v>20</v>
      </c>
      <c r="E213">
        <v>10</v>
      </c>
      <c r="F213">
        <v>150</v>
      </c>
      <c r="G213">
        <v>17.160660425863654</v>
      </c>
      <c r="H213">
        <v>32</v>
      </c>
      <c r="I213">
        <v>75</v>
      </c>
      <c r="J213">
        <v>0</v>
      </c>
      <c r="K213" s="8">
        <v>6.5</v>
      </c>
      <c r="L213">
        <v>9.4268999999999998</v>
      </c>
      <c r="M213">
        <f t="shared" ref="M213:M226" si="2">100-(AA213+L213+N213+P213+Q213)</f>
        <v>16.703099999999978</v>
      </c>
      <c r="N213">
        <v>2.4</v>
      </c>
      <c r="O213" s="8">
        <v>5.87</v>
      </c>
      <c r="P213" s="8">
        <v>1.0900000000000001</v>
      </c>
      <c r="Q213" s="8">
        <v>2.76</v>
      </c>
      <c r="R213" s="8">
        <v>0</v>
      </c>
      <c r="S213" t="s">
        <v>68</v>
      </c>
      <c r="T213">
        <v>51.17</v>
      </c>
      <c r="U213">
        <v>6.25</v>
      </c>
      <c r="V213">
        <v>41.56</v>
      </c>
      <c r="W213">
        <v>66.209999999999994</v>
      </c>
      <c r="X213">
        <v>0.20489523809523799</v>
      </c>
      <c r="Y213">
        <v>20.290476190476198</v>
      </c>
      <c r="Z213">
        <v>0</v>
      </c>
      <c r="AA213">
        <v>67.62</v>
      </c>
      <c r="AB213">
        <v>0.71399999999999997</v>
      </c>
      <c r="AC213" t="s">
        <v>128</v>
      </c>
      <c r="AD213" t="s">
        <v>125</v>
      </c>
      <c r="AE213" t="s">
        <v>128</v>
      </c>
      <c r="AF213">
        <v>8</v>
      </c>
      <c r="AG213">
        <v>8</v>
      </c>
      <c r="AH213">
        <v>5</v>
      </c>
      <c r="AI213">
        <v>8</v>
      </c>
      <c r="AJ213">
        <v>7</v>
      </c>
      <c r="AK213">
        <v>7</v>
      </c>
    </row>
    <row r="214" spans="1:37" x14ac:dyDescent="0.3">
      <c r="B214" t="s">
        <v>102</v>
      </c>
      <c r="C214">
        <v>121</v>
      </c>
      <c r="D214">
        <v>20</v>
      </c>
      <c r="E214">
        <v>10</v>
      </c>
      <c r="F214">
        <v>150</v>
      </c>
      <c r="G214">
        <v>17.160660425863654</v>
      </c>
      <c r="H214">
        <v>32</v>
      </c>
      <c r="I214">
        <v>75</v>
      </c>
      <c r="J214">
        <v>0</v>
      </c>
      <c r="K214" s="8">
        <v>6.51</v>
      </c>
      <c r="L214">
        <v>4.6816000000000004</v>
      </c>
      <c r="M214">
        <f t="shared" si="2"/>
        <v>20.618399999999994</v>
      </c>
      <c r="N214">
        <v>1.3</v>
      </c>
      <c r="O214" s="8">
        <v>4.07</v>
      </c>
      <c r="P214" s="8">
        <v>1.02</v>
      </c>
      <c r="Q214" s="8">
        <v>4.76</v>
      </c>
      <c r="R214" s="8">
        <v>0</v>
      </c>
      <c r="S214" t="s">
        <v>68</v>
      </c>
      <c r="T214">
        <v>51.18</v>
      </c>
      <c r="U214">
        <v>6.25</v>
      </c>
      <c r="V214">
        <v>41.55</v>
      </c>
      <c r="W214">
        <v>66.22</v>
      </c>
      <c r="X214">
        <v>0.103066666666666</v>
      </c>
      <c r="Y214">
        <v>18.633333333333301</v>
      </c>
      <c r="Z214">
        <v>0</v>
      </c>
      <c r="AA214">
        <v>67.62</v>
      </c>
      <c r="AB214">
        <v>0.70399999999999996</v>
      </c>
      <c r="AC214" t="s">
        <v>128</v>
      </c>
      <c r="AD214" t="s">
        <v>125</v>
      </c>
      <c r="AE214" t="s">
        <v>128</v>
      </c>
      <c r="AF214">
        <v>7</v>
      </c>
      <c r="AG214">
        <v>5</v>
      </c>
      <c r="AH214">
        <v>8</v>
      </c>
      <c r="AI214">
        <v>8</v>
      </c>
      <c r="AJ214">
        <v>5</v>
      </c>
      <c r="AK214">
        <v>6</v>
      </c>
    </row>
    <row r="215" spans="1:37" x14ac:dyDescent="0.3">
      <c r="B215" t="s">
        <v>103</v>
      </c>
      <c r="C215">
        <v>121</v>
      </c>
      <c r="D215">
        <v>20</v>
      </c>
      <c r="E215">
        <v>10</v>
      </c>
      <c r="F215">
        <v>150</v>
      </c>
      <c r="G215">
        <v>17.160660425863654</v>
      </c>
      <c r="H215">
        <v>32</v>
      </c>
      <c r="I215">
        <v>75</v>
      </c>
      <c r="J215">
        <v>0</v>
      </c>
      <c r="K215" s="8">
        <v>7.19</v>
      </c>
      <c r="L215">
        <v>8.1152999999999995</v>
      </c>
      <c r="M215">
        <f t="shared" si="2"/>
        <v>21.234700000000004</v>
      </c>
      <c r="N215">
        <v>1.8</v>
      </c>
      <c r="O215" s="8">
        <v>5.73</v>
      </c>
      <c r="P215" s="8">
        <v>0.69</v>
      </c>
      <c r="Q215" s="8">
        <v>2.5499999999999998</v>
      </c>
      <c r="R215" s="8">
        <v>0</v>
      </c>
      <c r="S215" t="s">
        <v>68</v>
      </c>
      <c r="T215">
        <v>52.48</v>
      </c>
      <c r="U215">
        <v>6.45</v>
      </c>
      <c r="V215">
        <v>39.619999999999997</v>
      </c>
      <c r="W215">
        <v>66.069999999999993</v>
      </c>
      <c r="X215">
        <v>5.0000000000000001E-3</v>
      </c>
      <c r="Y215">
        <v>15.9</v>
      </c>
      <c r="Z215">
        <v>0</v>
      </c>
      <c r="AA215">
        <v>65.61</v>
      </c>
      <c r="AB215">
        <v>0.69899999999999995</v>
      </c>
      <c r="AC215" t="s">
        <v>128</v>
      </c>
      <c r="AD215" t="s">
        <v>125</v>
      </c>
      <c r="AE215" t="s">
        <v>128</v>
      </c>
      <c r="AF215">
        <v>8</v>
      </c>
      <c r="AG215">
        <v>8</v>
      </c>
      <c r="AH215">
        <v>4</v>
      </c>
      <c r="AI215">
        <v>6</v>
      </c>
      <c r="AJ215">
        <v>8</v>
      </c>
      <c r="AK215">
        <v>5</v>
      </c>
    </row>
    <row r="216" spans="1:37" x14ac:dyDescent="0.3">
      <c r="B216" t="s">
        <v>103</v>
      </c>
      <c r="C216">
        <v>121</v>
      </c>
      <c r="D216">
        <v>20</v>
      </c>
      <c r="E216">
        <v>10</v>
      </c>
      <c r="F216">
        <v>150</v>
      </c>
      <c r="G216">
        <v>17.160660425863654</v>
      </c>
      <c r="H216">
        <v>32</v>
      </c>
      <c r="I216">
        <v>75</v>
      </c>
      <c r="J216">
        <v>0</v>
      </c>
      <c r="K216" s="8">
        <v>6.99</v>
      </c>
      <c r="L216">
        <v>8.2154000000000007</v>
      </c>
      <c r="M216">
        <f t="shared" si="2"/>
        <v>19.2346</v>
      </c>
      <c r="N216">
        <v>3.8</v>
      </c>
      <c r="O216" s="8">
        <v>5.55</v>
      </c>
      <c r="P216" s="8">
        <v>0.59</v>
      </c>
      <c r="Q216" s="8">
        <v>2.5499999999999998</v>
      </c>
      <c r="R216" s="8">
        <v>0</v>
      </c>
      <c r="S216" t="s">
        <v>68</v>
      </c>
      <c r="T216">
        <v>52.46</v>
      </c>
      <c r="U216">
        <v>6.44</v>
      </c>
      <c r="V216">
        <v>39.64</v>
      </c>
      <c r="W216">
        <v>66.069999999999993</v>
      </c>
      <c r="X216">
        <v>5.0000000000000001E-3</v>
      </c>
      <c r="Y216">
        <v>16.2</v>
      </c>
      <c r="Z216">
        <v>-2</v>
      </c>
      <c r="AA216">
        <v>65.61</v>
      </c>
      <c r="AB216">
        <v>0.69279999999999997</v>
      </c>
      <c r="AC216" t="s">
        <v>128</v>
      </c>
      <c r="AD216" t="s">
        <v>125</v>
      </c>
      <c r="AE216" t="s">
        <v>128</v>
      </c>
      <c r="AF216">
        <v>8</v>
      </c>
      <c r="AG216">
        <v>8</v>
      </c>
      <c r="AH216">
        <v>5</v>
      </c>
      <c r="AI216">
        <v>7</v>
      </c>
      <c r="AJ216">
        <v>6</v>
      </c>
      <c r="AK216">
        <v>8</v>
      </c>
    </row>
    <row r="217" spans="1:37" x14ac:dyDescent="0.3">
      <c r="B217" t="s">
        <v>103</v>
      </c>
      <c r="C217">
        <v>121</v>
      </c>
      <c r="D217">
        <v>20</v>
      </c>
      <c r="E217">
        <v>10</v>
      </c>
      <c r="F217">
        <v>150</v>
      </c>
      <c r="G217">
        <v>17.160660425863654</v>
      </c>
      <c r="H217">
        <v>32</v>
      </c>
      <c r="I217">
        <v>75</v>
      </c>
      <c r="J217">
        <v>0</v>
      </c>
      <c r="K217" s="8">
        <v>6.97</v>
      </c>
      <c r="L217">
        <v>8.0163200000000003</v>
      </c>
      <c r="M217">
        <f t="shared" si="2"/>
        <v>21.893680000000003</v>
      </c>
      <c r="N217">
        <v>1.2</v>
      </c>
      <c r="O217" s="8">
        <v>4.87</v>
      </c>
      <c r="P217" s="8">
        <v>0.73</v>
      </c>
      <c r="Q217" s="8">
        <v>2.5499999999999998</v>
      </c>
      <c r="R217" s="8">
        <v>0</v>
      </c>
      <c r="S217" t="s">
        <v>68</v>
      </c>
      <c r="T217">
        <v>52.45</v>
      </c>
      <c r="U217">
        <v>6.43</v>
      </c>
      <c r="V217">
        <v>39.65</v>
      </c>
      <c r="W217">
        <v>66.06</v>
      </c>
      <c r="X217">
        <v>0.01</v>
      </c>
      <c r="Y217">
        <v>16.2</v>
      </c>
      <c r="Z217">
        <v>-2</v>
      </c>
      <c r="AA217">
        <v>65.61</v>
      </c>
      <c r="AB217">
        <v>0.68659999999999999</v>
      </c>
      <c r="AC217" t="s">
        <v>128</v>
      </c>
      <c r="AD217" t="s">
        <v>125</v>
      </c>
      <c r="AE217" t="s">
        <v>128</v>
      </c>
      <c r="AF217">
        <v>4</v>
      </c>
      <c r="AG217">
        <v>9</v>
      </c>
      <c r="AH217">
        <v>8</v>
      </c>
      <c r="AI217">
        <v>6</v>
      </c>
      <c r="AJ217">
        <v>8</v>
      </c>
      <c r="AK217">
        <v>5</v>
      </c>
    </row>
    <row r="218" spans="1:37" x14ac:dyDescent="0.3">
      <c r="B218" t="s">
        <v>104</v>
      </c>
      <c r="C218">
        <v>121</v>
      </c>
      <c r="D218">
        <v>20</v>
      </c>
      <c r="E218">
        <v>10</v>
      </c>
      <c r="F218">
        <v>150</v>
      </c>
      <c r="G218">
        <v>17.160660425863654</v>
      </c>
      <c r="H218">
        <v>32</v>
      </c>
      <c r="I218">
        <v>75</v>
      </c>
      <c r="J218">
        <v>0</v>
      </c>
      <c r="K218" s="8">
        <v>6.69</v>
      </c>
      <c r="L218">
        <v>4.5609000000000002</v>
      </c>
      <c r="M218">
        <f t="shared" si="2"/>
        <v>24.609099999999998</v>
      </c>
      <c r="N218">
        <v>1.5</v>
      </c>
      <c r="O218" s="8">
        <v>5.89</v>
      </c>
      <c r="P218" s="8">
        <v>1.51</v>
      </c>
      <c r="Q218" s="8">
        <v>3.02</v>
      </c>
      <c r="R218" s="8">
        <v>0</v>
      </c>
      <c r="S218" t="s">
        <v>68</v>
      </c>
      <c r="T218">
        <v>52.46</v>
      </c>
      <c r="U218">
        <v>6.5</v>
      </c>
      <c r="V218">
        <v>42.11</v>
      </c>
      <c r="W218">
        <v>67.58</v>
      </c>
      <c r="X218">
        <v>0.747</v>
      </c>
      <c r="Y218">
        <v>9.5</v>
      </c>
      <c r="Z218">
        <v>-2</v>
      </c>
      <c r="AA218">
        <v>64.8</v>
      </c>
      <c r="AB218">
        <v>0.67947999999999997</v>
      </c>
      <c r="AC218" t="s">
        <v>128</v>
      </c>
      <c r="AD218" t="s">
        <v>125</v>
      </c>
      <c r="AE218" t="s">
        <v>128</v>
      </c>
      <c r="AF218">
        <v>6</v>
      </c>
      <c r="AG218">
        <v>8</v>
      </c>
      <c r="AH218">
        <v>8</v>
      </c>
      <c r="AI218">
        <v>8</v>
      </c>
      <c r="AJ218">
        <v>5</v>
      </c>
      <c r="AK218">
        <v>6</v>
      </c>
    </row>
    <row r="219" spans="1:37" x14ac:dyDescent="0.3">
      <c r="B219" t="s">
        <v>104</v>
      </c>
      <c r="C219">
        <v>121</v>
      </c>
      <c r="D219">
        <v>20</v>
      </c>
      <c r="E219">
        <v>10</v>
      </c>
      <c r="F219">
        <v>150</v>
      </c>
      <c r="G219">
        <v>17.160660425863654</v>
      </c>
      <c r="H219">
        <v>32</v>
      </c>
      <c r="I219">
        <v>75</v>
      </c>
      <c r="J219">
        <v>0</v>
      </c>
      <c r="K219" s="8">
        <v>6.45</v>
      </c>
      <c r="L219">
        <v>4.0948000000000002</v>
      </c>
      <c r="M219">
        <f t="shared" si="2"/>
        <v>24.385199999999998</v>
      </c>
      <c r="N219">
        <v>2.5</v>
      </c>
      <c r="O219" s="8">
        <v>4.79</v>
      </c>
      <c r="P219" s="8">
        <v>1.72</v>
      </c>
      <c r="Q219" s="8">
        <v>3.02</v>
      </c>
      <c r="R219" s="8">
        <v>0</v>
      </c>
      <c r="S219" t="s">
        <v>68</v>
      </c>
      <c r="T219">
        <v>52.46</v>
      </c>
      <c r="U219">
        <v>6.5</v>
      </c>
      <c r="V219">
        <v>42.11</v>
      </c>
      <c r="W219">
        <v>67.58</v>
      </c>
      <c r="X219">
        <v>0.44900000000000001</v>
      </c>
      <c r="Y219">
        <v>9.6</v>
      </c>
      <c r="Z219">
        <v>-5</v>
      </c>
      <c r="AA219">
        <v>64.28</v>
      </c>
      <c r="AB219">
        <v>0.67288000000000003</v>
      </c>
      <c r="AC219" t="s">
        <v>128</v>
      </c>
      <c r="AD219" t="s">
        <v>125</v>
      </c>
      <c r="AE219" t="s">
        <v>128</v>
      </c>
      <c r="AF219">
        <v>8</v>
      </c>
      <c r="AG219">
        <v>8</v>
      </c>
      <c r="AH219">
        <v>6</v>
      </c>
      <c r="AI219">
        <v>8</v>
      </c>
      <c r="AJ219">
        <v>8</v>
      </c>
      <c r="AK219">
        <v>5</v>
      </c>
    </row>
    <row r="220" spans="1:37" x14ac:dyDescent="0.3">
      <c r="B220" t="s">
        <v>104</v>
      </c>
      <c r="C220">
        <v>121</v>
      </c>
      <c r="D220">
        <v>20</v>
      </c>
      <c r="E220">
        <v>10</v>
      </c>
      <c r="F220">
        <v>150</v>
      </c>
      <c r="G220">
        <v>17.160660425863654</v>
      </c>
      <c r="H220">
        <v>32</v>
      </c>
      <c r="I220">
        <v>75</v>
      </c>
      <c r="J220">
        <v>0</v>
      </c>
      <c r="K220" s="8">
        <v>6.47</v>
      </c>
      <c r="L220">
        <v>4.0537000000000001</v>
      </c>
      <c r="M220">
        <f t="shared" si="2"/>
        <v>25.067300000000003</v>
      </c>
      <c r="N220">
        <v>2.6</v>
      </c>
      <c r="O220" s="8">
        <v>4.79</v>
      </c>
      <c r="P220" s="8">
        <v>1.4890000000000001</v>
      </c>
      <c r="Q220" s="8">
        <v>3.02</v>
      </c>
      <c r="R220" s="8">
        <v>0</v>
      </c>
      <c r="S220" t="s">
        <v>68</v>
      </c>
      <c r="T220">
        <v>52.45</v>
      </c>
      <c r="U220">
        <v>6.49</v>
      </c>
      <c r="V220">
        <v>42.09</v>
      </c>
      <c r="W220">
        <v>57.56</v>
      </c>
      <c r="X220">
        <v>0.30399999999999999</v>
      </c>
      <c r="Y220">
        <v>9.6</v>
      </c>
      <c r="Z220">
        <v>-5</v>
      </c>
      <c r="AA220">
        <v>63.77</v>
      </c>
      <c r="AB220">
        <v>0.66627999999999998</v>
      </c>
      <c r="AC220" t="s">
        <v>128</v>
      </c>
      <c r="AD220" t="s">
        <v>125</v>
      </c>
      <c r="AE220" t="s">
        <v>128</v>
      </c>
      <c r="AF220">
        <v>6</v>
      </c>
      <c r="AG220">
        <v>8</v>
      </c>
      <c r="AH220">
        <v>9</v>
      </c>
      <c r="AI220">
        <v>5</v>
      </c>
      <c r="AJ220">
        <v>6</v>
      </c>
      <c r="AK220">
        <v>7</v>
      </c>
    </row>
    <row r="221" spans="1:37" x14ac:dyDescent="0.3">
      <c r="B221" t="s">
        <v>105</v>
      </c>
      <c r="C221">
        <v>0</v>
      </c>
      <c r="D221">
        <v>0</v>
      </c>
      <c r="E221">
        <v>0</v>
      </c>
      <c r="F221">
        <v>150</v>
      </c>
      <c r="G221">
        <v>0</v>
      </c>
      <c r="H221">
        <v>32</v>
      </c>
      <c r="I221">
        <v>75</v>
      </c>
      <c r="J221">
        <v>0</v>
      </c>
      <c r="K221" s="8">
        <v>6.77</v>
      </c>
      <c r="L221">
        <v>8.7406000000000006</v>
      </c>
      <c r="M221">
        <f t="shared" si="2"/>
        <v>14.336399999999983</v>
      </c>
      <c r="N221">
        <v>5.2</v>
      </c>
      <c r="O221" s="8">
        <v>3.78</v>
      </c>
      <c r="P221" s="8">
        <v>1.45</v>
      </c>
      <c r="Q221" s="8">
        <v>2.0129999999999999</v>
      </c>
      <c r="R221" s="8">
        <f>LOG10(97*(10^2))</f>
        <v>3.9867717342662448</v>
      </c>
      <c r="S221" t="s">
        <v>127</v>
      </c>
      <c r="T221">
        <v>54.09</v>
      </c>
      <c r="U221">
        <v>7.56</v>
      </c>
      <c r="V221">
        <v>51.12</v>
      </c>
      <c r="W221">
        <v>74.813999999999993</v>
      </c>
      <c r="X221">
        <v>19.100000000000001</v>
      </c>
      <c r="Y221">
        <v>0.5</v>
      </c>
      <c r="Z221">
        <v>0</v>
      </c>
      <c r="AA221">
        <v>68.260000000000005</v>
      </c>
      <c r="AB221">
        <v>0.75449999999999995</v>
      </c>
      <c r="AC221" t="s">
        <v>128</v>
      </c>
      <c r="AD221" t="s">
        <v>125</v>
      </c>
      <c r="AE221" t="s">
        <v>128</v>
      </c>
      <c r="AF221">
        <v>9</v>
      </c>
      <c r="AG221">
        <v>8</v>
      </c>
      <c r="AH221">
        <v>7</v>
      </c>
      <c r="AI221">
        <v>8</v>
      </c>
      <c r="AJ221">
        <v>8</v>
      </c>
      <c r="AK221">
        <v>8</v>
      </c>
    </row>
    <row r="222" spans="1:37" x14ac:dyDescent="0.3">
      <c r="B222" t="s">
        <v>105</v>
      </c>
      <c r="C222">
        <v>0</v>
      </c>
      <c r="D222">
        <v>0</v>
      </c>
      <c r="E222">
        <v>0</v>
      </c>
      <c r="F222">
        <v>150</v>
      </c>
      <c r="G222">
        <v>0</v>
      </c>
      <c r="H222">
        <v>32</v>
      </c>
      <c r="I222">
        <v>75</v>
      </c>
      <c r="J222">
        <v>0</v>
      </c>
      <c r="K222" s="8">
        <v>6.92</v>
      </c>
      <c r="L222">
        <v>8.6580999999999992</v>
      </c>
      <c r="M222">
        <f t="shared" si="2"/>
        <v>10.940899999999985</v>
      </c>
      <c r="N222">
        <v>6.5</v>
      </c>
      <c r="O222" s="8">
        <v>4.72</v>
      </c>
      <c r="P222" s="8">
        <v>1.5029999999999999</v>
      </c>
      <c r="Q222" s="8">
        <v>4.1379999999999999</v>
      </c>
      <c r="R222" s="8">
        <f>LOG10(92*(10^2))</f>
        <v>3.9637878273455551</v>
      </c>
      <c r="S222" t="s">
        <v>127</v>
      </c>
      <c r="T222">
        <v>54.07</v>
      </c>
      <c r="U222">
        <v>7.57</v>
      </c>
      <c r="V222">
        <v>51.12</v>
      </c>
      <c r="W222">
        <v>74.790000000000006</v>
      </c>
      <c r="X222">
        <v>19</v>
      </c>
      <c r="Y222">
        <v>0.3</v>
      </c>
      <c r="Z222">
        <v>0</v>
      </c>
      <c r="AA222">
        <v>68.260000000000005</v>
      </c>
      <c r="AB222">
        <v>0.75449999999999995</v>
      </c>
      <c r="AC222" t="s">
        <v>128</v>
      </c>
      <c r="AD222" t="s">
        <v>125</v>
      </c>
      <c r="AE222" t="s">
        <v>128</v>
      </c>
      <c r="AF222">
        <v>8</v>
      </c>
      <c r="AG222">
        <v>9</v>
      </c>
      <c r="AH222">
        <v>8</v>
      </c>
      <c r="AI222">
        <v>9</v>
      </c>
      <c r="AJ222">
        <v>9</v>
      </c>
      <c r="AK222">
        <v>7</v>
      </c>
    </row>
    <row r="223" spans="1:37" x14ac:dyDescent="0.3">
      <c r="B223" t="s">
        <v>105</v>
      </c>
      <c r="C223">
        <v>0</v>
      </c>
      <c r="D223">
        <v>0</v>
      </c>
      <c r="E223">
        <v>0</v>
      </c>
      <c r="F223">
        <v>150</v>
      </c>
      <c r="G223">
        <v>0</v>
      </c>
      <c r="H223">
        <v>32</v>
      </c>
      <c r="I223">
        <v>75</v>
      </c>
      <c r="J223">
        <v>0</v>
      </c>
      <c r="K223" s="8">
        <v>7.11</v>
      </c>
      <c r="L223">
        <v>8.8691999999999993</v>
      </c>
      <c r="M223">
        <f t="shared" si="2"/>
        <v>11.308800000000005</v>
      </c>
      <c r="N223">
        <v>7.8</v>
      </c>
      <c r="O223" s="8">
        <v>3.12</v>
      </c>
      <c r="P223" s="8">
        <v>1.6319999999999999</v>
      </c>
      <c r="Q223" s="8">
        <v>2.13</v>
      </c>
      <c r="R223" s="8">
        <f>LOG10(77*(10^2))</f>
        <v>3.8864907251724818</v>
      </c>
      <c r="S223" t="s">
        <v>127</v>
      </c>
      <c r="T223">
        <v>54.08</v>
      </c>
      <c r="U223">
        <v>7.58</v>
      </c>
      <c r="V223">
        <v>51.06</v>
      </c>
      <c r="W223">
        <v>74.760000000000005</v>
      </c>
      <c r="X223">
        <v>19</v>
      </c>
      <c r="Y223">
        <v>0.3</v>
      </c>
      <c r="Z223">
        <v>-1</v>
      </c>
      <c r="AA223">
        <v>68.260000000000005</v>
      </c>
      <c r="AB223">
        <v>0.75449999999999995</v>
      </c>
      <c r="AC223" t="s">
        <v>128</v>
      </c>
      <c r="AD223" t="s">
        <v>125</v>
      </c>
      <c r="AE223" t="s">
        <v>128</v>
      </c>
      <c r="AF223">
        <v>7</v>
      </c>
      <c r="AG223">
        <v>8</v>
      </c>
      <c r="AH223">
        <v>9</v>
      </c>
      <c r="AI223">
        <v>8</v>
      </c>
      <c r="AJ223">
        <v>7</v>
      </c>
      <c r="AK223">
        <v>9</v>
      </c>
    </row>
    <row r="224" spans="1:37" x14ac:dyDescent="0.3">
      <c r="B224" t="s">
        <v>105</v>
      </c>
      <c r="C224">
        <v>0</v>
      </c>
      <c r="D224">
        <v>0</v>
      </c>
      <c r="E224">
        <v>0</v>
      </c>
      <c r="F224">
        <v>150</v>
      </c>
      <c r="G224">
        <v>0</v>
      </c>
      <c r="H224">
        <v>32</v>
      </c>
      <c r="I224">
        <v>75</v>
      </c>
      <c r="J224">
        <v>0</v>
      </c>
      <c r="K224" s="8">
        <v>7.17</v>
      </c>
      <c r="L224">
        <v>16.113800000000001</v>
      </c>
      <c r="M224">
        <f t="shared" si="2"/>
        <v>12.936199999999999</v>
      </c>
      <c r="N224">
        <v>4.8</v>
      </c>
      <c r="O224" s="8">
        <v>3.5</v>
      </c>
      <c r="P224" s="8">
        <v>0.8</v>
      </c>
      <c r="Q224" s="8">
        <v>2.36</v>
      </c>
      <c r="R224" s="8">
        <f>LOG10(97*(10^2))</f>
        <v>3.9867717342662448</v>
      </c>
      <c r="S224" t="s">
        <v>127</v>
      </c>
      <c r="T224">
        <v>55.78</v>
      </c>
      <c r="U224">
        <v>6.24</v>
      </c>
      <c r="V224">
        <v>49.74</v>
      </c>
      <c r="W224">
        <v>75</v>
      </c>
      <c r="X224">
        <v>19.100000000000001</v>
      </c>
      <c r="Y224">
        <v>0.5</v>
      </c>
      <c r="Z224">
        <v>0</v>
      </c>
      <c r="AA224">
        <v>62.99</v>
      </c>
      <c r="AB224">
        <v>0.75449999999999995</v>
      </c>
      <c r="AC224" t="s">
        <v>128</v>
      </c>
      <c r="AD224" t="s">
        <v>125</v>
      </c>
      <c r="AE224" t="s">
        <v>128</v>
      </c>
      <c r="AF224">
        <v>8</v>
      </c>
      <c r="AG224">
        <v>9</v>
      </c>
      <c r="AH224">
        <v>8</v>
      </c>
      <c r="AI224">
        <v>7</v>
      </c>
      <c r="AJ224">
        <v>9</v>
      </c>
      <c r="AK224">
        <v>7</v>
      </c>
    </row>
    <row r="225" spans="2:37" x14ac:dyDescent="0.3">
      <c r="B225" t="s">
        <v>105</v>
      </c>
      <c r="C225">
        <v>0</v>
      </c>
      <c r="D225">
        <v>0</v>
      </c>
      <c r="E225">
        <v>0</v>
      </c>
      <c r="F225">
        <v>150</v>
      </c>
      <c r="G225">
        <v>0</v>
      </c>
      <c r="H225">
        <v>32</v>
      </c>
      <c r="I225">
        <v>75</v>
      </c>
      <c r="J225">
        <v>0</v>
      </c>
      <c r="K225" s="8">
        <v>6.82</v>
      </c>
      <c r="L225">
        <v>15.2849</v>
      </c>
      <c r="M225">
        <f t="shared" si="2"/>
        <v>11.721099999999993</v>
      </c>
      <c r="N225">
        <v>5.3</v>
      </c>
      <c r="O225" s="8">
        <v>3.3</v>
      </c>
      <c r="P225" s="8">
        <v>1.254</v>
      </c>
      <c r="Q225" s="8">
        <v>3.45</v>
      </c>
      <c r="R225" s="8">
        <f>LOG10(89*(10^2))</f>
        <v>3.9493900066449128</v>
      </c>
      <c r="S225" t="s">
        <v>127</v>
      </c>
      <c r="T225">
        <v>55.78</v>
      </c>
      <c r="U225">
        <v>6.24</v>
      </c>
      <c r="V225">
        <v>49.77</v>
      </c>
      <c r="W225">
        <v>75.010000000000005</v>
      </c>
      <c r="X225">
        <v>19</v>
      </c>
      <c r="Y225">
        <v>0.3</v>
      </c>
      <c r="Z225">
        <v>0</v>
      </c>
      <c r="AA225">
        <v>62.99</v>
      </c>
      <c r="AB225">
        <v>0.75449999999999995</v>
      </c>
      <c r="AC225" t="s">
        <v>128</v>
      </c>
      <c r="AD225" t="s">
        <v>125</v>
      </c>
      <c r="AE225" t="s">
        <v>128</v>
      </c>
      <c r="AF225">
        <v>9</v>
      </c>
      <c r="AG225">
        <v>7</v>
      </c>
      <c r="AH225">
        <v>8</v>
      </c>
      <c r="AI225">
        <v>8</v>
      </c>
      <c r="AJ225">
        <v>7</v>
      </c>
      <c r="AK225">
        <v>9</v>
      </c>
    </row>
    <row r="226" spans="2:37" x14ac:dyDescent="0.3">
      <c r="B226" t="s">
        <v>105</v>
      </c>
      <c r="C226">
        <v>0</v>
      </c>
      <c r="D226">
        <v>0</v>
      </c>
      <c r="E226">
        <v>0</v>
      </c>
      <c r="F226">
        <v>150</v>
      </c>
      <c r="G226">
        <v>0</v>
      </c>
      <c r="H226">
        <v>32</v>
      </c>
      <c r="I226">
        <v>75</v>
      </c>
      <c r="J226">
        <v>0</v>
      </c>
      <c r="K226" s="8">
        <v>6.71</v>
      </c>
      <c r="L226">
        <v>16.638400000000001</v>
      </c>
      <c r="M226">
        <f t="shared" si="2"/>
        <v>14.465599999999995</v>
      </c>
      <c r="N226">
        <v>2.4</v>
      </c>
      <c r="O226" s="8">
        <v>3.2</v>
      </c>
      <c r="P226" s="8">
        <v>1.3560000000000001</v>
      </c>
      <c r="Q226" s="8">
        <v>2.15</v>
      </c>
      <c r="R226" s="8">
        <f>LOG10(99*(10^2))</f>
        <v>3.9956351945975501</v>
      </c>
      <c r="S226" t="s">
        <v>127</v>
      </c>
      <c r="T226">
        <v>55.76</v>
      </c>
      <c r="U226">
        <v>6.24</v>
      </c>
      <c r="V226">
        <v>49.77</v>
      </c>
      <c r="W226">
        <v>75</v>
      </c>
      <c r="X226">
        <v>19</v>
      </c>
      <c r="Y226">
        <v>0.3</v>
      </c>
      <c r="Z226">
        <v>-1</v>
      </c>
      <c r="AA226">
        <v>62.99</v>
      </c>
      <c r="AB226">
        <v>0.75449999999999995</v>
      </c>
      <c r="AC226" t="s">
        <v>128</v>
      </c>
      <c r="AD226" t="s">
        <v>125</v>
      </c>
      <c r="AE226" t="s">
        <v>128</v>
      </c>
      <c r="AF226">
        <v>8</v>
      </c>
      <c r="AG226">
        <v>8</v>
      </c>
      <c r="AH226">
        <v>9</v>
      </c>
      <c r="AI226">
        <v>9</v>
      </c>
      <c r="AJ226">
        <v>9</v>
      </c>
      <c r="AK226">
        <v>8</v>
      </c>
    </row>
    <row r="227" spans="2:37" x14ac:dyDescent="0.3">
      <c r="B227" t="s">
        <v>135</v>
      </c>
      <c r="C227">
        <v>121</v>
      </c>
      <c r="D227">
        <v>20</v>
      </c>
      <c r="E227">
        <v>10</v>
      </c>
      <c r="F227">
        <v>150</v>
      </c>
      <c r="G227">
        <v>17.160660425863654</v>
      </c>
      <c r="H227">
        <v>32</v>
      </c>
      <c r="I227">
        <v>75</v>
      </c>
      <c r="J227">
        <v>10</v>
      </c>
      <c r="K227" s="8">
        <v>6.6322857142857101</v>
      </c>
      <c r="N227">
        <v>1.33</v>
      </c>
      <c r="O227" s="8">
        <v>6.5</v>
      </c>
      <c r="R227" s="8">
        <v>0</v>
      </c>
      <c r="S227" t="s">
        <v>68</v>
      </c>
      <c r="T227">
        <v>55.42</v>
      </c>
      <c r="U227">
        <v>7.36</v>
      </c>
      <c r="V227">
        <v>47.56</v>
      </c>
      <c r="W227">
        <v>73.400000000000006</v>
      </c>
      <c r="X227">
        <v>1.55</v>
      </c>
      <c r="Y227">
        <v>15.5</v>
      </c>
      <c r="Z227">
        <v>0</v>
      </c>
      <c r="AA227">
        <v>58.58</v>
      </c>
      <c r="AC227" t="s">
        <v>128</v>
      </c>
      <c r="AD227" t="s">
        <v>127</v>
      </c>
      <c r="AE227" t="s">
        <v>128</v>
      </c>
      <c r="AF227">
        <v>9</v>
      </c>
      <c r="AG227">
        <v>8</v>
      </c>
      <c r="AH227">
        <v>8</v>
      </c>
      <c r="AI227">
        <v>8</v>
      </c>
      <c r="AJ227">
        <v>8</v>
      </c>
      <c r="AK227">
        <v>8</v>
      </c>
    </row>
    <row r="228" spans="2:37" x14ac:dyDescent="0.3">
      <c r="B228" t="s">
        <v>135</v>
      </c>
      <c r="C228">
        <v>121</v>
      </c>
      <c r="D228">
        <v>20</v>
      </c>
      <c r="E228">
        <v>10</v>
      </c>
      <c r="F228">
        <v>150</v>
      </c>
      <c r="G228">
        <v>17.160660425863654</v>
      </c>
      <c r="H228">
        <v>32</v>
      </c>
      <c r="I228">
        <v>75</v>
      </c>
      <c r="J228">
        <v>10</v>
      </c>
      <c r="K228" s="8">
        <v>6.9775714285714301</v>
      </c>
      <c r="N228">
        <v>1.56</v>
      </c>
      <c r="O228" s="8">
        <v>6.9</v>
      </c>
      <c r="R228" s="8">
        <v>0</v>
      </c>
      <c r="S228" t="s">
        <v>68</v>
      </c>
      <c r="T228">
        <v>55.32</v>
      </c>
      <c r="U228">
        <v>7.33</v>
      </c>
      <c r="V228">
        <v>47.46</v>
      </c>
      <c r="W228">
        <v>73.260000000000005</v>
      </c>
      <c r="X228">
        <v>1.55</v>
      </c>
      <c r="Y228">
        <v>15.5</v>
      </c>
      <c r="Z228">
        <v>0</v>
      </c>
      <c r="AA228">
        <v>58.25</v>
      </c>
      <c r="AC228" t="s">
        <v>128</v>
      </c>
      <c r="AD228" t="s">
        <v>127</v>
      </c>
      <c r="AE228" t="s">
        <v>128</v>
      </c>
      <c r="AF228">
        <v>8</v>
      </c>
      <c r="AG228">
        <v>8</v>
      </c>
      <c r="AH228">
        <v>4</v>
      </c>
      <c r="AI228">
        <v>7</v>
      </c>
      <c r="AJ228">
        <v>6</v>
      </c>
      <c r="AK228">
        <v>6</v>
      </c>
    </row>
    <row r="229" spans="2:37" x14ac:dyDescent="0.3">
      <c r="B229" t="s">
        <v>135</v>
      </c>
      <c r="C229">
        <v>121</v>
      </c>
      <c r="D229">
        <v>20</v>
      </c>
      <c r="E229">
        <v>10</v>
      </c>
      <c r="F229">
        <v>150</v>
      </c>
      <c r="G229">
        <v>17.160660425863654</v>
      </c>
      <c r="H229">
        <v>32</v>
      </c>
      <c r="I229">
        <v>75</v>
      </c>
      <c r="J229">
        <v>10</v>
      </c>
      <c r="K229" s="8">
        <v>6.9228571428571399</v>
      </c>
      <c r="N229">
        <v>1.27</v>
      </c>
      <c r="O229" s="8">
        <v>6.11</v>
      </c>
      <c r="R229" s="8">
        <v>0</v>
      </c>
      <c r="S229" t="s">
        <v>68</v>
      </c>
      <c r="T229">
        <v>55.27</v>
      </c>
      <c r="U229">
        <v>7.3</v>
      </c>
      <c r="V229">
        <v>47.41</v>
      </c>
      <c r="W229">
        <v>73.180000000000007</v>
      </c>
      <c r="X229">
        <v>1.55</v>
      </c>
      <c r="Y229">
        <v>15.5</v>
      </c>
      <c r="Z229">
        <v>0</v>
      </c>
      <c r="AA229">
        <v>58.62</v>
      </c>
      <c r="AC229" t="s">
        <v>128</v>
      </c>
      <c r="AD229" t="s">
        <v>127</v>
      </c>
      <c r="AE229" t="s">
        <v>128</v>
      </c>
      <c r="AF229">
        <v>6</v>
      </c>
      <c r="AG229">
        <v>8</v>
      </c>
      <c r="AH229">
        <v>6</v>
      </c>
      <c r="AI229">
        <v>7</v>
      </c>
      <c r="AJ229">
        <v>8</v>
      </c>
      <c r="AK229">
        <v>8</v>
      </c>
    </row>
    <row r="230" spans="2:37" x14ac:dyDescent="0.3">
      <c r="B230" t="s">
        <v>139</v>
      </c>
      <c r="C230">
        <v>0</v>
      </c>
      <c r="D230">
        <v>0</v>
      </c>
      <c r="E230">
        <v>0</v>
      </c>
      <c r="F230">
        <v>150</v>
      </c>
      <c r="G230">
        <v>0</v>
      </c>
      <c r="H230">
        <v>32</v>
      </c>
      <c r="I230">
        <v>75</v>
      </c>
      <c r="J230">
        <v>10</v>
      </c>
      <c r="K230" s="8">
        <v>4.59</v>
      </c>
      <c r="N230">
        <v>1.89</v>
      </c>
      <c r="O230" s="8">
        <v>0.3</v>
      </c>
      <c r="R230" s="10">
        <f>LOG10(156*(10^7))</f>
        <v>9.1931245983544621</v>
      </c>
      <c r="S230" s="10" t="s">
        <v>97</v>
      </c>
      <c r="T230">
        <v>58.5</v>
      </c>
      <c r="U230">
        <v>6.89</v>
      </c>
      <c r="V230">
        <v>52.93</v>
      </c>
      <c r="W230">
        <v>79.19</v>
      </c>
      <c r="X230">
        <v>0</v>
      </c>
      <c r="Y230">
        <v>36.299999999999997</v>
      </c>
      <c r="Z230">
        <v>1</v>
      </c>
      <c r="AA230">
        <v>54.8</v>
      </c>
      <c r="AC230" t="s">
        <v>143</v>
      </c>
      <c r="AD230" t="s">
        <v>69</v>
      </c>
      <c r="AE230" t="s">
        <v>203</v>
      </c>
      <c r="AF230">
        <v>4</v>
      </c>
      <c r="AG230">
        <v>5</v>
      </c>
      <c r="AH230">
        <v>2</v>
      </c>
      <c r="AI230" t="s">
        <v>213</v>
      </c>
      <c r="AJ230">
        <v>2</v>
      </c>
      <c r="AK230">
        <v>1</v>
      </c>
    </row>
    <row r="231" spans="2:37" x14ac:dyDescent="0.3">
      <c r="B231" t="s">
        <v>139</v>
      </c>
      <c r="C231">
        <v>0</v>
      </c>
      <c r="D231">
        <v>0</v>
      </c>
      <c r="E231">
        <v>0</v>
      </c>
      <c r="F231">
        <v>150</v>
      </c>
      <c r="G231">
        <v>0</v>
      </c>
      <c r="H231">
        <v>32</v>
      </c>
      <c r="I231">
        <v>75</v>
      </c>
      <c r="J231">
        <v>10</v>
      </c>
      <c r="K231" s="8">
        <v>4.5999999999999996</v>
      </c>
      <c r="N231">
        <v>1.78</v>
      </c>
      <c r="O231" s="8">
        <v>16.3</v>
      </c>
      <c r="R231" s="10">
        <f>LOG10(106*(10^7))</f>
        <v>9.0253058652647695</v>
      </c>
      <c r="S231" s="10" t="s">
        <v>97</v>
      </c>
      <c r="T231">
        <v>58.53</v>
      </c>
      <c r="U231">
        <v>6.89</v>
      </c>
      <c r="V231">
        <v>52.85</v>
      </c>
      <c r="W231">
        <v>79.16</v>
      </c>
      <c r="X231">
        <v>0</v>
      </c>
      <c r="Y231">
        <v>39.1</v>
      </c>
      <c r="Z231">
        <v>1</v>
      </c>
      <c r="AA231">
        <v>54.88</v>
      </c>
      <c r="AC231" t="s">
        <v>143</v>
      </c>
      <c r="AD231" t="s">
        <v>69</v>
      </c>
      <c r="AE231" t="s">
        <v>203</v>
      </c>
      <c r="AF231">
        <v>4</v>
      </c>
      <c r="AG231">
        <v>4</v>
      </c>
      <c r="AH231">
        <v>1</v>
      </c>
      <c r="AI231" t="s">
        <v>213</v>
      </c>
      <c r="AJ231">
        <v>1</v>
      </c>
      <c r="AK231">
        <v>1</v>
      </c>
    </row>
    <row r="232" spans="2:37" x14ac:dyDescent="0.3">
      <c r="B232" t="s">
        <v>139</v>
      </c>
      <c r="C232">
        <v>0</v>
      </c>
      <c r="D232">
        <v>0</v>
      </c>
      <c r="E232">
        <v>0</v>
      </c>
      <c r="F232">
        <v>150</v>
      </c>
      <c r="G232">
        <v>0</v>
      </c>
      <c r="H232">
        <v>32</v>
      </c>
      <c r="I232">
        <v>75</v>
      </c>
      <c r="J232">
        <v>10</v>
      </c>
      <c r="K232" s="8">
        <v>4.6100000000000003</v>
      </c>
      <c r="N232">
        <v>1.56</v>
      </c>
      <c r="O232" s="8">
        <v>15.8</v>
      </c>
      <c r="R232" s="10">
        <f>LOG10(149*(10^7))</f>
        <v>9.1731862684122749</v>
      </c>
      <c r="S232" s="10" t="s">
        <v>97</v>
      </c>
      <c r="T232">
        <v>58.53</v>
      </c>
      <c r="U232">
        <v>6.9</v>
      </c>
      <c r="V232">
        <v>52.78</v>
      </c>
      <c r="W232">
        <v>79.12</v>
      </c>
      <c r="X232">
        <v>0</v>
      </c>
      <c r="Y232">
        <v>39.9</v>
      </c>
      <c r="Z232">
        <v>0</v>
      </c>
      <c r="AA232">
        <v>54.76</v>
      </c>
      <c r="AC232" t="s">
        <v>143</v>
      </c>
      <c r="AD232" t="s">
        <v>69</v>
      </c>
      <c r="AE232" t="s">
        <v>203</v>
      </c>
      <c r="AF232">
        <v>3</v>
      </c>
      <c r="AG232">
        <v>5</v>
      </c>
      <c r="AH232">
        <v>1</v>
      </c>
      <c r="AI232" t="s">
        <v>213</v>
      </c>
      <c r="AJ232">
        <v>3</v>
      </c>
      <c r="AK232">
        <v>1</v>
      </c>
    </row>
    <row r="233" spans="2:37" x14ac:dyDescent="0.3">
      <c r="B233" t="s">
        <v>139</v>
      </c>
      <c r="C233">
        <v>0</v>
      </c>
      <c r="D233">
        <v>0</v>
      </c>
      <c r="E233">
        <v>0</v>
      </c>
      <c r="F233">
        <v>150</v>
      </c>
      <c r="G233">
        <v>0</v>
      </c>
      <c r="H233">
        <v>32</v>
      </c>
      <c r="I233">
        <v>75</v>
      </c>
      <c r="J233">
        <v>10</v>
      </c>
      <c r="K233" s="8">
        <v>4.62</v>
      </c>
      <c r="N233">
        <v>2.6</v>
      </c>
      <c r="O233" s="8">
        <v>6.9</v>
      </c>
      <c r="R233" s="10">
        <f>LOG10(87*(10^7))</f>
        <v>8.9395192526186182</v>
      </c>
      <c r="S233" s="10" t="s">
        <v>97</v>
      </c>
      <c r="T233">
        <v>58.55</v>
      </c>
      <c r="U233">
        <v>6.9033333333333298</v>
      </c>
      <c r="V233">
        <v>52.703333333333298</v>
      </c>
      <c r="W233">
        <v>79.086666666666702</v>
      </c>
      <c r="X233">
        <v>0</v>
      </c>
      <c r="Y233">
        <v>38.700000000000003</v>
      </c>
      <c r="Z233">
        <v>1</v>
      </c>
      <c r="AA233">
        <v>54.75</v>
      </c>
      <c r="AC233" t="s">
        <v>143</v>
      </c>
      <c r="AD233" t="s">
        <v>69</v>
      </c>
      <c r="AE233" t="s">
        <v>203</v>
      </c>
      <c r="AF233">
        <v>3</v>
      </c>
      <c r="AG233">
        <v>3</v>
      </c>
      <c r="AH233">
        <v>2</v>
      </c>
      <c r="AI233" t="s">
        <v>213</v>
      </c>
      <c r="AJ233">
        <v>1</v>
      </c>
      <c r="AK233">
        <v>1</v>
      </c>
    </row>
    <row r="234" spans="2:37" x14ac:dyDescent="0.3">
      <c r="B234" t="s">
        <v>139</v>
      </c>
      <c r="C234">
        <v>0</v>
      </c>
      <c r="D234">
        <v>0</v>
      </c>
      <c r="E234">
        <v>0</v>
      </c>
      <c r="F234">
        <v>150</v>
      </c>
      <c r="G234">
        <v>0</v>
      </c>
      <c r="H234">
        <v>32</v>
      </c>
      <c r="I234">
        <v>75</v>
      </c>
      <c r="J234">
        <v>10</v>
      </c>
      <c r="K234" s="8">
        <v>4.63</v>
      </c>
      <c r="N234">
        <v>2.4500000000000002</v>
      </c>
      <c r="O234" s="8">
        <v>13.59</v>
      </c>
      <c r="R234" s="10">
        <f>LOG10(89*(10^7))</f>
        <v>8.9493900066449132</v>
      </c>
      <c r="S234" s="10" t="s">
        <v>97</v>
      </c>
      <c r="T234">
        <v>58.564999999999998</v>
      </c>
      <c r="U234">
        <v>6.9083333333333297</v>
      </c>
      <c r="V234">
        <v>52.628333333333302</v>
      </c>
      <c r="W234">
        <v>79.051666666666705</v>
      </c>
      <c r="X234">
        <v>0</v>
      </c>
      <c r="Y234">
        <v>39.1</v>
      </c>
      <c r="Z234">
        <v>1</v>
      </c>
      <c r="AA234">
        <v>54.75</v>
      </c>
      <c r="AC234" t="s">
        <v>143</v>
      </c>
      <c r="AD234" t="s">
        <v>69</v>
      </c>
      <c r="AE234" t="s">
        <v>203</v>
      </c>
      <c r="AF234">
        <v>4</v>
      </c>
      <c r="AG234">
        <v>2</v>
      </c>
      <c r="AH234">
        <v>1</v>
      </c>
      <c r="AI234" t="s">
        <v>213</v>
      </c>
      <c r="AJ234">
        <v>4</v>
      </c>
      <c r="AK234">
        <v>1</v>
      </c>
    </row>
    <row r="235" spans="2:37" x14ac:dyDescent="0.3">
      <c r="B235" t="s">
        <v>139</v>
      </c>
      <c r="C235">
        <v>0</v>
      </c>
      <c r="D235">
        <v>0</v>
      </c>
      <c r="E235">
        <v>0</v>
      </c>
      <c r="F235">
        <v>150</v>
      </c>
      <c r="G235">
        <v>0</v>
      </c>
      <c r="H235">
        <v>32</v>
      </c>
      <c r="I235">
        <v>75</v>
      </c>
      <c r="J235">
        <v>10</v>
      </c>
      <c r="K235" s="8">
        <v>4.6399999999999997</v>
      </c>
      <c r="N235">
        <v>3.56</v>
      </c>
      <c r="O235" s="8">
        <v>9.5500000000000007</v>
      </c>
      <c r="R235" s="10">
        <f t="shared" ref="R235" si="3">LOG10(99*(10^7))</f>
        <v>8.9956351945975506</v>
      </c>
      <c r="S235" s="10" t="s">
        <v>97</v>
      </c>
      <c r="T235">
        <v>58.58</v>
      </c>
      <c r="U235">
        <v>6.9133333333333304</v>
      </c>
      <c r="V235">
        <v>52.553333333333299</v>
      </c>
      <c r="W235">
        <v>79.016666666666694</v>
      </c>
      <c r="X235">
        <v>0</v>
      </c>
      <c r="Y235">
        <v>39</v>
      </c>
      <c r="Z235">
        <v>0</v>
      </c>
      <c r="AA235">
        <v>54.61</v>
      </c>
      <c r="AC235" t="s">
        <v>143</v>
      </c>
      <c r="AD235" t="s">
        <v>69</v>
      </c>
      <c r="AE235" t="s">
        <v>203</v>
      </c>
      <c r="AF235">
        <v>3</v>
      </c>
      <c r="AG235">
        <v>7</v>
      </c>
      <c r="AH235">
        <v>2</v>
      </c>
      <c r="AI235" t="s">
        <v>213</v>
      </c>
      <c r="AJ235">
        <v>1</v>
      </c>
      <c r="AK235">
        <v>1</v>
      </c>
    </row>
    <row r="236" spans="2:37" x14ac:dyDescent="0.3">
      <c r="B236" t="s">
        <v>140</v>
      </c>
      <c r="C236">
        <v>121</v>
      </c>
      <c r="D236">
        <v>20</v>
      </c>
      <c r="E236">
        <v>10</v>
      </c>
      <c r="F236">
        <v>150</v>
      </c>
      <c r="G236">
        <v>17.160660425863654</v>
      </c>
      <c r="H236">
        <v>55</v>
      </c>
      <c r="I236">
        <v>75</v>
      </c>
      <c r="J236">
        <v>3</v>
      </c>
      <c r="K236" s="8">
        <v>6.56</v>
      </c>
      <c r="N236">
        <v>4.1360000000000001</v>
      </c>
      <c r="O236" s="8">
        <v>6.35</v>
      </c>
      <c r="R236" s="8">
        <v>0</v>
      </c>
      <c r="S236" t="s">
        <v>68</v>
      </c>
      <c r="AC236" t="s">
        <v>128</v>
      </c>
      <c r="AD236" t="s">
        <v>127</v>
      </c>
      <c r="AE236" t="s">
        <v>128</v>
      </c>
      <c r="AF236">
        <v>7</v>
      </c>
      <c r="AG236">
        <v>8</v>
      </c>
      <c r="AH236">
        <v>8</v>
      </c>
      <c r="AI236">
        <v>8</v>
      </c>
      <c r="AJ236">
        <v>5</v>
      </c>
      <c r="AK236">
        <v>8</v>
      </c>
    </row>
    <row r="237" spans="2:37" x14ac:dyDescent="0.3">
      <c r="B237" t="s">
        <v>140</v>
      </c>
      <c r="C237">
        <v>121</v>
      </c>
      <c r="D237">
        <v>20</v>
      </c>
      <c r="E237">
        <v>10</v>
      </c>
      <c r="F237">
        <v>150</v>
      </c>
      <c r="G237">
        <v>17.160660425863654</v>
      </c>
      <c r="H237">
        <v>55</v>
      </c>
      <c r="I237">
        <v>75</v>
      </c>
      <c r="J237">
        <v>3</v>
      </c>
      <c r="K237" s="8">
        <v>6.2990000000000004</v>
      </c>
      <c r="N237">
        <v>3.52</v>
      </c>
      <c r="O237" s="8">
        <v>7.6</v>
      </c>
      <c r="R237" s="8">
        <v>0</v>
      </c>
      <c r="S237" t="s">
        <v>68</v>
      </c>
      <c r="AC237" t="s">
        <v>128</v>
      </c>
      <c r="AD237" t="s">
        <v>127</v>
      </c>
      <c r="AE237" t="s">
        <v>128</v>
      </c>
      <c r="AF237">
        <v>8</v>
      </c>
      <c r="AG237">
        <v>7</v>
      </c>
      <c r="AH237">
        <v>7</v>
      </c>
      <c r="AI237">
        <v>8</v>
      </c>
      <c r="AJ237">
        <v>7</v>
      </c>
      <c r="AK237">
        <v>8</v>
      </c>
    </row>
    <row r="238" spans="2:37" x14ac:dyDescent="0.3">
      <c r="B238" t="s">
        <v>140</v>
      </c>
      <c r="C238">
        <v>121</v>
      </c>
      <c r="D238">
        <v>20</v>
      </c>
      <c r="E238">
        <v>10</v>
      </c>
      <c r="F238">
        <v>150</v>
      </c>
      <c r="G238">
        <v>17.160660425863654</v>
      </c>
      <c r="H238">
        <v>55</v>
      </c>
      <c r="I238">
        <v>75</v>
      </c>
      <c r="J238">
        <v>3</v>
      </c>
      <c r="K238" s="8">
        <v>6.3010000000000002</v>
      </c>
      <c r="N238">
        <v>3.15</v>
      </c>
      <c r="O238" s="8">
        <v>6.45</v>
      </c>
      <c r="R238" s="8">
        <v>0</v>
      </c>
      <c r="S238" t="s">
        <v>68</v>
      </c>
      <c r="AC238" t="s">
        <v>128</v>
      </c>
      <c r="AD238" t="s">
        <v>127</v>
      </c>
      <c r="AE238" t="s">
        <v>128</v>
      </c>
      <c r="AF238">
        <v>8</v>
      </c>
      <c r="AG238">
        <v>8</v>
      </c>
      <c r="AH238">
        <v>8</v>
      </c>
      <c r="AI238">
        <v>8</v>
      </c>
      <c r="AJ238">
        <v>8</v>
      </c>
      <c r="AK238">
        <v>6</v>
      </c>
    </row>
    <row r="239" spans="2:37" x14ac:dyDescent="0.3">
      <c r="B239" t="s">
        <v>144</v>
      </c>
      <c r="C239">
        <v>121</v>
      </c>
      <c r="D239">
        <v>20</v>
      </c>
      <c r="E239">
        <v>10</v>
      </c>
      <c r="F239">
        <v>150</v>
      </c>
      <c r="G239">
        <v>17.160660425863654</v>
      </c>
      <c r="H239">
        <v>45</v>
      </c>
      <c r="I239">
        <v>75</v>
      </c>
      <c r="J239">
        <v>5</v>
      </c>
      <c r="K239" s="8">
        <v>6.58</v>
      </c>
      <c r="N239">
        <v>4.2300000000000004</v>
      </c>
      <c r="O239" s="8">
        <v>6.18</v>
      </c>
      <c r="R239" s="8">
        <v>0</v>
      </c>
      <c r="S239" t="s">
        <v>68</v>
      </c>
      <c r="AC239" t="s">
        <v>128</v>
      </c>
      <c r="AD239" t="s">
        <v>127</v>
      </c>
      <c r="AE239" t="s">
        <v>128</v>
      </c>
      <c r="AF239">
        <v>7</v>
      </c>
      <c r="AG239">
        <v>7</v>
      </c>
      <c r="AH239">
        <v>7</v>
      </c>
      <c r="AI239">
        <v>8</v>
      </c>
      <c r="AJ239">
        <v>7</v>
      </c>
      <c r="AK239">
        <v>8</v>
      </c>
    </row>
    <row r="240" spans="2:37" x14ac:dyDescent="0.3">
      <c r="B240" t="s">
        <v>144</v>
      </c>
      <c r="C240">
        <v>121</v>
      </c>
      <c r="D240">
        <v>20</v>
      </c>
      <c r="E240">
        <v>10</v>
      </c>
      <c r="F240">
        <v>150</v>
      </c>
      <c r="G240">
        <v>17.160660425863654</v>
      </c>
      <c r="H240">
        <v>45</v>
      </c>
      <c r="I240">
        <v>75</v>
      </c>
      <c r="J240">
        <v>5</v>
      </c>
      <c r="K240" s="8">
        <v>6.69</v>
      </c>
      <c r="N240">
        <v>4.6500000000000004</v>
      </c>
      <c r="O240" s="8">
        <v>6.1989999999999998</v>
      </c>
      <c r="R240" s="8">
        <v>0</v>
      </c>
      <c r="S240" t="s">
        <v>68</v>
      </c>
      <c r="AC240" t="s">
        <v>128</v>
      </c>
      <c r="AD240" t="s">
        <v>127</v>
      </c>
      <c r="AE240" t="s">
        <v>128</v>
      </c>
      <c r="AF240">
        <v>8</v>
      </c>
      <c r="AG240">
        <v>7</v>
      </c>
      <c r="AH240">
        <v>8</v>
      </c>
      <c r="AI240">
        <v>6</v>
      </c>
      <c r="AJ240">
        <v>5</v>
      </c>
      <c r="AK240">
        <v>8</v>
      </c>
    </row>
    <row r="241" spans="2:37" x14ac:dyDescent="0.3">
      <c r="B241" t="s">
        <v>144</v>
      </c>
      <c r="C241">
        <v>121</v>
      </c>
      <c r="D241">
        <v>20</v>
      </c>
      <c r="E241">
        <v>10</v>
      </c>
      <c r="F241">
        <v>150</v>
      </c>
      <c r="G241">
        <v>17.160660425863654</v>
      </c>
      <c r="H241">
        <v>45</v>
      </c>
      <c r="I241">
        <v>75</v>
      </c>
      <c r="J241">
        <v>5</v>
      </c>
      <c r="K241" s="8">
        <v>6.72</v>
      </c>
      <c r="N241">
        <v>5.13</v>
      </c>
      <c r="O241" s="8">
        <v>6.29</v>
      </c>
      <c r="R241" s="8">
        <v>0</v>
      </c>
      <c r="S241" t="s">
        <v>68</v>
      </c>
      <c r="AC241" t="s">
        <v>128</v>
      </c>
      <c r="AD241" t="s">
        <v>127</v>
      </c>
      <c r="AE241" t="s">
        <v>128</v>
      </c>
      <c r="AF241">
        <v>8</v>
      </c>
      <c r="AG241">
        <v>9</v>
      </c>
      <c r="AH241">
        <v>5</v>
      </c>
      <c r="AI241">
        <v>8</v>
      </c>
      <c r="AJ241">
        <v>5</v>
      </c>
      <c r="AK241">
        <v>7</v>
      </c>
    </row>
    <row r="242" spans="2:37" x14ac:dyDescent="0.3">
      <c r="B242" t="s">
        <v>144</v>
      </c>
      <c r="C242">
        <v>121</v>
      </c>
      <c r="D242">
        <v>20</v>
      </c>
      <c r="E242">
        <v>10</v>
      </c>
      <c r="F242">
        <v>150</v>
      </c>
      <c r="G242">
        <v>17.160660425863654</v>
      </c>
      <c r="H242">
        <v>55</v>
      </c>
      <c r="I242">
        <v>75</v>
      </c>
      <c r="J242">
        <v>6</v>
      </c>
      <c r="K242" s="8">
        <v>6.45</v>
      </c>
      <c r="N242">
        <v>5.26</v>
      </c>
      <c r="O242" s="8">
        <v>6.2</v>
      </c>
      <c r="R242" s="8">
        <v>0</v>
      </c>
      <c r="S242" t="s">
        <v>68</v>
      </c>
      <c r="AC242" t="s">
        <v>128</v>
      </c>
      <c r="AD242" t="s">
        <v>127</v>
      </c>
      <c r="AE242" t="s">
        <v>128</v>
      </c>
      <c r="AF242">
        <v>9</v>
      </c>
      <c r="AG242">
        <v>8</v>
      </c>
      <c r="AH242">
        <v>8</v>
      </c>
      <c r="AI242">
        <v>8</v>
      </c>
      <c r="AJ242">
        <v>6</v>
      </c>
      <c r="AK242">
        <v>8</v>
      </c>
    </row>
    <row r="243" spans="2:37" x14ac:dyDescent="0.3">
      <c r="B243" t="s">
        <v>144</v>
      </c>
      <c r="C243">
        <v>121</v>
      </c>
      <c r="D243">
        <v>20</v>
      </c>
      <c r="E243">
        <v>10</v>
      </c>
      <c r="F243">
        <v>150</v>
      </c>
      <c r="G243">
        <v>17.160660425863654</v>
      </c>
      <c r="H243">
        <v>55</v>
      </c>
      <c r="I243">
        <v>75</v>
      </c>
      <c r="J243">
        <v>6</v>
      </c>
      <c r="K243" s="8">
        <v>6.51</v>
      </c>
      <c r="N243">
        <v>2.56</v>
      </c>
      <c r="O243" s="8">
        <v>7.3</v>
      </c>
      <c r="R243" s="8">
        <v>0</v>
      </c>
      <c r="S243" t="s">
        <v>68</v>
      </c>
      <c r="AC243" t="s">
        <v>128</v>
      </c>
      <c r="AD243" t="s">
        <v>127</v>
      </c>
      <c r="AE243" t="s">
        <v>128</v>
      </c>
      <c r="AF243">
        <v>7</v>
      </c>
      <c r="AG243">
        <v>7</v>
      </c>
      <c r="AH243">
        <v>7</v>
      </c>
      <c r="AI243">
        <v>8</v>
      </c>
      <c r="AJ243">
        <v>6</v>
      </c>
      <c r="AK243">
        <v>7</v>
      </c>
    </row>
    <row r="244" spans="2:37" x14ac:dyDescent="0.3">
      <c r="B244" t="s">
        <v>144</v>
      </c>
      <c r="C244">
        <v>121</v>
      </c>
      <c r="D244">
        <v>20</v>
      </c>
      <c r="E244">
        <v>10</v>
      </c>
      <c r="F244">
        <v>150</v>
      </c>
      <c r="G244">
        <v>17.160660425863654</v>
      </c>
      <c r="H244">
        <v>55</v>
      </c>
      <c r="I244">
        <v>75</v>
      </c>
      <c r="J244">
        <v>6</v>
      </c>
      <c r="K244" s="8">
        <v>6.38</v>
      </c>
      <c r="N244">
        <v>2.89</v>
      </c>
      <c r="O244" s="8">
        <v>6.89</v>
      </c>
      <c r="R244" s="8">
        <v>0</v>
      </c>
      <c r="S244" t="s">
        <v>68</v>
      </c>
      <c r="AC244" t="s">
        <v>128</v>
      </c>
      <c r="AD244" t="s">
        <v>127</v>
      </c>
      <c r="AE244" t="s">
        <v>128</v>
      </c>
      <c r="AF244">
        <v>8</v>
      </c>
      <c r="AG244">
        <v>6</v>
      </c>
      <c r="AH244">
        <v>6</v>
      </c>
      <c r="AI244">
        <v>8</v>
      </c>
      <c r="AJ244">
        <v>5</v>
      </c>
      <c r="AK244">
        <v>8</v>
      </c>
    </row>
    <row r="245" spans="2:37" x14ac:dyDescent="0.3">
      <c r="B245" t="s">
        <v>145</v>
      </c>
      <c r="C245">
        <v>121</v>
      </c>
      <c r="D245">
        <v>20</v>
      </c>
      <c r="E245">
        <v>10</v>
      </c>
      <c r="F245">
        <v>150</v>
      </c>
      <c r="G245">
        <v>17.160660425863654</v>
      </c>
      <c r="H245">
        <v>32</v>
      </c>
      <c r="I245">
        <v>75</v>
      </c>
      <c r="J245">
        <v>7</v>
      </c>
      <c r="K245" s="8">
        <v>6.6</v>
      </c>
      <c r="N245">
        <v>5.12</v>
      </c>
      <c r="O245" s="8">
        <v>6.1</v>
      </c>
      <c r="R245" s="8">
        <v>0</v>
      </c>
      <c r="S245" t="s">
        <v>68</v>
      </c>
      <c r="AC245" t="s">
        <v>128</v>
      </c>
      <c r="AD245" t="s">
        <v>127</v>
      </c>
      <c r="AE245" t="s">
        <v>128</v>
      </c>
      <c r="AF245">
        <v>8</v>
      </c>
      <c r="AG245">
        <v>8</v>
      </c>
      <c r="AH245">
        <v>8</v>
      </c>
      <c r="AI245">
        <v>8</v>
      </c>
      <c r="AJ245">
        <v>8</v>
      </c>
      <c r="AK245">
        <v>8</v>
      </c>
    </row>
    <row r="246" spans="2:37" x14ac:dyDescent="0.3">
      <c r="B246" t="s">
        <v>145</v>
      </c>
      <c r="C246">
        <v>121</v>
      </c>
      <c r="D246">
        <v>20</v>
      </c>
      <c r="E246">
        <v>10</v>
      </c>
      <c r="F246">
        <v>150</v>
      </c>
      <c r="G246">
        <v>17.160660425863654</v>
      </c>
      <c r="H246">
        <v>32</v>
      </c>
      <c r="I246">
        <v>75</v>
      </c>
      <c r="J246">
        <v>7</v>
      </c>
      <c r="K246" s="8">
        <v>6.69</v>
      </c>
      <c r="N246">
        <v>4.3600000000000003</v>
      </c>
      <c r="O246" s="8">
        <v>6.2</v>
      </c>
      <c r="R246" s="8">
        <v>0</v>
      </c>
      <c r="S246" t="s">
        <v>68</v>
      </c>
      <c r="AC246" t="s">
        <v>128</v>
      </c>
      <c r="AD246" t="s">
        <v>127</v>
      </c>
      <c r="AE246" t="s">
        <v>128</v>
      </c>
      <c r="AF246">
        <v>5</v>
      </c>
      <c r="AG246">
        <v>9</v>
      </c>
      <c r="AH246">
        <v>5</v>
      </c>
      <c r="AI246">
        <v>6</v>
      </c>
      <c r="AJ246">
        <v>5</v>
      </c>
      <c r="AK246">
        <v>8</v>
      </c>
    </row>
    <row r="247" spans="2:37" x14ac:dyDescent="0.3">
      <c r="B247" t="s">
        <v>145</v>
      </c>
      <c r="C247">
        <v>121</v>
      </c>
      <c r="D247">
        <v>20</v>
      </c>
      <c r="E247">
        <v>10</v>
      </c>
      <c r="F247">
        <v>150</v>
      </c>
      <c r="G247">
        <v>17.160660425863654</v>
      </c>
      <c r="H247">
        <v>32</v>
      </c>
      <c r="I247">
        <v>75</v>
      </c>
      <c r="J247">
        <v>7</v>
      </c>
      <c r="K247" s="8">
        <v>6.59</v>
      </c>
      <c r="N247">
        <v>4.96</v>
      </c>
      <c r="O247" s="8">
        <v>6.9</v>
      </c>
      <c r="R247" s="8">
        <v>0</v>
      </c>
      <c r="S247" t="s">
        <v>68</v>
      </c>
      <c r="AC247" t="s">
        <v>128</v>
      </c>
      <c r="AD247" t="s">
        <v>127</v>
      </c>
      <c r="AE247" t="s">
        <v>128</v>
      </c>
      <c r="AF247">
        <v>8</v>
      </c>
      <c r="AG247">
        <v>8</v>
      </c>
      <c r="AH247">
        <v>8</v>
      </c>
      <c r="AI247">
        <v>8</v>
      </c>
      <c r="AJ247">
        <v>8</v>
      </c>
      <c r="AK247">
        <v>7</v>
      </c>
    </row>
    <row r="248" spans="2:37" x14ac:dyDescent="0.3">
      <c r="B248" t="s">
        <v>145</v>
      </c>
      <c r="C248">
        <v>121</v>
      </c>
      <c r="D248">
        <v>20</v>
      </c>
      <c r="E248">
        <v>10</v>
      </c>
      <c r="F248">
        <v>150</v>
      </c>
      <c r="G248">
        <v>17.160660425863654</v>
      </c>
      <c r="H248">
        <v>55</v>
      </c>
      <c r="I248">
        <v>75</v>
      </c>
      <c r="J248">
        <v>9</v>
      </c>
      <c r="K248" s="8">
        <v>6.23</v>
      </c>
      <c r="N248">
        <v>3.56</v>
      </c>
      <c r="O248" s="8">
        <v>7.3</v>
      </c>
      <c r="R248" s="8">
        <v>0</v>
      </c>
      <c r="S248" t="s">
        <v>68</v>
      </c>
      <c r="AC248" t="s">
        <v>128</v>
      </c>
      <c r="AD248" t="s">
        <v>127</v>
      </c>
      <c r="AE248" t="s">
        <v>128</v>
      </c>
      <c r="AF248">
        <v>7</v>
      </c>
      <c r="AG248">
        <v>7</v>
      </c>
      <c r="AH248">
        <v>5</v>
      </c>
      <c r="AI248">
        <v>8</v>
      </c>
      <c r="AJ248">
        <v>5</v>
      </c>
      <c r="AK248">
        <v>8</v>
      </c>
    </row>
    <row r="249" spans="2:37" x14ac:dyDescent="0.3">
      <c r="B249" t="s">
        <v>145</v>
      </c>
      <c r="C249">
        <v>121</v>
      </c>
      <c r="D249">
        <v>20</v>
      </c>
      <c r="E249">
        <v>10</v>
      </c>
      <c r="F249">
        <v>150</v>
      </c>
      <c r="G249">
        <v>17.160660425863654</v>
      </c>
      <c r="H249">
        <v>55</v>
      </c>
      <c r="I249">
        <v>75</v>
      </c>
      <c r="J249">
        <v>9</v>
      </c>
      <c r="K249" s="8">
        <v>6.25</v>
      </c>
      <c r="N249">
        <v>3.84</v>
      </c>
      <c r="O249" s="8">
        <v>7.6</v>
      </c>
      <c r="R249" s="8">
        <v>0</v>
      </c>
      <c r="S249" t="s">
        <v>68</v>
      </c>
      <c r="AC249" t="s">
        <v>128</v>
      </c>
      <c r="AD249" t="s">
        <v>127</v>
      </c>
      <c r="AE249" t="s">
        <v>128</v>
      </c>
      <c r="AF249">
        <v>5</v>
      </c>
      <c r="AG249">
        <v>8</v>
      </c>
      <c r="AH249">
        <v>6</v>
      </c>
      <c r="AI249">
        <v>8</v>
      </c>
      <c r="AJ249">
        <v>8</v>
      </c>
      <c r="AK249">
        <v>8</v>
      </c>
    </row>
    <row r="250" spans="2:37" x14ac:dyDescent="0.3">
      <c r="B250" t="s">
        <v>145</v>
      </c>
      <c r="C250">
        <v>121</v>
      </c>
      <c r="D250">
        <v>20</v>
      </c>
      <c r="E250">
        <v>10</v>
      </c>
      <c r="F250">
        <v>150</v>
      </c>
      <c r="G250">
        <v>17.160660425863654</v>
      </c>
      <c r="H250">
        <v>55</v>
      </c>
      <c r="I250">
        <v>75</v>
      </c>
      <c r="J250">
        <v>9</v>
      </c>
      <c r="K250" s="8">
        <v>6.2210000000000001</v>
      </c>
      <c r="N250">
        <v>2.08</v>
      </c>
      <c r="O250" s="8">
        <v>7.5</v>
      </c>
      <c r="R250" s="8">
        <v>0</v>
      </c>
      <c r="S250" t="s">
        <v>68</v>
      </c>
      <c r="AC250" t="s">
        <v>128</v>
      </c>
      <c r="AD250" t="s">
        <v>127</v>
      </c>
      <c r="AE250" t="s">
        <v>128</v>
      </c>
      <c r="AF250">
        <v>8</v>
      </c>
      <c r="AG250">
        <v>6</v>
      </c>
      <c r="AH250">
        <v>8</v>
      </c>
      <c r="AI250">
        <v>5</v>
      </c>
      <c r="AJ250">
        <v>5</v>
      </c>
      <c r="AK250">
        <v>8</v>
      </c>
    </row>
    <row r="251" spans="2:37" x14ac:dyDescent="0.3">
      <c r="B251" t="s">
        <v>146</v>
      </c>
      <c r="C251">
        <v>121</v>
      </c>
      <c r="D251">
        <v>20</v>
      </c>
      <c r="E251">
        <v>10</v>
      </c>
      <c r="F251">
        <v>150</v>
      </c>
      <c r="G251">
        <v>17.160660425863654</v>
      </c>
      <c r="H251">
        <v>45</v>
      </c>
      <c r="I251">
        <v>75</v>
      </c>
      <c r="J251">
        <v>10</v>
      </c>
      <c r="K251" s="8">
        <v>6.32</v>
      </c>
      <c r="N251">
        <v>1.52</v>
      </c>
      <c r="O251" s="8">
        <v>6.2</v>
      </c>
      <c r="R251" s="8">
        <v>0</v>
      </c>
      <c r="S251" t="s">
        <v>68</v>
      </c>
      <c r="X251">
        <v>13.4</v>
      </c>
      <c r="Y251">
        <v>2.6</v>
      </c>
      <c r="Z251">
        <v>1</v>
      </c>
      <c r="AC251" t="s">
        <v>128</v>
      </c>
      <c r="AD251" t="s">
        <v>127</v>
      </c>
      <c r="AE251" t="s">
        <v>128</v>
      </c>
      <c r="AF251">
        <v>5</v>
      </c>
      <c r="AG251">
        <v>7</v>
      </c>
      <c r="AH251">
        <v>9</v>
      </c>
      <c r="AI251">
        <v>8</v>
      </c>
      <c r="AJ251">
        <v>7</v>
      </c>
      <c r="AK251">
        <v>7</v>
      </c>
    </row>
    <row r="252" spans="2:37" x14ac:dyDescent="0.3">
      <c r="B252" t="s">
        <v>146</v>
      </c>
      <c r="C252">
        <v>121</v>
      </c>
      <c r="D252">
        <v>20</v>
      </c>
      <c r="E252">
        <v>10</v>
      </c>
      <c r="F252">
        <v>150</v>
      </c>
      <c r="G252">
        <v>17.160660425863654</v>
      </c>
      <c r="H252">
        <v>45</v>
      </c>
      <c r="I252">
        <v>75</v>
      </c>
      <c r="J252">
        <v>10</v>
      </c>
      <c r="K252" s="8">
        <v>6.33</v>
      </c>
      <c r="N252">
        <v>1.93</v>
      </c>
      <c r="O252" s="8">
        <v>6.86</v>
      </c>
      <c r="R252" s="8">
        <v>0</v>
      </c>
      <c r="S252" t="s">
        <v>68</v>
      </c>
      <c r="X252">
        <v>13.9</v>
      </c>
      <c r="Y252">
        <v>2.8</v>
      </c>
      <c r="Z252">
        <v>1</v>
      </c>
      <c r="AC252" t="s">
        <v>128</v>
      </c>
      <c r="AD252" t="s">
        <v>127</v>
      </c>
      <c r="AE252" t="s">
        <v>128</v>
      </c>
      <c r="AF252">
        <v>8</v>
      </c>
      <c r="AG252">
        <v>7</v>
      </c>
      <c r="AH252">
        <v>5</v>
      </c>
      <c r="AI252">
        <v>8</v>
      </c>
      <c r="AJ252">
        <v>5</v>
      </c>
      <c r="AK252">
        <v>7</v>
      </c>
    </row>
    <row r="253" spans="2:37" x14ac:dyDescent="0.3">
      <c r="B253" t="s">
        <v>146</v>
      </c>
      <c r="C253">
        <v>121</v>
      </c>
      <c r="D253">
        <v>20</v>
      </c>
      <c r="E253">
        <v>10</v>
      </c>
      <c r="F253">
        <v>150</v>
      </c>
      <c r="G253">
        <v>17.160660425863654</v>
      </c>
      <c r="H253">
        <v>45</v>
      </c>
      <c r="I253">
        <v>75</v>
      </c>
      <c r="J253">
        <v>10</v>
      </c>
      <c r="K253" s="8">
        <v>6.38</v>
      </c>
      <c r="N253">
        <v>1.89</v>
      </c>
      <c r="O253" s="8">
        <v>7.22</v>
      </c>
      <c r="R253" s="8">
        <v>0</v>
      </c>
      <c r="S253" t="s">
        <v>68</v>
      </c>
      <c r="X253">
        <v>13.6</v>
      </c>
      <c r="Y253">
        <v>2.9</v>
      </c>
      <c r="Z253">
        <v>1</v>
      </c>
      <c r="AC253" t="s">
        <v>128</v>
      </c>
      <c r="AD253" t="s">
        <v>127</v>
      </c>
      <c r="AE253" t="s">
        <v>128</v>
      </c>
      <c r="AF253">
        <v>9</v>
      </c>
      <c r="AG253">
        <v>9</v>
      </c>
      <c r="AH253">
        <v>8</v>
      </c>
      <c r="AI253">
        <v>8</v>
      </c>
      <c r="AJ253">
        <v>4</v>
      </c>
      <c r="AK253">
        <v>8</v>
      </c>
    </row>
    <row r="254" spans="2:37" x14ac:dyDescent="0.3">
      <c r="B254" t="s">
        <v>147</v>
      </c>
      <c r="C254">
        <v>121</v>
      </c>
      <c r="D254">
        <v>20</v>
      </c>
      <c r="E254">
        <v>10</v>
      </c>
      <c r="F254">
        <v>150</v>
      </c>
      <c r="G254">
        <v>17.160660425863654</v>
      </c>
      <c r="H254">
        <v>28</v>
      </c>
      <c r="I254">
        <v>75</v>
      </c>
      <c r="J254">
        <v>10</v>
      </c>
      <c r="K254" s="8">
        <v>6.56</v>
      </c>
      <c r="N254">
        <v>4.01</v>
      </c>
      <c r="O254" s="8">
        <v>5.13</v>
      </c>
      <c r="R254" s="8">
        <v>0</v>
      </c>
      <c r="S254" t="s">
        <v>68</v>
      </c>
      <c r="T254">
        <v>53.21</v>
      </c>
      <c r="U254">
        <v>6.1</v>
      </c>
      <c r="V254">
        <v>43.516666666666701</v>
      </c>
      <c r="W254">
        <v>69.013333333333307</v>
      </c>
      <c r="X254">
        <v>0</v>
      </c>
      <c r="Y254">
        <v>19.866666666666699</v>
      </c>
      <c r="Z254">
        <v>2.33</v>
      </c>
      <c r="AA254">
        <v>54.066666666666698</v>
      </c>
      <c r="AC254" t="s">
        <v>128</v>
      </c>
      <c r="AD254" t="s">
        <v>127</v>
      </c>
      <c r="AE254" t="s">
        <v>128</v>
      </c>
      <c r="AF254">
        <v>6</v>
      </c>
      <c r="AG254">
        <v>8</v>
      </c>
      <c r="AH254">
        <v>5</v>
      </c>
      <c r="AI254">
        <v>8</v>
      </c>
      <c r="AJ254">
        <v>9</v>
      </c>
      <c r="AK254">
        <v>9</v>
      </c>
    </row>
    <row r="255" spans="2:37" x14ac:dyDescent="0.3">
      <c r="B255" t="s">
        <v>147</v>
      </c>
      <c r="C255">
        <v>121</v>
      </c>
      <c r="D255">
        <v>20</v>
      </c>
      <c r="E255">
        <v>10</v>
      </c>
      <c r="F255">
        <v>150</v>
      </c>
      <c r="G255">
        <v>17.160660425863654</v>
      </c>
      <c r="H255">
        <v>28</v>
      </c>
      <c r="I255">
        <v>75</v>
      </c>
      <c r="J255">
        <v>10</v>
      </c>
      <c r="K255" s="8">
        <v>6.61</v>
      </c>
      <c r="N255">
        <v>4.09</v>
      </c>
      <c r="O255" s="8">
        <v>4.0199999999999996</v>
      </c>
      <c r="R255" s="8">
        <v>0</v>
      </c>
      <c r="S255" t="s">
        <v>68</v>
      </c>
      <c r="T255">
        <v>53.17</v>
      </c>
      <c r="U255">
        <v>6.11</v>
      </c>
      <c r="V255">
        <v>43.446666666666701</v>
      </c>
      <c r="W255">
        <v>68.938333333333304</v>
      </c>
      <c r="X255">
        <v>0</v>
      </c>
      <c r="Y255">
        <v>19.9166666666667</v>
      </c>
      <c r="Z255">
        <v>1.8333333333333299</v>
      </c>
      <c r="AA255">
        <v>54.086666666666702</v>
      </c>
      <c r="AC255" t="s">
        <v>128</v>
      </c>
      <c r="AD255" t="s">
        <v>127</v>
      </c>
      <c r="AE255" t="s">
        <v>128</v>
      </c>
      <c r="AF255">
        <v>7</v>
      </c>
      <c r="AG255">
        <v>7</v>
      </c>
      <c r="AH255">
        <v>8</v>
      </c>
      <c r="AI255">
        <v>8</v>
      </c>
      <c r="AJ255">
        <v>6</v>
      </c>
      <c r="AK255">
        <v>6</v>
      </c>
    </row>
    <row r="256" spans="2:37" x14ac:dyDescent="0.3">
      <c r="B256" t="s">
        <v>147</v>
      </c>
      <c r="C256">
        <v>121</v>
      </c>
      <c r="D256">
        <v>20</v>
      </c>
      <c r="E256">
        <v>10</v>
      </c>
      <c r="F256">
        <v>150</v>
      </c>
      <c r="G256">
        <v>17.160660425863654</v>
      </c>
      <c r="H256">
        <v>28</v>
      </c>
      <c r="I256">
        <v>75</v>
      </c>
      <c r="J256">
        <v>10</v>
      </c>
      <c r="K256" s="8">
        <v>6.53</v>
      </c>
      <c r="N256">
        <v>4.2300000000000004</v>
      </c>
      <c r="O256" s="8">
        <v>5.1100000000000003</v>
      </c>
      <c r="R256" s="8">
        <v>0</v>
      </c>
      <c r="S256" t="s">
        <v>68</v>
      </c>
      <c r="T256">
        <v>53.13</v>
      </c>
      <c r="U256">
        <v>6.12</v>
      </c>
      <c r="V256">
        <v>43.376666666666701</v>
      </c>
      <c r="W256">
        <v>68.863333333333301</v>
      </c>
      <c r="X256">
        <v>0</v>
      </c>
      <c r="Y256">
        <v>19.966666666666701</v>
      </c>
      <c r="Z256">
        <v>1.3333333333333299</v>
      </c>
      <c r="AA256">
        <v>54.106666666666698</v>
      </c>
      <c r="AC256" t="s">
        <v>128</v>
      </c>
      <c r="AD256" t="s">
        <v>127</v>
      </c>
      <c r="AE256" t="s">
        <v>128</v>
      </c>
      <c r="AF256">
        <v>6</v>
      </c>
      <c r="AG256">
        <v>7</v>
      </c>
      <c r="AH256">
        <v>5</v>
      </c>
      <c r="AI256">
        <v>8</v>
      </c>
      <c r="AJ256">
        <v>5</v>
      </c>
      <c r="AK256">
        <v>7</v>
      </c>
    </row>
    <row r="257" spans="2:37" x14ac:dyDescent="0.3">
      <c r="B257" t="s">
        <v>147</v>
      </c>
      <c r="C257">
        <v>121</v>
      </c>
      <c r="D257">
        <v>20</v>
      </c>
      <c r="E257">
        <v>10</v>
      </c>
      <c r="F257">
        <v>150</v>
      </c>
      <c r="G257">
        <v>17.160660425863654</v>
      </c>
      <c r="H257">
        <v>28</v>
      </c>
      <c r="I257">
        <v>75</v>
      </c>
      <c r="J257">
        <v>13</v>
      </c>
      <c r="K257" s="8">
        <v>6.53</v>
      </c>
      <c r="N257">
        <v>4.33</v>
      </c>
      <c r="O257" s="8">
        <v>5.4</v>
      </c>
      <c r="R257" s="8">
        <v>0</v>
      </c>
      <c r="S257" t="s">
        <v>68</v>
      </c>
      <c r="T257">
        <v>54</v>
      </c>
      <c r="U257">
        <v>6.01</v>
      </c>
      <c r="V257" t="s">
        <v>193</v>
      </c>
      <c r="W257">
        <v>70.66</v>
      </c>
      <c r="X257">
        <v>0</v>
      </c>
      <c r="Y257">
        <v>24.3</v>
      </c>
      <c r="Z257">
        <v>1</v>
      </c>
      <c r="AA257">
        <v>54.15</v>
      </c>
      <c r="AC257" t="s">
        <v>128</v>
      </c>
      <c r="AD257" t="s">
        <v>127</v>
      </c>
      <c r="AE257" t="s">
        <v>128</v>
      </c>
      <c r="AF257">
        <v>7</v>
      </c>
      <c r="AG257">
        <v>6</v>
      </c>
      <c r="AH257">
        <v>5</v>
      </c>
      <c r="AI257">
        <v>8</v>
      </c>
      <c r="AJ257">
        <v>6</v>
      </c>
      <c r="AK257">
        <v>6</v>
      </c>
    </row>
    <row r="258" spans="2:37" x14ac:dyDescent="0.3">
      <c r="B258" t="s">
        <v>147</v>
      </c>
      <c r="C258">
        <v>121</v>
      </c>
      <c r="D258">
        <v>20</v>
      </c>
      <c r="E258">
        <v>10</v>
      </c>
      <c r="F258">
        <v>150</v>
      </c>
      <c r="G258">
        <v>17.160660425863654</v>
      </c>
      <c r="H258">
        <v>28</v>
      </c>
      <c r="I258">
        <v>75</v>
      </c>
      <c r="J258">
        <v>13</v>
      </c>
      <c r="K258" s="8">
        <v>6.59</v>
      </c>
      <c r="N258">
        <v>4.4400000000000004</v>
      </c>
      <c r="O258" s="8">
        <v>5.98</v>
      </c>
      <c r="R258" s="8">
        <v>0</v>
      </c>
      <c r="S258" t="s">
        <v>68</v>
      </c>
      <c r="T258">
        <v>53.98</v>
      </c>
      <c r="U258">
        <v>6.01</v>
      </c>
      <c r="V258">
        <v>45.17</v>
      </c>
      <c r="W258">
        <v>70.64</v>
      </c>
      <c r="X258">
        <v>0.999</v>
      </c>
      <c r="Y258">
        <v>22.5</v>
      </c>
      <c r="Z258">
        <v>1</v>
      </c>
      <c r="AA258">
        <v>54.1</v>
      </c>
      <c r="AC258" t="s">
        <v>128</v>
      </c>
      <c r="AD258" t="s">
        <v>127</v>
      </c>
      <c r="AE258" t="s">
        <v>128</v>
      </c>
      <c r="AF258">
        <v>6</v>
      </c>
      <c r="AG258">
        <v>8</v>
      </c>
      <c r="AH258">
        <v>6</v>
      </c>
      <c r="AI258">
        <v>7</v>
      </c>
      <c r="AJ258">
        <v>7</v>
      </c>
      <c r="AK258">
        <v>6</v>
      </c>
    </row>
    <row r="259" spans="2:37" x14ac:dyDescent="0.3">
      <c r="B259" t="s">
        <v>147</v>
      </c>
      <c r="C259">
        <v>121</v>
      </c>
      <c r="D259">
        <v>20</v>
      </c>
      <c r="E259">
        <v>10</v>
      </c>
      <c r="F259">
        <v>150</v>
      </c>
      <c r="G259">
        <v>17.160660425863654</v>
      </c>
      <c r="H259">
        <v>28</v>
      </c>
      <c r="I259">
        <v>75</v>
      </c>
      <c r="J259">
        <v>13</v>
      </c>
      <c r="K259" s="8">
        <v>6.57</v>
      </c>
      <c r="N259">
        <v>4.55</v>
      </c>
      <c r="O259" s="8">
        <v>5.38</v>
      </c>
      <c r="R259" s="8">
        <v>0</v>
      </c>
      <c r="S259" t="s">
        <v>68</v>
      </c>
      <c r="T259">
        <v>53.96</v>
      </c>
      <c r="U259">
        <v>6.01</v>
      </c>
      <c r="V259">
        <v>45.1</v>
      </c>
      <c r="W259">
        <v>70.58</v>
      </c>
      <c r="X259">
        <v>1.64</v>
      </c>
      <c r="Y259">
        <v>21.6</v>
      </c>
      <c r="Z259">
        <v>1</v>
      </c>
      <c r="AA259">
        <v>54.19</v>
      </c>
      <c r="AC259" t="s">
        <v>128</v>
      </c>
      <c r="AD259" t="s">
        <v>127</v>
      </c>
      <c r="AE259" t="s">
        <v>128</v>
      </c>
      <c r="AF259">
        <v>3</v>
      </c>
      <c r="AG259">
        <v>9</v>
      </c>
      <c r="AH259">
        <v>7</v>
      </c>
      <c r="AI259">
        <v>7</v>
      </c>
      <c r="AJ259">
        <v>7</v>
      </c>
      <c r="AK259">
        <v>8</v>
      </c>
    </row>
    <row r="260" spans="2:37" x14ac:dyDescent="0.3">
      <c r="B260" t="s">
        <v>148</v>
      </c>
      <c r="C260">
        <v>121</v>
      </c>
      <c r="D260">
        <v>20</v>
      </c>
      <c r="E260">
        <v>10</v>
      </c>
      <c r="F260">
        <v>150</v>
      </c>
      <c r="G260">
        <v>17.1606604258637</v>
      </c>
      <c r="H260">
        <v>55</v>
      </c>
      <c r="I260">
        <v>75</v>
      </c>
      <c r="J260">
        <v>12</v>
      </c>
      <c r="K260" s="8">
        <v>6.12</v>
      </c>
      <c r="N260">
        <v>3.49</v>
      </c>
      <c r="O260" s="8">
        <v>8.3000000000000007</v>
      </c>
      <c r="R260" s="8">
        <v>0</v>
      </c>
      <c r="S260" t="s">
        <v>68</v>
      </c>
      <c r="AC260" t="s">
        <v>128</v>
      </c>
      <c r="AD260" t="s">
        <v>127</v>
      </c>
      <c r="AE260" t="s">
        <v>128</v>
      </c>
      <c r="AF260">
        <v>5</v>
      </c>
      <c r="AG260">
        <v>6</v>
      </c>
      <c r="AH260">
        <v>6</v>
      </c>
      <c r="AI260">
        <v>7</v>
      </c>
      <c r="AJ260">
        <v>8</v>
      </c>
      <c r="AK260">
        <v>8</v>
      </c>
    </row>
    <row r="261" spans="2:37" x14ac:dyDescent="0.3">
      <c r="B261" t="s">
        <v>148</v>
      </c>
      <c r="C261">
        <v>121</v>
      </c>
      <c r="D261">
        <v>20</v>
      </c>
      <c r="E261">
        <v>10</v>
      </c>
      <c r="F261">
        <v>150</v>
      </c>
      <c r="G261">
        <v>17.1606604258637</v>
      </c>
      <c r="H261">
        <v>55</v>
      </c>
      <c r="I261">
        <v>75</v>
      </c>
      <c r="J261">
        <v>12</v>
      </c>
      <c r="K261" s="8">
        <v>6.23</v>
      </c>
      <c r="N261">
        <v>4.25</v>
      </c>
      <c r="O261" s="8">
        <v>8.6</v>
      </c>
      <c r="R261" s="8">
        <v>0</v>
      </c>
      <c r="S261" t="s">
        <v>68</v>
      </c>
      <c r="AC261" t="s">
        <v>128</v>
      </c>
      <c r="AD261" t="s">
        <v>127</v>
      </c>
      <c r="AE261" t="s">
        <v>128</v>
      </c>
      <c r="AF261">
        <v>6</v>
      </c>
      <c r="AG261">
        <v>9</v>
      </c>
      <c r="AH261">
        <v>5</v>
      </c>
      <c r="AI261">
        <v>7</v>
      </c>
      <c r="AJ261">
        <v>5</v>
      </c>
      <c r="AK261">
        <v>8</v>
      </c>
    </row>
    <row r="262" spans="2:37" x14ac:dyDescent="0.3">
      <c r="B262" t="s">
        <v>148</v>
      </c>
      <c r="C262">
        <v>121</v>
      </c>
      <c r="D262">
        <v>20</v>
      </c>
      <c r="E262">
        <v>10</v>
      </c>
      <c r="F262">
        <v>150</v>
      </c>
      <c r="G262">
        <v>17.1606604258637</v>
      </c>
      <c r="H262">
        <v>55</v>
      </c>
      <c r="I262">
        <v>75</v>
      </c>
      <c r="J262">
        <v>12</v>
      </c>
      <c r="K262" s="8">
        <v>6.24</v>
      </c>
      <c r="N262">
        <v>4.16</v>
      </c>
      <c r="O262" s="8">
        <v>8.1199999999999992</v>
      </c>
      <c r="R262" s="8">
        <v>0</v>
      </c>
      <c r="S262" t="s">
        <v>68</v>
      </c>
      <c r="AC262" t="s">
        <v>128</v>
      </c>
      <c r="AD262" t="s">
        <v>127</v>
      </c>
      <c r="AE262" t="s">
        <v>128</v>
      </c>
      <c r="AF262">
        <v>3</v>
      </c>
      <c r="AG262">
        <v>9</v>
      </c>
      <c r="AH262">
        <v>6</v>
      </c>
      <c r="AI262">
        <v>7</v>
      </c>
      <c r="AJ262">
        <v>6</v>
      </c>
      <c r="AK262">
        <v>6</v>
      </c>
    </row>
    <row r="263" spans="2:37" x14ac:dyDescent="0.3">
      <c r="B263" t="s">
        <v>149</v>
      </c>
      <c r="C263">
        <v>121</v>
      </c>
      <c r="D263">
        <v>20</v>
      </c>
      <c r="E263">
        <v>10</v>
      </c>
      <c r="F263">
        <v>150</v>
      </c>
      <c r="G263">
        <v>17.1606604258637</v>
      </c>
      <c r="H263">
        <v>32</v>
      </c>
      <c r="I263">
        <v>75</v>
      </c>
      <c r="J263">
        <v>14</v>
      </c>
      <c r="K263" s="8">
        <v>6.49</v>
      </c>
      <c r="N263">
        <v>1.6</v>
      </c>
      <c r="O263" s="8">
        <v>11.2</v>
      </c>
      <c r="R263" s="8">
        <v>0</v>
      </c>
      <c r="S263" t="s">
        <v>68</v>
      </c>
      <c r="T263">
        <v>55.42</v>
      </c>
      <c r="U263">
        <v>7.36</v>
      </c>
      <c r="V263">
        <v>47.56</v>
      </c>
      <c r="W263">
        <v>73.400000000000006</v>
      </c>
      <c r="X263">
        <v>1.55</v>
      </c>
      <c r="Y263">
        <v>15.5</v>
      </c>
      <c r="Z263">
        <v>0</v>
      </c>
      <c r="AA263">
        <v>58.58</v>
      </c>
      <c r="AC263" t="s">
        <v>128</v>
      </c>
      <c r="AD263" t="s">
        <v>127</v>
      </c>
      <c r="AE263" t="s">
        <v>128</v>
      </c>
      <c r="AF263">
        <v>6</v>
      </c>
      <c r="AG263">
        <v>8</v>
      </c>
      <c r="AH263">
        <v>6</v>
      </c>
      <c r="AI263">
        <v>7</v>
      </c>
      <c r="AJ263">
        <v>8</v>
      </c>
      <c r="AK263">
        <v>8</v>
      </c>
    </row>
    <row r="264" spans="2:37" x14ac:dyDescent="0.3">
      <c r="B264" t="s">
        <v>149</v>
      </c>
      <c r="C264">
        <v>121</v>
      </c>
      <c r="D264">
        <v>20</v>
      </c>
      <c r="E264">
        <v>10</v>
      </c>
      <c r="F264">
        <v>150</v>
      </c>
      <c r="G264">
        <v>17.1606604258637</v>
      </c>
      <c r="H264">
        <v>32</v>
      </c>
      <c r="I264">
        <v>75</v>
      </c>
      <c r="J264">
        <v>14</v>
      </c>
      <c r="K264" s="8">
        <v>6.32</v>
      </c>
      <c r="N264">
        <v>1.53</v>
      </c>
      <c r="O264" s="8">
        <v>10.37</v>
      </c>
      <c r="R264" s="8">
        <v>0</v>
      </c>
      <c r="S264" t="s">
        <v>68</v>
      </c>
      <c r="T264">
        <v>55.32</v>
      </c>
      <c r="U264">
        <v>7.33</v>
      </c>
      <c r="V264">
        <v>47.46</v>
      </c>
      <c r="W264">
        <v>73.260000000000005</v>
      </c>
      <c r="X264">
        <v>1.55</v>
      </c>
      <c r="Y264">
        <v>15.5</v>
      </c>
      <c r="Z264">
        <v>0</v>
      </c>
      <c r="AA264">
        <v>58.25</v>
      </c>
      <c r="AC264" t="s">
        <v>128</v>
      </c>
      <c r="AD264" t="s">
        <v>127</v>
      </c>
      <c r="AE264" t="s">
        <v>128</v>
      </c>
      <c r="AF264">
        <v>8</v>
      </c>
      <c r="AG264">
        <v>8</v>
      </c>
      <c r="AH264">
        <v>5</v>
      </c>
      <c r="AI264">
        <v>7</v>
      </c>
      <c r="AJ264">
        <v>5</v>
      </c>
      <c r="AK264">
        <v>8</v>
      </c>
    </row>
    <row r="265" spans="2:37" x14ac:dyDescent="0.3">
      <c r="B265" t="s">
        <v>149</v>
      </c>
      <c r="C265">
        <v>121</v>
      </c>
      <c r="D265">
        <v>20</v>
      </c>
      <c r="E265">
        <v>10</v>
      </c>
      <c r="F265">
        <v>150</v>
      </c>
      <c r="G265">
        <v>17.1606604258637</v>
      </c>
      <c r="H265">
        <v>32</v>
      </c>
      <c r="I265">
        <v>75</v>
      </c>
      <c r="J265">
        <v>14</v>
      </c>
      <c r="K265" s="8">
        <v>6.46</v>
      </c>
      <c r="N265">
        <v>1.69</v>
      </c>
      <c r="O265" s="8">
        <v>9.56</v>
      </c>
      <c r="R265" s="8">
        <v>0</v>
      </c>
      <c r="S265" t="s">
        <v>68</v>
      </c>
      <c r="T265">
        <v>55.27</v>
      </c>
      <c r="U265">
        <v>7.3</v>
      </c>
      <c r="V265">
        <v>47.41</v>
      </c>
      <c r="W265">
        <v>73.180000000000007</v>
      </c>
      <c r="X265">
        <v>1.55</v>
      </c>
      <c r="Y265">
        <v>15.5</v>
      </c>
      <c r="Z265">
        <v>0</v>
      </c>
      <c r="AA265">
        <v>58.62</v>
      </c>
      <c r="AC265" t="s">
        <v>128</v>
      </c>
      <c r="AD265" t="s">
        <v>127</v>
      </c>
      <c r="AE265" t="s">
        <v>128</v>
      </c>
      <c r="AF265">
        <v>6</v>
      </c>
      <c r="AG265">
        <v>6</v>
      </c>
      <c r="AH265">
        <v>8</v>
      </c>
      <c r="AI265">
        <v>7</v>
      </c>
      <c r="AJ265">
        <v>8</v>
      </c>
      <c r="AK265">
        <v>8</v>
      </c>
    </row>
    <row r="266" spans="2:37" x14ac:dyDescent="0.3">
      <c r="B266" t="s">
        <v>150</v>
      </c>
      <c r="C266">
        <v>121</v>
      </c>
      <c r="D266">
        <v>20</v>
      </c>
      <c r="E266">
        <v>10</v>
      </c>
      <c r="F266">
        <v>150</v>
      </c>
      <c r="G266">
        <v>17.1606604258637</v>
      </c>
      <c r="H266">
        <v>55</v>
      </c>
      <c r="I266">
        <v>75</v>
      </c>
      <c r="J266">
        <v>15</v>
      </c>
      <c r="K266" s="8">
        <v>6.8</v>
      </c>
      <c r="N266">
        <v>4.5</v>
      </c>
      <c r="O266" s="8">
        <v>9.25</v>
      </c>
      <c r="R266" s="8">
        <v>0</v>
      </c>
      <c r="S266" t="s">
        <v>68</v>
      </c>
      <c r="T266">
        <v>41.31</v>
      </c>
      <c r="U266">
        <v>6.57</v>
      </c>
      <c r="V266">
        <v>30.58</v>
      </c>
      <c r="W266">
        <v>51.81</v>
      </c>
      <c r="X266">
        <v>4.1000000000000002E-2</v>
      </c>
      <c r="Y266">
        <v>15.1</v>
      </c>
      <c r="Z266">
        <v>0</v>
      </c>
      <c r="AA266">
        <v>56.55</v>
      </c>
      <c r="AC266" t="s">
        <v>128</v>
      </c>
      <c r="AD266" t="s">
        <v>127</v>
      </c>
      <c r="AE266" t="s">
        <v>128</v>
      </c>
      <c r="AF266">
        <v>8</v>
      </c>
      <c r="AG266">
        <v>8</v>
      </c>
      <c r="AH266">
        <v>7</v>
      </c>
      <c r="AI266">
        <v>7</v>
      </c>
      <c r="AJ266">
        <v>7</v>
      </c>
      <c r="AK266">
        <v>6</v>
      </c>
    </row>
    <row r="267" spans="2:37" x14ac:dyDescent="0.3">
      <c r="B267" t="s">
        <v>150</v>
      </c>
      <c r="C267">
        <v>121</v>
      </c>
      <c r="D267">
        <v>20</v>
      </c>
      <c r="E267">
        <v>10</v>
      </c>
      <c r="F267">
        <v>150</v>
      </c>
      <c r="G267">
        <v>17.1606604258637</v>
      </c>
      <c r="H267">
        <v>55</v>
      </c>
      <c r="I267">
        <v>75</v>
      </c>
      <c r="J267">
        <v>15</v>
      </c>
      <c r="K267" s="8">
        <v>6.86</v>
      </c>
      <c r="N267">
        <v>3.6</v>
      </c>
      <c r="O267" s="10">
        <v>10.98</v>
      </c>
      <c r="R267" s="8">
        <v>0</v>
      </c>
      <c r="S267" t="s">
        <v>68</v>
      </c>
      <c r="T267">
        <v>41.23</v>
      </c>
      <c r="U267">
        <v>6.55</v>
      </c>
      <c r="V267">
        <v>30.45</v>
      </c>
      <c r="W267">
        <v>51.67</v>
      </c>
      <c r="X267">
        <v>0.375</v>
      </c>
      <c r="Y267">
        <v>15</v>
      </c>
      <c r="Z267">
        <v>-1</v>
      </c>
      <c r="AA267">
        <v>58.9</v>
      </c>
      <c r="AC267" t="s">
        <v>128</v>
      </c>
      <c r="AD267" t="s">
        <v>208</v>
      </c>
      <c r="AE267" t="s">
        <v>128</v>
      </c>
      <c r="AF267">
        <v>7</v>
      </c>
      <c r="AG267">
        <v>7</v>
      </c>
      <c r="AH267">
        <v>7</v>
      </c>
      <c r="AI267">
        <v>6</v>
      </c>
      <c r="AJ267">
        <v>8</v>
      </c>
      <c r="AK267">
        <v>8</v>
      </c>
    </row>
    <row r="268" spans="2:37" x14ac:dyDescent="0.3">
      <c r="B268" t="s">
        <v>150</v>
      </c>
      <c r="C268">
        <v>121</v>
      </c>
      <c r="D268">
        <v>20</v>
      </c>
      <c r="E268">
        <v>10</v>
      </c>
      <c r="F268">
        <v>150</v>
      </c>
      <c r="G268">
        <v>17.1606604258637</v>
      </c>
      <c r="H268">
        <v>55</v>
      </c>
      <c r="I268">
        <v>75</v>
      </c>
      <c r="J268">
        <v>15</v>
      </c>
      <c r="K268" s="8">
        <v>6.94</v>
      </c>
      <c r="N268">
        <v>2.9</v>
      </c>
      <c r="O268" s="10">
        <v>11.78</v>
      </c>
      <c r="R268" s="8">
        <v>0</v>
      </c>
      <c r="S268" t="s">
        <v>68</v>
      </c>
      <c r="T268">
        <v>41.2</v>
      </c>
      <c r="U268">
        <v>6.53</v>
      </c>
      <c r="V268">
        <v>30.45</v>
      </c>
      <c r="W268">
        <v>51.65</v>
      </c>
      <c r="X268">
        <v>0.755</v>
      </c>
      <c r="Y268">
        <v>14.7</v>
      </c>
      <c r="Z268">
        <v>-3</v>
      </c>
      <c r="AA268">
        <v>57.27</v>
      </c>
      <c r="AC268" t="s">
        <v>128</v>
      </c>
      <c r="AD268" t="s">
        <v>208</v>
      </c>
      <c r="AE268" t="s">
        <v>128</v>
      </c>
      <c r="AF268">
        <v>8</v>
      </c>
      <c r="AG268">
        <v>8</v>
      </c>
      <c r="AH268">
        <v>7</v>
      </c>
      <c r="AI268">
        <v>6</v>
      </c>
      <c r="AJ268">
        <v>7</v>
      </c>
      <c r="AK268">
        <v>8</v>
      </c>
    </row>
    <row r="269" spans="2:37" x14ac:dyDescent="0.3">
      <c r="B269" t="s">
        <v>151</v>
      </c>
      <c r="C269">
        <v>121</v>
      </c>
      <c r="D269">
        <v>20</v>
      </c>
      <c r="E269">
        <v>10</v>
      </c>
      <c r="F269">
        <v>150</v>
      </c>
      <c r="G269">
        <v>17.1606604258637</v>
      </c>
      <c r="H269">
        <v>45</v>
      </c>
      <c r="I269">
        <v>75</v>
      </c>
      <c r="J269">
        <v>15</v>
      </c>
      <c r="K269" s="8">
        <v>5.89</v>
      </c>
      <c r="N269">
        <v>3.5</v>
      </c>
      <c r="O269" s="8">
        <v>8.6</v>
      </c>
      <c r="R269" s="8">
        <v>0</v>
      </c>
      <c r="S269" t="s">
        <v>68</v>
      </c>
      <c r="T269">
        <v>55.75</v>
      </c>
      <c r="U269">
        <v>7.39</v>
      </c>
      <c r="V269">
        <v>47.18</v>
      </c>
      <c r="W269">
        <v>73.41</v>
      </c>
      <c r="X269">
        <v>1.1499999999999999</v>
      </c>
      <c r="Y269">
        <v>14.4</v>
      </c>
      <c r="Z269">
        <v>0</v>
      </c>
      <c r="AA269">
        <v>64.03</v>
      </c>
      <c r="AC269" t="s">
        <v>195</v>
      </c>
      <c r="AD269" t="s">
        <v>127</v>
      </c>
      <c r="AE269" t="s">
        <v>194</v>
      </c>
      <c r="AF269">
        <v>7</v>
      </c>
      <c r="AG269">
        <v>7</v>
      </c>
      <c r="AH269">
        <v>8</v>
      </c>
      <c r="AI269">
        <v>7</v>
      </c>
      <c r="AJ269">
        <v>8</v>
      </c>
      <c r="AK269">
        <v>7</v>
      </c>
    </row>
    <row r="270" spans="2:37" x14ac:dyDescent="0.3">
      <c r="B270" t="s">
        <v>151</v>
      </c>
      <c r="C270">
        <v>121</v>
      </c>
      <c r="D270">
        <v>20</v>
      </c>
      <c r="E270">
        <v>10</v>
      </c>
      <c r="F270">
        <v>150</v>
      </c>
      <c r="G270">
        <v>17.1606604258637</v>
      </c>
      <c r="H270">
        <v>45</v>
      </c>
      <c r="I270">
        <v>75</v>
      </c>
      <c r="J270">
        <v>15</v>
      </c>
      <c r="K270" s="8">
        <v>5.92</v>
      </c>
      <c r="N270">
        <v>3.5</v>
      </c>
      <c r="O270" s="8">
        <v>8.1999999999999993</v>
      </c>
      <c r="R270" s="8">
        <v>0</v>
      </c>
      <c r="S270" t="s">
        <v>68</v>
      </c>
      <c r="T270">
        <v>55.74</v>
      </c>
      <c r="U270">
        <v>7.38</v>
      </c>
      <c r="V270">
        <v>47.22</v>
      </c>
      <c r="W270">
        <v>73.430000000000007</v>
      </c>
      <c r="X270">
        <v>1.19</v>
      </c>
      <c r="Y270">
        <v>14.9</v>
      </c>
      <c r="Z270">
        <v>0</v>
      </c>
      <c r="AA270">
        <v>64.099999999999994</v>
      </c>
      <c r="AC270" t="s">
        <v>195</v>
      </c>
      <c r="AD270" t="s">
        <v>127</v>
      </c>
      <c r="AE270" t="s">
        <v>194</v>
      </c>
      <c r="AF270">
        <v>7</v>
      </c>
      <c r="AG270">
        <v>8</v>
      </c>
      <c r="AH270">
        <v>7</v>
      </c>
      <c r="AI270">
        <v>8</v>
      </c>
      <c r="AJ270">
        <v>7</v>
      </c>
      <c r="AK270">
        <v>8</v>
      </c>
    </row>
    <row r="271" spans="2:37" x14ac:dyDescent="0.3">
      <c r="B271" t="s">
        <v>151</v>
      </c>
      <c r="C271">
        <v>121</v>
      </c>
      <c r="D271">
        <v>20</v>
      </c>
      <c r="E271">
        <v>10</v>
      </c>
      <c r="F271">
        <v>150</v>
      </c>
      <c r="G271">
        <v>17.1606604258637</v>
      </c>
      <c r="H271">
        <v>45</v>
      </c>
      <c r="I271">
        <v>75</v>
      </c>
      <c r="J271">
        <v>15</v>
      </c>
      <c r="K271" s="8">
        <v>5.76</v>
      </c>
      <c r="N271">
        <v>5.2</v>
      </c>
      <c r="O271" s="8">
        <v>7.6</v>
      </c>
      <c r="R271" s="8">
        <v>0</v>
      </c>
      <c r="S271" t="s">
        <v>68</v>
      </c>
      <c r="T271">
        <v>55.74</v>
      </c>
      <c r="U271">
        <v>7.37</v>
      </c>
      <c r="V271">
        <v>47.29</v>
      </c>
      <c r="W271">
        <v>73.47</v>
      </c>
      <c r="X271">
        <v>1.19</v>
      </c>
      <c r="Y271">
        <v>15</v>
      </c>
      <c r="Z271">
        <v>0</v>
      </c>
      <c r="AA271">
        <v>63.66</v>
      </c>
      <c r="AC271" t="s">
        <v>195</v>
      </c>
      <c r="AD271" t="s">
        <v>127</v>
      </c>
      <c r="AE271" t="s">
        <v>194</v>
      </c>
      <c r="AF271">
        <v>7</v>
      </c>
      <c r="AG271">
        <v>7</v>
      </c>
      <c r="AH271">
        <v>8</v>
      </c>
      <c r="AI271">
        <v>7</v>
      </c>
      <c r="AJ271">
        <v>8</v>
      </c>
      <c r="AK271">
        <v>8</v>
      </c>
    </row>
    <row r="272" spans="2:37" x14ac:dyDescent="0.3">
      <c r="B272" t="s">
        <v>152</v>
      </c>
      <c r="C272">
        <v>121</v>
      </c>
      <c r="D272">
        <v>20</v>
      </c>
      <c r="E272">
        <v>10</v>
      </c>
      <c r="F272">
        <v>150</v>
      </c>
      <c r="G272">
        <v>17.1606604258637</v>
      </c>
      <c r="H272">
        <v>55</v>
      </c>
      <c r="I272">
        <v>75</v>
      </c>
      <c r="J272">
        <v>18</v>
      </c>
      <c r="K272" s="8">
        <v>6.01</v>
      </c>
      <c r="N272">
        <v>4.12</v>
      </c>
      <c r="O272" s="8">
        <v>12.9</v>
      </c>
      <c r="R272" s="8">
        <v>0</v>
      </c>
      <c r="S272" t="s">
        <v>68</v>
      </c>
      <c r="T272">
        <v>58.46</v>
      </c>
      <c r="U272">
        <v>8.82</v>
      </c>
      <c r="V272">
        <v>51.61</v>
      </c>
      <c r="W272">
        <v>78.47</v>
      </c>
      <c r="X272">
        <v>0.01</v>
      </c>
      <c r="Y272">
        <v>16.600000000000001</v>
      </c>
      <c r="Z272">
        <v>1</v>
      </c>
      <c r="AA272">
        <v>57.55</v>
      </c>
      <c r="AC272" t="s">
        <v>128</v>
      </c>
      <c r="AD272" t="s">
        <v>208</v>
      </c>
      <c r="AE272" t="s">
        <v>218</v>
      </c>
      <c r="AF272">
        <v>8</v>
      </c>
      <c r="AG272">
        <v>8</v>
      </c>
      <c r="AH272">
        <v>7</v>
      </c>
      <c r="AI272">
        <v>7</v>
      </c>
      <c r="AJ272">
        <v>7</v>
      </c>
      <c r="AK272">
        <v>8</v>
      </c>
    </row>
    <row r="273" spans="2:37" x14ac:dyDescent="0.3">
      <c r="B273" t="s">
        <v>152</v>
      </c>
      <c r="C273">
        <v>121</v>
      </c>
      <c r="D273">
        <v>20</v>
      </c>
      <c r="E273">
        <v>10</v>
      </c>
      <c r="F273">
        <v>150</v>
      </c>
      <c r="G273">
        <v>17.1606604258637</v>
      </c>
      <c r="H273">
        <v>55</v>
      </c>
      <c r="I273">
        <v>75</v>
      </c>
      <c r="J273">
        <v>18</v>
      </c>
      <c r="K273" s="8">
        <v>6.08</v>
      </c>
      <c r="N273">
        <v>3.85</v>
      </c>
      <c r="O273" s="10">
        <v>13.45</v>
      </c>
      <c r="R273" s="8">
        <v>0</v>
      </c>
      <c r="S273" t="s">
        <v>68</v>
      </c>
      <c r="T273">
        <v>58.44</v>
      </c>
      <c r="U273">
        <v>8.81</v>
      </c>
      <c r="V273">
        <v>51.66</v>
      </c>
      <c r="W273">
        <v>78.489999999999995</v>
      </c>
      <c r="X273">
        <v>0.04</v>
      </c>
      <c r="Y273">
        <v>16.3</v>
      </c>
      <c r="Z273">
        <v>1</v>
      </c>
      <c r="AA273">
        <v>57.55</v>
      </c>
      <c r="AC273" t="s">
        <v>128</v>
      </c>
      <c r="AD273" t="s">
        <v>208</v>
      </c>
      <c r="AE273" t="s">
        <v>218</v>
      </c>
      <c r="AF273">
        <v>7</v>
      </c>
      <c r="AG273">
        <v>7</v>
      </c>
      <c r="AH273">
        <v>7</v>
      </c>
      <c r="AI273">
        <v>7</v>
      </c>
      <c r="AJ273">
        <v>7</v>
      </c>
      <c r="AK273">
        <v>7</v>
      </c>
    </row>
    <row r="274" spans="2:37" x14ac:dyDescent="0.3">
      <c r="B274" t="s">
        <v>152</v>
      </c>
      <c r="C274">
        <v>121</v>
      </c>
      <c r="D274">
        <v>20</v>
      </c>
      <c r="E274">
        <v>10</v>
      </c>
      <c r="F274">
        <v>150</v>
      </c>
      <c r="G274">
        <v>17.1606604258637</v>
      </c>
      <c r="H274">
        <v>55</v>
      </c>
      <c r="I274">
        <v>75</v>
      </c>
      <c r="J274">
        <v>18</v>
      </c>
      <c r="K274" s="8">
        <v>6.12</v>
      </c>
      <c r="N274">
        <v>3.69</v>
      </c>
      <c r="O274" s="10">
        <v>13.6</v>
      </c>
      <c r="R274" s="8">
        <v>0</v>
      </c>
      <c r="S274" t="s">
        <v>68</v>
      </c>
      <c r="T274">
        <v>58.43</v>
      </c>
      <c r="U274">
        <v>8.8000000000000007</v>
      </c>
      <c r="V274">
        <v>51.6</v>
      </c>
      <c r="W274">
        <v>78.45</v>
      </c>
      <c r="X274">
        <v>0.02</v>
      </c>
      <c r="Y274">
        <v>16.5</v>
      </c>
      <c r="Z274">
        <v>1</v>
      </c>
      <c r="AA274">
        <v>57.55</v>
      </c>
      <c r="AC274" t="s">
        <v>128</v>
      </c>
      <c r="AD274" t="s">
        <v>208</v>
      </c>
      <c r="AE274" t="s">
        <v>218</v>
      </c>
      <c r="AF274">
        <v>8</v>
      </c>
      <c r="AG274">
        <v>8</v>
      </c>
      <c r="AH274">
        <v>8</v>
      </c>
      <c r="AI274">
        <v>6</v>
      </c>
      <c r="AJ274">
        <v>8</v>
      </c>
      <c r="AK274">
        <v>7</v>
      </c>
    </row>
    <row r="275" spans="2:37" x14ac:dyDescent="0.3">
      <c r="B275" t="s">
        <v>153</v>
      </c>
      <c r="C275">
        <v>121</v>
      </c>
      <c r="D275">
        <v>20</v>
      </c>
      <c r="E275">
        <v>10</v>
      </c>
      <c r="F275">
        <v>150</v>
      </c>
      <c r="G275">
        <v>17.1606604258637</v>
      </c>
      <c r="H275">
        <v>45</v>
      </c>
      <c r="I275">
        <v>75</v>
      </c>
      <c r="J275">
        <v>20</v>
      </c>
      <c r="K275" s="8">
        <v>5.63</v>
      </c>
      <c r="N275">
        <v>5.46</v>
      </c>
      <c r="O275" s="10">
        <v>12.01</v>
      </c>
      <c r="R275" s="8">
        <v>0</v>
      </c>
      <c r="S275" t="s">
        <v>68</v>
      </c>
      <c r="X275">
        <v>14.9</v>
      </c>
      <c r="Y275">
        <v>2.9</v>
      </c>
      <c r="Z275">
        <v>1</v>
      </c>
      <c r="AC275" t="s">
        <v>128</v>
      </c>
      <c r="AD275" t="s">
        <v>208</v>
      </c>
      <c r="AE275" t="s">
        <v>218</v>
      </c>
      <c r="AF275">
        <v>9</v>
      </c>
      <c r="AG275">
        <v>7</v>
      </c>
      <c r="AH275">
        <v>7</v>
      </c>
      <c r="AI275">
        <v>6</v>
      </c>
      <c r="AJ275">
        <v>8</v>
      </c>
      <c r="AK275">
        <v>7</v>
      </c>
    </row>
    <row r="276" spans="2:37" x14ac:dyDescent="0.3">
      <c r="B276" t="s">
        <v>153</v>
      </c>
      <c r="C276">
        <v>121</v>
      </c>
      <c r="D276">
        <v>20</v>
      </c>
      <c r="E276">
        <v>10</v>
      </c>
      <c r="F276">
        <v>150</v>
      </c>
      <c r="G276">
        <v>17.1606604258637</v>
      </c>
      <c r="H276">
        <v>45</v>
      </c>
      <c r="I276">
        <v>75</v>
      </c>
      <c r="J276">
        <v>20</v>
      </c>
      <c r="K276" s="8">
        <v>5.76</v>
      </c>
      <c r="N276">
        <v>6.23</v>
      </c>
      <c r="O276" s="10">
        <v>11.64</v>
      </c>
      <c r="R276" s="8">
        <v>0</v>
      </c>
      <c r="S276" t="s">
        <v>68</v>
      </c>
      <c r="X276">
        <v>15</v>
      </c>
      <c r="Y276">
        <v>3.1</v>
      </c>
      <c r="Z276">
        <v>1</v>
      </c>
      <c r="AC276" t="s">
        <v>128</v>
      </c>
      <c r="AD276" t="s">
        <v>208</v>
      </c>
      <c r="AE276" t="s">
        <v>218</v>
      </c>
      <c r="AF276">
        <v>6</v>
      </c>
      <c r="AG276">
        <v>8</v>
      </c>
      <c r="AH276">
        <v>8</v>
      </c>
      <c r="AI276">
        <v>6</v>
      </c>
      <c r="AJ276">
        <v>8</v>
      </c>
      <c r="AK276">
        <v>7</v>
      </c>
    </row>
    <row r="277" spans="2:37" x14ac:dyDescent="0.3">
      <c r="B277" t="s">
        <v>153</v>
      </c>
      <c r="C277">
        <v>121</v>
      </c>
      <c r="D277">
        <v>20</v>
      </c>
      <c r="E277">
        <v>10</v>
      </c>
      <c r="F277">
        <v>150</v>
      </c>
      <c r="G277">
        <v>17.1606604258637</v>
      </c>
      <c r="H277">
        <v>45</v>
      </c>
      <c r="I277">
        <v>75</v>
      </c>
      <c r="J277">
        <v>20</v>
      </c>
      <c r="K277" s="8">
        <v>5.87</v>
      </c>
      <c r="N277">
        <v>5.29</v>
      </c>
      <c r="O277" s="10">
        <v>12.12</v>
      </c>
      <c r="R277" s="8">
        <v>0</v>
      </c>
      <c r="S277" t="s">
        <v>68</v>
      </c>
      <c r="X277">
        <v>15.1</v>
      </c>
      <c r="Y277">
        <v>3</v>
      </c>
      <c r="Z277">
        <v>1</v>
      </c>
      <c r="AC277" t="s">
        <v>128</v>
      </c>
      <c r="AD277" t="s">
        <v>208</v>
      </c>
      <c r="AE277" t="s">
        <v>218</v>
      </c>
      <c r="AF277">
        <v>7</v>
      </c>
      <c r="AG277">
        <v>7</v>
      </c>
      <c r="AH277">
        <v>7</v>
      </c>
      <c r="AI277">
        <v>6</v>
      </c>
      <c r="AJ277">
        <v>7</v>
      </c>
      <c r="AK277">
        <v>8</v>
      </c>
    </row>
    <row r="278" spans="2:37" x14ac:dyDescent="0.3">
      <c r="B278" t="s">
        <v>154</v>
      </c>
      <c r="C278">
        <v>121</v>
      </c>
      <c r="D278">
        <v>20</v>
      </c>
      <c r="E278">
        <v>10</v>
      </c>
      <c r="F278">
        <v>150</v>
      </c>
      <c r="G278">
        <v>17.1606604258637</v>
      </c>
      <c r="H278">
        <v>28</v>
      </c>
      <c r="I278">
        <v>75</v>
      </c>
      <c r="J278">
        <v>20</v>
      </c>
      <c r="K278" s="8">
        <v>6.65</v>
      </c>
      <c r="N278">
        <v>6.46</v>
      </c>
      <c r="O278" s="10">
        <v>10.199999999999999</v>
      </c>
      <c r="R278" s="8">
        <v>0</v>
      </c>
      <c r="S278" t="s">
        <v>68</v>
      </c>
      <c r="X278">
        <v>0</v>
      </c>
      <c r="Y278">
        <v>20.5</v>
      </c>
      <c r="Z278">
        <v>1</v>
      </c>
      <c r="AC278" t="s">
        <v>128</v>
      </c>
      <c r="AD278" t="s">
        <v>208</v>
      </c>
      <c r="AE278" t="s">
        <v>218</v>
      </c>
      <c r="AF278">
        <v>8</v>
      </c>
      <c r="AG278">
        <v>6</v>
      </c>
      <c r="AH278">
        <v>7</v>
      </c>
      <c r="AI278">
        <v>5</v>
      </c>
      <c r="AJ278">
        <v>8</v>
      </c>
      <c r="AK278">
        <v>8</v>
      </c>
    </row>
    <row r="279" spans="2:37" x14ac:dyDescent="0.3">
      <c r="B279" t="s">
        <v>154</v>
      </c>
      <c r="C279">
        <v>121</v>
      </c>
      <c r="D279">
        <v>20</v>
      </c>
      <c r="E279">
        <v>10</v>
      </c>
      <c r="F279">
        <v>150</v>
      </c>
      <c r="G279">
        <v>17.1606604258637</v>
      </c>
      <c r="H279">
        <v>28</v>
      </c>
      <c r="I279">
        <v>75</v>
      </c>
      <c r="J279">
        <v>20</v>
      </c>
      <c r="K279" s="8">
        <v>6.68</v>
      </c>
      <c r="N279">
        <v>3.46</v>
      </c>
      <c r="O279" s="8">
        <v>9.9</v>
      </c>
      <c r="R279" s="8">
        <v>0</v>
      </c>
      <c r="S279" t="s">
        <v>68</v>
      </c>
      <c r="X279">
        <v>0</v>
      </c>
      <c r="Y279">
        <v>20.399999999999999</v>
      </c>
      <c r="Z279">
        <v>0</v>
      </c>
      <c r="AC279" t="s">
        <v>128</v>
      </c>
      <c r="AD279" t="s">
        <v>127</v>
      </c>
      <c r="AE279" t="s">
        <v>128</v>
      </c>
      <c r="AF279">
        <v>7</v>
      </c>
      <c r="AG279">
        <v>8</v>
      </c>
      <c r="AH279">
        <v>8</v>
      </c>
      <c r="AI279">
        <v>6</v>
      </c>
      <c r="AJ279">
        <v>7</v>
      </c>
      <c r="AK279">
        <v>8</v>
      </c>
    </row>
    <row r="280" spans="2:37" x14ac:dyDescent="0.3">
      <c r="B280" t="s">
        <v>154</v>
      </c>
      <c r="C280">
        <v>121</v>
      </c>
      <c r="D280">
        <v>20</v>
      </c>
      <c r="E280">
        <v>10</v>
      </c>
      <c r="F280">
        <v>150</v>
      </c>
      <c r="G280">
        <v>17.1606604258637</v>
      </c>
      <c r="H280">
        <v>28</v>
      </c>
      <c r="I280">
        <v>75</v>
      </c>
      <c r="J280">
        <v>20</v>
      </c>
      <c r="K280" s="8">
        <v>6.61</v>
      </c>
      <c r="N280">
        <v>3.26</v>
      </c>
      <c r="O280" s="10">
        <v>11.5</v>
      </c>
      <c r="R280" s="8">
        <v>0</v>
      </c>
      <c r="S280" t="s">
        <v>68</v>
      </c>
      <c r="X280">
        <v>0</v>
      </c>
      <c r="Y280">
        <v>20.6</v>
      </c>
      <c r="Z280">
        <v>0</v>
      </c>
      <c r="AC280" t="s">
        <v>128</v>
      </c>
      <c r="AD280" t="s">
        <v>208</v>
      </c>
      <c r="AE280" t="s">
        <v>218</v>
      </c>
      <c r="AF280">
        <v>7</v>
      </c>
      <c r="AG280">
        <v>7</v>
      </c>
      <c r="AH280">
        <v>7</v>
      </c>
      <c r="AI280">
        <v>6</v>
      </c>
      <c r="AJ280">
        <v>8</v>
      </c>
      <c r="AK280">
        <v>7</v>
      </c>
    </row>
    <row r="281" spans="2:37" x14ac:dyDescent="0.3">
      <c r="B281" t="s">
        <v>154</v>
      </c>
      <c r="C281">
        <v>121</v>
      </c>
      <c r="D281">
        <v>20</v>
      </c>
      <c r="E281">
        <v>10</v>
      </c>
      <c r="F281">
        <v>150</v>
      </c>
      <c r="G281">
        <v>17.1606604258637</v>
      </c>
      <c r="H281">
        <v>28</v>
      </c>
      <c r="I281">
        <v>75</v>
      </c>
      <c r="J281">
        <v>20</v>
      </c>
      <c r="K281" s="8">
        <v>6.53</v>
      </c>
      <c r="N281">
        <v>5.26</v>
      </c>
      <c r="O281" s="10">
        <v>10.46</v>
      </c>
      <c r="R281" s="8">
        <v>0</v>
      </c>
      <c r="S281" t="s">
        <v>68</v>
      </c>
      <c r="X281">
        <v>0</v>
      </c>
      <c r="Y281">
        <v>24.3</v>
      </c>
      <c r="Z281">
        <v>1</v>
      </c>
      <c r="AC281" t="s">
        <v>128</v>
      </c>
      <c r="AD281" t="s">
        <v>208</v>
      </c>
      <c r="AE281" t="s">
        <v>218</v>
      </c>
      <c r="AF281">
        <v>7</v>
      </c>
      <c r="AG281">
        <v>7</v>
      </c>
      <c r="AH281">
        <v>8</v>
      </c>
      <c r="AI281">
        <v>6</v>
      </c>
      <c r="AJ281">
        <v>7</v>
      </c>
      <c r="AK281">
        <v>7</v>
      </c>
    </row>
    <row r="282" spans="2:37" x14ac:dyDescent="0.3">
      <c r="B282" t="s">
        <v>154</v>
      </c>
      <c r="C282">
        <v>121</v>
      </c>
      <c r="D282">
        <v>20</v>
      </c>
      <c r="E282">
        <v>10</v>
      </c>
      <c r="F282">
        <v>150</v>
      </c>
      <c r="G282">
        <v>17.1606604258637</v>
      </c>
      <c r="H282">
        <v>28</v>
      </c>
      <c r="I282">
        <v>75</v>
      </c>
      <c r="J282">
        <v>20</v>
      </c>
      <c r="K282" s="8">
        <v>5.99</v>
      </c>
      <c r="N282">
        <v>5.19</v>
      </c>
      <c r="O282" s="10">
        <v>11.03</v>
      </c>
      <c r="R282" s="8">
        <v>0</v>
      </c>
      <c r="S282" t="s">
        <v>68</v>
      </c>
      <c r="X282">
        <v>0.999</v>
      </c>
      <c r="Y282">
        <v>22.5</v>
      </c>
      <c r="Z282">
        <v>1</v>
      </c>
      <c r="AC282" t="s">
        <v>128</v>
      </c>
      <c r="AD282" t="s">
        <v>208</v>
      </c>
      <c r="AE282" t="s">
        <v>218</v>
      </c>
      <c r="AF282">
        <v>8</v>
      </c>
      <c r="AG282">
        <v>8</v>
      </c>
      <c r="AH282">
        <v>7</v>
      </c>
      <c r="AI282">
        <v>6</v>
      </c>
      <c r="AJ282">
        <v>8</v>
      </c>
      <c r="AK282">
        <v>8</v>
      </c>
    </row>
    <row r="283" spans="2:37" x14ac:dyDescent="0.3">
      <c r="B283" t="s">
        <v>154</v>
      </c>
      <c r="C283">
        <v>121</v>
      </c>
      <c r="D283">
        <v>20</v>
      </c>
      <c r="E283">
        <v>10</v>
      </c>
      <c r="F283">
        <v>150</v>
      </c>
      <c r="G283">
        <v>17.1606604258637</v>
      </c>
      <c r="H283">
        <v>28</v>
      </c>
      <c r="I283">
        <v>75</v>
      </c>
      <c r="J283">
        <v>20</v>
      </c>
      <c r="K283" s="8">
        <v>6.03</v>
      </c>
      <c r="N283">
        <v>6.23</v>
      </c>
      <c r="O283" s="8">
        <v>9.4600000000000009</v>
      </c>
      <c r="R283" s="8">
        <v>0</v>
      </c>
      <c r="S283" t="s">
        <v>68</v>
      </c>
      <c r="X283">
        <v>1.64</v>
      </c>
      <c r="Y283">
        <v>21.6</v>
      </c>
      <c r="Z283">
        <v>1</v>
      </c>
      <c r="AC283" t="s">
        <v>128</v>
      </c>
      <c r="AD283" t="s">
        <v>127</v>
      </c>
      <c r="AE283" t="s">
        <v>128</v>
      </c>
      <c r="AF283">
        <v>7</v>
      </c>
      <c r="AG283">
        <v>6</v>
      </c>
      <c r="AH283">
        <v>8</v>
      </c>
      <c r="AI283">
        <v>5</v>
      </c>
      <c r="AJ283">
        <v>7</v>
      </c>
      <c r="AK283">
        <v>4</v>
      </c>
    </row>
    <row r="284" spans="2:37" x14ac:dyDescent="0.3">
      <c r="B284" t="s">
        <v>155</v>
      </c>
      <c r="C284">
        <v>121</v>
      </c>
      <c r="D284">
        <v>20</v>
      </c>
      <c r="E284">
        <v>10</v>
      </c>
      <c r="F284">
        <v>150</v>
      </c>
      <c r="G284">
        <v>17.1606604258637</v>
      </c>
      <c r="H284">
        <v>55</v>
      </c>
      <c r="I284">
        <v>75</v>
      </c>
      <c r="J284">
        <v>21</v>
      </c>
      <c r="K284" s="8">
        <v>5.9</v>
      </c>
      <c r="N284">
        <v>3</v>
      </c>
      <c r="O284" s="10">
        <v>37.5</v>
      </c>
      <c r="R284" s="8">
        <v>0</v>
      </c>
      <c r="S284" t="s">
        <v>68</v>
      </c>
      <c r="X284">
        <v>0.57499999999999996</v>
      </c>
      <c r="Y284">
        <v>26.7</v>
      </c>
      <c r="Z284">
        <v>0</v>
      </c>
      <c r="AC284" t="s">
        <v>128</v>
      </c>
      <c r="AD284" t="s">
        <v>208</v>
      </c>
      <c r="AE284" t="s">
        <v>218</v>
      </c>
      <c r="AF284">
        <v>6</v>
      </c>
      <c r="AG284">
        <v>5</v>
      </c>
      <c r="AH284">
        <v>4</v>
      </c>
      <c r="AI284" t="s">
        <v>213</v>
      </c>
      <c r="AJ284">
        <v>6</v>
      </c>
      <c r="AK284">
        <v>4</v>
      </c>
    </row>
    <row r="285" spans="2:37" x14ac:dyDescent="0.3">
      <c r="B285" t="s">
        <v>155</v>
      </c>
      <c r="C285">
        <v>121</v>
      </c>
      <c r="D285">
        <v>20</v>
      </c>
      <c r="E285">
        <v>10</v>
      </c>
      <c r="F285">
        <v>150</v>
      </c>
      <c r="G285">
        <v>17.1606604258637</v>
      </c>
      <c r="H285">
        <v>55</v>
      </c>
      <c r="I285">
        <v>75</v>
      </c>
      <c r="J285">
        <v>21</v>
      </c>
      <c r="K285" s="8">
        <v>5.96</v>
      </c>
      <c r="N285">
        <v>4.569</v>
      </c>
      <c r="O285" s="10">
        <v>37.299999999999997</v>
      </c>
      <c r="R285" s="8">
        <v>0</v>
      </c>
      <c r="S285" t="s">
        <v>68</v>
      </c>
      <c r="X285">
        <v>1.73</v>
      </c>
      <c r="Y285">
        <v>25</v>
      </c>
      <c r="Z285">
        <v>0</v>
      </c>
      <c r="AC285" t="s">
        <v>128</v>
      </c>
      <c r="AD285" t="s">
        <v>208</v>
      </c>
      <c r="AE285" t="s">
        <v>218</v>
      </c>
      <c r="AF285">
        <v>7</v>
      </c>
      <c r="AG285">
        <v>8</v>
      </c>
      <c r="AH285">
        <v>4</v>
      </c>
      <c r="AI285" t="s">
        <v>213</v>
      </c>
      <c r="AJ285">
        <v>7</v>
      </c>
      <c r="AK285">
        <v>4</v>
      </c>
    </row>
    <row r="286" spans="2:37" x14ac:dyDescent="0.3">
      <c r="B286" t="s">
        <v>155</v>
      </c>
      <c r="C286">
        <v>121</v>
      </c>
      <c r="D286">
        <v>20</v>
      </c>
      <c r="E286">
        <v>10</v>
      </c>
      <c r="F286">
        <v>150</v>
      </c>
      <c r="G286">
        <v>17.1606604258637</v>
      </c>
      <c r="H286">
        <v>55</v>
      </c>
      <c r="I286">
        <v>75</v>
      </c>
      <c r="J286">
        <v>21</v>
      </c>
      <c r="K286" s="8">
        <v>5.98</v>
      </c>
      <c r="N286">
        <v>3.4649999999999999</v>
      </c>
      <c r="O286" s="10">
        <v>37.6</v>
      </c>
      <c r="R286" s="8">
        <v>0</v>
      </c>
      <c r="S286" t="s">
        <v>68</v>
      </c>
      <c r="X286">
        <v>2.68</v>
      </c>
      <c r="Y286">
        <v>23.5</v>
      </c>
      <c r="Z286">
        <v>0</v>
      </c>
      <c r="AC286" t="s">
        <v>128</v>
      </c>
      <c r="AD286" t="s">
        <v>208</v>
      </c>
      <c r="AE286" t="s">
        <v>218</v>
      </c>
      <c r="AF286">
        <v>8</v>
      </c>
      <c r="AG286">
        <v>5</v>
      </c>
      <c r="AH286">
        <v>5</v>
      </c>
      <c r="AI286" t="s">
        <v>213</v>
      </c>
      <c r="AJ286">
        <v>6</v>
      </c>
      <c r="AK286">
        <v>6</v>
      </c>
    </row>
    <row r="287" spans="2:37" x14ac:dyDescent="0.3">
      <c r="B287" t="s">
        <v>156</v>
      </c>
      <c r="C287">
        <v>121</v>
      </c>
      <c r="D287">
        <v>20</v>
      </c>
      <c r="E287">
        <v>10</v>
      </c>
      <c r="F287">
        <v>150</v>
      </c>
      <c r="G287">
        <v>17.1606604258637</v>
      </c>
      <c r="H287">
        <v>32</v>
      </c>
      <c r="I287">
        <v>75</v>
      </c>
      <c r="J287">
        <v>21</v>
      </c>
      <c r="K287" s="8">
        <v>5.99</v>
      </c>
      <c r="N287">
        <v>1.2364999999999999</v>
      </c>
      <c r="O287" s="10">
        <v>15.6</v>
      </c>
      <c r="R287" s="8">
        <v>0</v>
      </c>
      <c r="S287" t="s">
        <v>68</v>
      </c>
      <c r="AC287" t="s">
        <v>128</v>
      </c>
      <c r="AD287" t="s">
        <v>208</v>
      </c>
      <c r="AE287" t="s">
        <v>218</v>
      </c>
      <c r="AF287">
        <v>7</v>
      </c>
      <c r="AG287">
        <v>6</v>
      </c>
      <c r="AH287">
        <v>7</v>
      </c>
      <c r="AI287" t="s">
        <v>213</v>
      </c>
      <c r="AJ287">
        <v>5</v>
      </c>
      <c r="AK287">
        <v>7</v>
      </c>
    </row>
    <row r="288" spans="2:37" x14ac:dyDescent="0.3">
      <c r="B288" t="s">
        <v>156</v>
      </c>
      <c r="C288">
        <v>121</v>
      </c>
      <c r="D288">
        <v>20</v>
      </c>
      <c r="E288">
        <v>10</v>
      </c>
      <c r="F288">
        <v>150</v>
      </c>
      <c r="G288">
        <v>17.1606604258637</v>
      </c>
      <c r="H288">
        <v>32</v>
      </c>
      <c r="I288">
        <v>75</v>
      </c>
      <c r="J288">
        <v>21</v>
      </c>
      <c r="K288" s="8">
        <v>6.12</v>
      </c>
      <c r="N288">
        <v>3.254</v>
      </c>
      <c r="O288" s="10">
        <v>16.54</v>
      </c>
      <c r="R288" s="8">
        <v>0</v>
      </c>
      <c r="S288" t="s">
        <v>68</v>
      </c>
      <c r="AC288" t="s">
        <v>128</v>
      </c>
      <c r="AD288" t="s">
        <v>208</v>
      </c>
      <c r="AE288" t="s">
        <v>218</v>
      </c>
      <c r="AF288">
        <v>8</v>
      </c>
      <c r="AG288">
        <v>7</v>
      </c>
      <c r="AH288">
        <v>7</v>
      </c>
      <c r="AI288" t="s">
        <v>213</v>
      </c>
      <c r="AJ288">
        <v>6</v>
      </c>
      <c r="AK288">
        <v>6</v>
      </c>
    </row>
    <row r="289" spans="2:37" x14ac:dyDescent="0.3">
      <c r="B289" t="s">
        <v>156</v>
      </c>
      <c r="C289">
        <v>121</v>
      </c>
      <c r="D289">
        <v>20</v>
      </c>
      <c r="E289">
        <v>10</v>
      </c>
      <c r="F289">
        <v>150</v>
      </c>
      <c r="G289">
        <v>17.1606604258637</v>
      </c>
      <c r="H289">
        <v>32</v>
      </c>
      <c r="I289">
        <v>75</v>
      </c>
      <c r="J289">
        <v>21</v>
      </c>
      <c r="K289" s="8">
        <v>6.13</v>
      </c>
      <c r="N289">
        <v>2.5697999999999999</v>
      </c>
      <c r="O289" s="10">
        <v>16.34</v>
      </c>
      <c r="R289" s="8">
        <v>0</v>
      </c>
      <c r="S289" t="s">
        <v>68</v>
      </c>
      <c r="AC289" t="s">
        <v>128</v>
      </c>
      <c r="AD289" t="s">
        <v>208</v>
      </c>
      <c r="AE289" t="s">
        <v>218</v>
      </c>
      <c r="AF289">
        <v>6</v>
      </c>
      <c r="AG289">
        <v>6</v>
      </c>
      <c r="AH289">
        <v>7</v>
      </c>
      <c r="AI289" t="s">
        <v>213</v>
      </c>
      <c r="AJ289">
        <v>7</v>
      </c>
      <c r="AK289">
        <v>6</v>
      </c>
    </row>
    <row r="290" spans="2:37" x14ac:dyDescent="0.3">
      <c r="B290" t="s">
        <v>157</v>
      </c>
      <c r="C290">
        <v>121</v>
      </c>
      <c r="D290">
        <v>20</v>
      </c>
      <c r="E290">
        <v>10</v>
      </c>
      <c r="F290">
        <v>150</v>
      </c>
      <c r="G290">
        <v>17.1606604258637</v>
      </c>
      <c r="H290">
        <v>55</v>
      </c>
      <c r="I290">
        <v>75</v>
      </c>
      <c r="J290">
        <v>24</v>
      </c>
      <c r="K290" s="8">
        <v>5.5170000000000003</v>
      </c>
      <c r="N290">
        <v>2.4500000000000002</v>
      </c>
      <c r="O290" s="10">
        <v>47.5</v>
      </c>
      <c r="R290" s="8">
        <v>0</v>
      </c>
      <c r="S290" t="s">
        <v>68</v>
      </c>
      <c r="X290">
        <v>0</v>
      </c>
      <c r="Y290">
        <v>28.3</v>
      </c>
      <c r="Z290">
        <v>0</v>
      </c>
      <c r="AC290" t="s">
        <v>128</v>
      </c>
      <c r="AD290" t="s">
        <v>208</v>
      </c>
      <c r="AE290" t="s">
        <v>218</v>
      </c>
      <c r="AF290">
        <v>5</v>
      </c>
      <c r="AG290">
        <v>8</v>
      </c>
      <c r="AH290">
        <v>3</v>
      </c>
      <c r="AI290" t="s">
        <v>213</v>
      </c>
      <c r="AJ290">
        <v>6</v>
      </c>
      <c r="AK290">
        <v>4</v>
      </c>
    </row>
    <row r="291" spans="2:37" x14ac:dyDescent="0.3">
      <c r="B291" t="s">
        <v>157</v>
      </c>
      <c r="C291">
        <v>121</v>
      </c>
      <c r="D291">
        <v>20</v>
      </c>
      <c r="E291">
        <v>10</v>
      </c>
      <c r="F291">
        <v>150</v>
      </c>
      <c r="G291">
        <v>17.1606604258637</v>
      </c>
      <c r="H291">
        <v>55</v>
      </c>
      <c r="I291">
        <v>75</v>
      </c>
      <c r="J291">
        <v>24</v>
      </c>
      <c r="K291" s="8">
        <v>5.58</v>
      </c>
      <c r="N291">
        <v>3.46</v>
      </c>
      <c r="O291" s="10">
        <v>47.89</v>
      </c>
      <c r="R291" s="8">
        <v>0</v>
      </c>
      <c r="S291" t="s">
        <v>68</v>
      </c>
      <c r="X291">
        <v>0</v>
      </c>
      <c r="Y291">
        <v>28.5</v>
      </c>
      <c r="Z291">
        <v>0</v>
      </c>
      <c r="AC291" t="s">
        <v>128</v>
      </c>
      <c r="AD291" t="s">
        <v>208</v>
      </c>
      <c r="AE291" t="s">
        <v>218</v>
      </c>
      <c r="AF291">
        <v>5</v>
      </c>
      <c r="AG291">
        <v>7</v>
      </c>
      <c r="AH291">
        <v>4</v>
      </c>
      <c r="AI291" t="s">
        <v>213</v>
      </c>
      <c r="AJ291">
        <v>5</v>
      </c>
      <c r="AK291">
        <v>4</v>
      </c>
    </row>
    <row r="292" spans="2:37" x14ac:dyDescent="0.3">
      <c r="B292" t="s">
        <v>157</v>
      </c>
      <c r="C292">
        <v>121</v>
      </c>
      <c r="D292">
        <v>20</v>
      </c>
      <c r="E292">
        <v>10</v>
      </c>
      <c r="F292">
        <v>150</v>
      </c>
      <c r="G292">
        <v>17.1606604258637</v>
      </c>
      <c r="H292">
        <v>55</v>
      </c>
      <c r="I292">
        <v>75</v>
      </c>
      <c r="J292">
        <v>24</v>
      </c>
      <c r="K292" s="8">
        <v>5.46</v>
      </c>
      <c r="N292">
        <v>4.95</v>
      </c>
      <c r="O292" s="10">
        <v>47.12</v>
      </c>
      <c r="R292" s="8">
        <v>0</v>
      </c>
      <c r="S292" t="s">
        <v>68</v>
      </c>
      <c r="X292">
        <v>0</v>
      </c>
      <c r="Y292">
        <v>28.4</v>
      </c>
      <c r="Z292">
        <v>0</v>
      </c>
      <c r="AC292" t="s">
        <v>128</v>
      </c>
      <c r="AD292" t="s">
        <v>208</v>
      </c>
      <c r="AE292" t="s">
        <v>218</v>
      </c>
      <c r="AF292">
        <v>6</v>
      </c>
      <c r="AG292">
        <v>6</v>
      </c>
      <c r="AH292">
        <v>4</v>
      </c>
      <c r="AI292" t="s">
        <v>213</v>
      </c>
      <c r="AJ292">
        <v>6</v>
      </c>
      <c r="AK292">
        <v>4</v>
      </c>
    </row>
    <row r="293" spans="2:37" x14ac:dyDescent="0.3">
      <c r="B293" t="s">
        <v>158</v>
      </c>
      <c r="C293">
        <v>121</v>
      </c>
      <c r="D293">
        <v>20</v>
      </c>
      <c r="E293">
        <v>10</v>
      </c>
      <c r="F293">
        <v>150</v>
      </c>
      <c r="G293">
        <v>17.1606604258637</v>
      </c>
      <c r="H293">
        <v>45</v>
      </c>
      <c r="I293">
        <v>75</v>
      </c>
      <c r="J293">
        <v>25</v>
      </c>
      <c r="K293" s="8">
        <v>5.6890000000000001</v>
      </c>
      <c r="N293">
        <v>1.76</v>
      </c>
      <c r="O293" s="10">
        <v>29.63</v>
      </c>
      <c r="R293" s="8">
        <v>0</v>
      </c>
      <c r="S293" t="s">
        <v>68</v>
      </c>
      <c r="AC293" t="s">
        <v>128</v>
      </c>
      <c r="AD293" t="s">
        <v>208</v>
      </c>
      <c r="AE293" t="s">
        <v>218</v>
      </c>
      <c r="AF293">
        <v>5</v>
      </c>
      <c r="AG293">
        <v>5</v>
      </c>
      <c r="AH293">
        <v>5</v>
      </c>
      <c r="AI293" t="s">
        <v>213</v>
      </c>
      <c r="AJ293">
        <v>7</v>
      </c>
      <c r="AK293">
        <v>5</v>
      </c>
    </row>
    <row r="294" spans="2:37" x14ac:dyDescent="0.3">
      <c r="B294" t="s">
        <v>158</v>
      </c>
      <c r="C294">
        <v>121</v>
      </c>
      <c r="D294">
        <v>20</v>
      </c>
      <c r="E294">
        <v>10</v>
      </c>
      <c r="F294">
        <v>150</v>
      </c>
      <c r="G294">
        <v>17.1606604258637</v>
      </c>
      <c r="H294">
        <v>45</v>
      </c>
      <c r="I294">
        <v>75</v>
      </c>
      <c r="J294">
        <v>25</v>
      </c>
      <c r="K294" s="8">
        <v>5.53</v>
      </c>
      <c r="N294">
        <v>4.5599999999999996</v>
      </c>
      <c r="O294" s="10">
        <v>29.19</v>
      </c>
      <c r="R294" s="8">
        <v>0</v>
      </c>
      <c r="S294" t="s">
        <v>68</v>
      </c>
      <c r="AC294" t="s">
        <v>128</v>
      </c>
      <c r="AD294" t="s">
        <v>208</v>
      </c>
      <c r="AE294" t="s">
        <v>218</v>
      </c>
      <c r="AF294">
        <v>6</v>
      </c>
      <c r="AG294">
        <v>7</v>
      </c>
      <c r="AH294">
        <v>5</v>
      </c>
      <c r="AI294" t="s">
        <v>213</v>
      </c>
      <c r="AJ294">
        <v>6</v>
      </c>
      <c r="AK294">
        <v>5</v>
      </c>
    </row>
    <row r="295" spans="2:37" x14ac:dyDescent="0.3">
      <c r="B295" t="s">
        <v>158</v>
      </c>
      <c r="C295">
        <v>121</v>
      </c>
      <c r="D295">
        <v>20</v>
      </c>
      <c r="E295">
        <v>10</v>
      </c>
      <c r="F295">
        <v>150</v>
      </c>
      <c r="G295">
        <v>17.1606604258637</v>
      </c>
      <c r="H295">
        <v>45</v>
      </c>
      <c r="I295">
        <v>75</v>
      </c>
      <c r="J295">
        <v>25</v>
      </c>
      <c r="K295" s="8">
        <v>5.69</v>
      </c>
      <c r="N295">
        <v>3.58</v>
      </c>
      <c r="O295" s="10">
        <v>29.55</v>
      </c>
      <c r="R295" s="8">
        <v>0</v>
      </c>
      <c r="S295" t="s">
        <v>68</v>
      </c>
      <c r="AC295" t="s">
        <v>128</v>
      </c>
      <c r="AD295" t="s">
        <v>208</v>
      </c>
      <c r="AE295" t="s">
        <v>218</v>
      </c>
      <c r="AF295">
        <v>5</v>
      </c>
      <c r="AG295">
        <v>6</v>
      </c>
      <c r="AH295">
        <v>5</v>
      </c>
      <c r="AI295" t="s">
        <v>213</v>
      </c>
      <c r="AJ295">
        <v>5</v>
      </c>
      <c r="AK295">
        <v>5</v>
      </c>
    </row>
    <row r="296" spans="2:37" x14ac:dyDescent="0.3">
      <c r="B296" t="s">
        <v>159</v>
      </c>
      <c r="C296">
        <v>121</v>
      </c>
      <c r="D296">
        <v>20</v>
      </c>
      <c r="E296">
        <v>10</v>
      </c>
      <c r="F296">
        <v>150</v>
      </c>
      <c r="G296">
        <v>17.1606604258637</v>
      </c>
      <c r="H296">
        <v>55</v>
      </c>
      <c r="I296">
        <v>75</v>
      </c>
      <c r="J296">
        <v>27</v>
      </c>
      <c r="K296" s="8">
        <v>5.31</v>
      </c>
      <c r="N296">
        <v>1.94</v>
      </c>
      <c r="O296" s="10">
        <v>57.9</v>
      </c>
      <c r="R296" s="8">
        <v>0</v>
      </c>
      <c r="S296" t="s">
        <v>68</v>
      </c>
      <c r="AC296" t="s">
        <v>128</v>
      </c>
      <c r="AD296" t="s">
        <v>208</v>
      </c>
      <c r="AE296" t="s">
        <v>218</v>
      </c>
      <c r="AF296">
        <v>6</v>
      </c>
      <c r="AG296">
        <v>5</v>
      </c>
      <c r="AH296">
        <v>2</v>
      </c>
      <c r="AI296" t="s">
        <v>213</v>
      </c>
      <c r="AJ296">
        <v>6</v>
      </c>
      <c r="AK296">
        <v>3</v>
      </c>
    </row>
    <row r="297" spans="2:37" x14ac:dyDescent="0.3">
      <c r="B297" t="s">
        <v>159</v>
      </c>
      <c r="C297">
        <v>121</v>
      </c>
      <c r="D297">
        <v>20</v>
      </c>
      <c r="E297">
        <v>10</v>
      </c>
      <c r="F297">
        <v>150</v>
      </c>
      <c r="G297">
        <v>17.1606604258637</v>
      </c>
      <c r="H297">
        <v>55</v>
      </c>
      <c r="I297">
        <v>75</v>
      </c>
      <c r="J297">
        <v>27</v>
      </c>
      <c r="K297" s="8">
        <v>5.45</v>
      </c>
      <c r="N297">
        <v>2.89</v>
      </c>
      <c r="O297" s="10">
        <v>56.89</v>
      </c>
      <c r="R297" s="8">
        <v>0</v>
      </c>
      <c r="S297" t="s">
        <v>68</v>
      </c>
      <c r="AC297" t="s">
        <v>128</v>
      </c>
      <c r="AD297" t="s">
        <v>208</v>
      </c>
      <c r="AE297" t="s">
        <v>218</v>
      </c>
      <c r="AF297">
        <v>6</v>
      </c>
      <c r="AG297">
        <v>7</v>
      </c>
      <c r="AH297">
        <v>2</v>
      </c>
      <c r="AI297" t="s">
        <v>213</v>
      </c>
      <c r="AJ297">
        <v>5</v>
      </c>
      <c r="AK297">
        <v>3</v>
      </c>
    </row>
    <row r="298" spans="2:37" x14ac:dyDescent="0.3">
      <c r="B298" t="s">
        <v>159</v>
      </c>
      <c r="C298">
        <v>121</v>
      </c>
      <c r="D298">
        <v>20</v>
      </c>
      <c r="E298">
        <v>10</v>
      </c>
      <c r="F298">
        <v>150</v>
      </c>
      <c r="G298">
        <v>17.1606604258637</v>
      </c>
      <c r="H298">
        <v>55</v>
      </c>
      <c r="I298">
        <v>75</v>
      </c>
      <c r="J298">
        <v>27</v>
      </c>
      <c r="K298" s="8">
        <v>5.46</v>
      </c>
      <c r="N298">
        <v>4.28</v>
      </c>
      <c r="O298" s="10">
        <v>56.13</v>
      </c>
      <c r="R298" s="8">
        <v>0</v>
      </c>
      <c r="S298" t="s">
        <v>68</v>
      </c>
      <c r="AC298" t="s">
        <v>128</v>
      </c>
      <c r="AD298" t="s">
        <v>208</v>
      </c>
      <c r="AE298" t="s">
        <v>218</v>
      </c>
      <c r="AF298">
        <v>5</v>
      </c>
      <c r="AG298">
        <v>6</v>
      </c>
      <c r="AH298">
        <v>1</v>
      </c>
      <c r="AI298" t="s">
        <v>213</v>
      </c>
      <c r="AJ298">
        <v>4</v>
      </c>
      <c r="AK298">
        <v>3</v>
      </c>
    </row>
    <row r="299" spans="2:37" x14ac:dyDescent="0.3">
      <c r="B299" t="s">
        <v>160</v>
      </c>
      <c r="C299">
        <v>121</v>
      </c>
      <c r="D299">
        <v>20</v>
      </c>
      <c r="E299">
        <v>10</v>
      </c>
      <c r="F299">
        <v>150</v>
      </c>
      <c r="G299">
        <v>17.1606604258637</v>
      </c>
      <c r="H299">
        <v>32</v>
      </c>
      <c r="I299">
        <v>75</v>
      </c>
      <c r="J299">
        <v>28</v>
      </c>
      <c r="K299" s="8">
        <v>5.72</v>
      </c>
      <c r="N299">
        <v>1.3</v>
      </c>
      <c r="O299" s="10">
        <v>27.31</v>
      </c>
      <c r="R299" s="8">
        <v>0</v>
      </c>
      <c r="S299" t="s">
        <v>68</v>
      </c>
      <c r="X299">
        <v>5.33</v>
      </c>
      <c r="Y299">
        <v>10.8</v>
      </c>
      <c r="Z299">
        <v>1</v>
      </c>
      <c r="AC299" t="s">
        <v>128</v>
      </c>
      <c r="AD299" t="s">
        <v>208</v>
      </c>
      <c r="AE299" t="s">
        <v>218</v>
      </c>
      <c r="AF299">
        <v>6</v>
      </c>
      <c r="AG299">
        <v>6</v>
      </c>
      <c r="AH299">
        <v>5</v>
      </c>
      <c r="AI299" t="s">
        <v>213</v>
      </c>
      <c r="AJ299">
        <v>5</v>
      </c>
      <c r="AK299">
        <v>5</v>
      </c>
    </row>
    <row r="300" spans="2:37" x14ac:dyDescent="0.3">
      <c r="B300" t="s">
        <v>160</v>
      </c>
      <c r="C300">
        <v>121</v>
      </c>
      <c r="D300">
        <v>20</v>
      </c>
      <c r="E300">
        <v>10</v>
      </c>
      <c r="F300">
        <v>150</v>
      </c>
      <c r="G300">
        <v>17.1606604258637</v>
      </c>
      <c r="H300">
        <v>32</v>
      </c>
      <c r="I300">
        <v>75</v>
      </c>
      <c r="J300">
        <v>28</v>
      </c>
      <c r="K300" s="8">
        <v>5.75</v>
      </c>
      <c r="N300">
        <v>2.5</v>
      </c>
      <c r="O300" s="10">
        <v>27.42</v>
      </c>
      <c r="R300" s="8">
        <v>0</v>
      </c>
      <c r="S300" t="s">
        <v>68</v>
      </c>
      <c r="X300">
        <v>3.92</v>
      </c>
      <c r="Y300">
        <v>12.3</v>
      </c>
      <c r="Z300">
        <v>1</v>
      </c>
      <c r="AC300" t="s">
        <v>128</v>
      </c>
      <c r="AD300" t="s">
        <v>208</v>
      </c>
      <c r="AE300" t="s">
        <v>218</v>
      </c>
      <c r="AF300">
        <v>7</v>
      </c>
      <c r="AG300">
        <v>7</v>
      </c>
      <c r="AH300">
        <v>5</v>
      </c>
      <c r="AI300" t="s">
        <v>213</v>
      </c>
      <c r="AJ300">
        <v>4</v>
      </c>
      <c r="AK300">
        <v>5</v>
      </c>
    </row>
    <row r="301" spans="2:37" x14ac:dyDescent="0.3">
      <c r="B301" t="s">
        <v>160</v>
      </c>
      <c r="C301">
        <v>121</v>
      </c>
      <c r="D301">
        <v>20</v>
      </c>
      <c r="E301">
        <v>10</v>
      </c>
      <c r="F301">
        <v>150</v>
      </c>
      <c r="G301">
        <v>17.1606604258637</v>
      </c>
      <c r="H301">
        <v>32</v>
      </c>
      <c r="I301">
        <v>75</v>
      </c>
      <c r="J301">
        <v>28</v>
      </c>
      <c r="K301" s="8">
        <v>5.78</v>
      </c>
      <c r="N301">
        <v>1.9</v>
      </c>
      <c r="O301" s="10">
        <v>27.446999999999999</v>
      </c>
      <c r="R301" s="8">
        <v>0</v>
      </c>
      <c r="S301" t="s">
        <v>68</v>
      </c>
      <c r="X301">
        <v>5.37</v>
      </c>
      <c r="Y301">
        <v>10.7</v>
      </c>
      <c r="Z301">
        <v>1</v>
      </c>
      <c r="AC301" t="s">
        <v>128</v>
      </c>
      <c r="AD301" t="s">
        <v>208</v>
      </c>
      <c r="AE301" t="s">
        <v>218</v>
      </c>
      <c r="AF301">
        <v>5</v>
      </c>
      <c r="AG301">
        <v>6</v>
      </c>
      <c r="AH301">
        <v>5</v>
      </c>
      <c r="AI301" t="s">
        <v>213</v>
      </c>
      <c r="AJ301">
        <v>5</v>
      </c>
      <c r="AK301">
        <v>5</v>
      </c>
    </row>
    <row r="302" spans="2:37" x14ac:dyDescent="0.3">
      <c r="B302" t="s">
        <v>161</v>
      </c>
      <c r="C302">
        <v>121</v>
      </c>
      <c r="D302">
        <v>20</v>
      </c>
      <c r="E302">
        <v>10</v>
      </c>
      <c r="F302">
        <v>150</v>
      </c>
      <c r="G302">
        <v>17.1606604258637</v>
      </c>
      <c r="H302">
        <v>55</v>
      </c>
      <c r="I302">
        <v>75</v>
      </c>
      <c r="J302">
        <v>30</v>
      </c>
      <c r="K302" s="8">
        <v>4.91</v>
      </c>
      <c r="N302">
        <v>1.94</v>
      </c>
      <c r="O302" s="10">
        <v>62.23</v>
      </c>
      <c r="R302" s="8">
        <v>0</v>
      </c>
      <c r="S302" t="s">
        <v>68</v>
      </c>
      <c r="AC302" t="s">
        <v>128</v>
      </c>
      <c r="AD302" t="s">
        <v>208</v>
      </c>
      <c r="AE302" t="s">
        <v>218</v>
      </c>
      <c r="AF302">
        <v>6</v>
      </c>
      <c r="AG302">
        <v>7</v>
      </c>
      <c r="AH302">
        <v>2</v>
      </c>
      <c r="AI302" t="s">
        <v>213</v>
      </c>
      <c r="AJ302">
        <v>4</v>
      </c>
      <c r="AK302">
        <v>3</v>
      </c>
    </row>
    <row r="303" spans="2:37" x14ac:dyDescent="0.3">
      <c r="B303" t="s">
        <v>161</v>
      </c>
      <c r="C303">
        <v>121</v>
      </c>
      <c r="D303">
        <v>20</v>
      </c>
      <c r="E303">
        <v>10</v>
      </c>
      <c r="F303">
        <v>150</v>
      </c>
      <c r="G303">
        <v>17.1606604258637</v>
      </c>
      <c r="H303">
        <v>55</v>
      </c>
      <c r="I303">
        <v>75</v>
      </c>
      <c r="J303">
        <v>30</v>
      </c>
      <c r="K303" s="8">
        <v>5.0199999999999996</v>
      </c>
      <c r="N303">
        <v>1.9</v>
      </c>
      <c r="O303" s="10">
        <v>62.11</v>
      </c>
      <c r="R303" s="8">
        <v>0</v>
      </c>
      <c r="S303" t="s">
        <v>68</v>
      </c>
      <c r="AC303" t="s">
        <v>128</v>
      </c>
      <c r="AD303" t="s">
        <v>208</v>
      </c>
      <c r="AE303" t="s">
        <v>218</v>
      </c>
      <c r="AF303">
        <v>5</v>
      </c>
      <c r="AG303">
        <v>8</v>
      </c>
      <c r="AH303">
        <v>2</v>
      </c>
      <c r="AI303" t="s">
        <v>213</v>
      </c>
      <c r="AJ303">
        <v>5</v>
      </c>
      <c r="AK303">
        <v>2</v>
      </c>
    </row>
    <row r="304" spans="2:37" x14ac:dyDescent="0.3">
      <c r="B304" t="s">
        <v>161</v>
      </c>
      <c r="C304">
        <v>121</v>
      </c>
      <c r="D304">
        <v>20</v>
      </c>
      <c r="E304">
        <v>10</v>
      </c>
      <c r="F304">
        <v>150</v>
      </c>
      <c r="G304">
        <v>17.1606604258637</v>
      </c>
      <c r="H304">
        <v>55</v>
      </c>
      <c r="I304">
        <v>75</v>
      </c>
      <c r="J304">
        <v>30</v>
      </c>
      <c r="K304" s="8">
        <v>4.8899999999999997</v>
      </c>
      <c r="N304">
        <v>1.99</v>
      </c>
      <c r="O304" s="10">
        <v>63.6</v>
      </c>
      <c r="R304" s="8">
        <v>0</v>
      </c>
      <c r="S304" t="s">
        <v>68</v>
      </c>
      <c r="AC304" t="s">
        <v>128</v>
      </c>
      <c r="AD304" t="s">
        <v>208</v>
      </c>
      <c r="AE304" t="s">
        <v>218</v>
      </c>
      <c r="AF304">
        <v>6</v>
      </c>
      <c r="AG304">
        <v>6</v>
      </c>
      <c r="AH304">
        <v>1</v>
      </c>
      <c r="AI304" t="s">
        <v>213</v>
      </c>
      <c r="AJ304">
        <v>5</v>
      </c>
      <c r="AK304">
        <v>3</v>
      </c>
    </row>
    <row r="305" spans="2:37" x14ac:dyDescent="0.3">
      <c r="B305" t="s">
        <v>162</v>
      </c>
      <c r="C305">
        <v>121</v>
      </c>
      <c r="D305">
        <v>20</v>
      </c>
      <c r="E305">
        <v>10</v>
      </c>
      <c r="F305">
        <v>150</v>
      </c>
      <c r="G305">
        <v>17.1606604258637</v>
      </c>
      <c r="H305">
        <v>45</v>
      </c>
      <c r="I305">
        <v>75</v>
      </c>
      <c r="J305">
        <v>30</v>
      </c>
      <c r="K305" s="8">
        <v>5.08</v>
      </c>
      <c r="N305">
        <v>4.3</v>
      </c>
      <c r="O305" s="10">
        <v>39.130000000000003</v>
      </c>
      <c r="R305" s="8">
        <v>0</v>
      </c>
      <c r="S305" t="s">
        <v>68</v>
      </c>
      <c r="AC305" t="s">
        <v>128</v>
      </c>
      <c r="AD305" t="s">
        <v>208</v>
      </c>
      <c r="AE305" t="s">
        <v>218</v>
      </c>
      <c r="AF305">
        <v>4</v>
      </c>
      <c r="AG305">
        <v>5</v>
      </c>
      <c r="AH305">
        <v>4</v>
      </c>
      <c r="AI305" t="s">
        <v>213</v>
      </c>
      <c r="AJ305">
        <v>4</v>
      </c>
      <c r="AK305">
        <v>4</v>
      </c>
    </row>
    <row r="306" spans="2:37" x14ac:dyDescent="0.3">
      <c r="B306" t="s">
        <v>162</v>
      </c>
      <c r="C306">
        <v>121</v>
      </c>
      <c r="D306">
        <v>20</v>
      </c>
      <c r="E306">
        <v>10</v>
      </c>
      <c r="F306">
        <v>150</v>
      </c>
      <c r="G306">
        <v>17.1606604258637</v>
      </c>
      <c r="H306">
        <v>45</v>
      </c>
      <c r="I306">
        <v>75</v>
      </c>
      <c r="J306">
        <v>30</v>
      </c>
      <c r="K306" s="8">
        <v>5.0199999999999996</v>
      </c>
      <c r="N306">
        <v>2.6</v>
      </c>
      <c r="O306" s="10">
        <v>36.03</v>
      </c>
      <c r="R306" s="8">
        <v>0</v>
      </c>
      <c r="S306" t="s">
        <v>68</v>
      </c>
      <c r="AC306" t="s">
        <v>128</v>
      </c>
      <c r="AD306" t="s">
        <v>208</v>
      </c>
      <c r="AE306" t="s">
        <v>218</v>
      </c>
      <c r="AF306">
        <v>5</v>
      </c>
      <c r="AG306">
        <v>7</v>
      </c>
      <c r="AH306">
        <v>4</v>
      </c>
      <c r="AI306" t="s">
        <v>213</v>
      </c>
      <c r="AJ306">
        <v>5</v>
      </c>
      <c r="AK306">
        <v>4</v>
      </c>
    </row>
    <row r="307" spans="2:37" x14ac:dyDescent="0.3">
      <c r="B307" t="s">
        <v>162</v>
      </c>
      <c r="C307">
        <v>121</v>
      </c>
      <c r="D307">
        <v>20</v>
      </c>
      <c r="E307">
        <v>10</v>
      </c>
      <c r="F307">
        <v>150</v>
      </c>
      <c r="G307">
        <v>17.1606604258637</v>
      </c>
      <c r="H307">
        <v>45</v>
      </c>
      <c r="I307">
        <v>75</v>
      </c>
      <c r="J307">
        <v>30</v>
      </c>
      <c r="K307" s="8">
        <v>5.16</v>
      </c>
      <c r="N307">
        <v>3.8</v>
      </c>
      <c r="O307" s="10">
        <v>36.76</v>
      </c>
      <c r="R307" s="8">
        <v>0</v>
      </c>
      <c r="S307" t="s">
        <v>68</v>
      </c>
      <c r="AC307" t="s">
        <v>128</v>
      </c>
      <c r="AD307" t="s">
        <v>208</v>
      </c>
      <c r="AE307" t="s">
        <v>218</v>
      </c>
      <c r="AF307">
        <v>4</v>
      </c>
      <c r="AG307">
        <v>8</v>
      </c>
      <c r="AH307">
        <v>4</v>
      </c>
      <c r="AI307" t="s">
        <v>213</v>
      </c>
      <c r="AJ307">
        <v>4</v>
      </c>
      <c r="AK307">
        <v>4</v>
      </c>
    </row>
    <row r="308" spans="2:37" x14ac:dyDescent="0.3">
      <c r="B308" t="s">
        <v>163</v>
      </c>
      <c r="C308">
        <v>121</v>
      </c>
      <c r="D308">
        <v>20</v>
      </c>
      <c r="E308">
        <v>10</v>
      </c>
      <c r="F308">
        <v>150</v>
      </c>
      <c r="G308">
        <v>17.1606604258637</v>
      </c>
      <c r="H308">
        <v>28</v>
      </c>
      <c r="I308">
        <v>75</v>
      </c>
      <c r="J308">
        <v>30</v>
      </c>
      <c r="K308" s="8">
        <v>6.27</v>
      </c>
      <c r="N308">
        <v>2.76</v>
      </c>
      <c r="O308" s="10">
        <v>23.19</v>
      </c>
      <c r="R308" s="8">
        <v>0</v>
      </c>
      <c r="S308" t="s">
        <v>68</v>
      </c>
      <c r="T308">
        <v>53.98</v>
      </c>
      <c r="U308">
        <v>6.53</v>
      </c>
      <c r="V308">
        <v>45.47</v>
      </c>
      <c r="W308">
        <v>70.88</v>
      </c>
      <c r="X308">
        <v>0</v>
      </c>
      <c r="Y308">
        <v>19.8</v>
      </c>
      <c r="Z308">
        <v>0</v>
      </c>
      <c r="AA308">
        <v>65.06</v>
      </c>
      <c r="AC308" t="s">
        <v>128</v>
      </c>
      <c r="AD308" t="s">
        <v>208</v>
      </c>
      <c r="AE308" t="s">
        <v>218</v>
      </c>
      <c r="AF308">
        <v>7</v>
      </c>
      <c r="AG308">
        <v>8</v>
      </c>
      <c r="AH308">
        <v>5</v>
      </c>
      <c r="AI308" t="s">
        <v>213</v>
      </c>
      <c r="AJ308">
        <v>6</v>
      </c>
      <c r="AK308">
        <v>5</v>
      </c>
    </row>
    <row r="309" spans="2:37" x14ac:dyDescent="0.3">
      <c r="B309" t="s">
        <v>163</v>
      </c>
      <c r="C309">
        <v>121</v>
      </c>
      <c r="D309">
        <v>20</v>
      </c>
      <c r="E309">
        <v>10</v>
      </c>
      <c r="F309">
        <v>150</v>
      </c>
      <c r="G309">
        <v>17.1606604258637</v>
      </c>
      <c r="H309">
        <v>28</v>
      </c>
      <c r="I309">
        <v>75</v>
      </c>
      <c r="J309">
        <v>30</v>
      </c>
      <c r="K309" s="8">
        <v>6.3</v>
      </c>
      <c r="N309">
        <v>2.84</v>
      </c>
      <c r="O309" s="10">
        <v>22.16</v>
      </c>
      <c r="R309" s="8">
        <v>0</v>
      </c>
      <c r="S309" t="s">
        <v>68</v>
      </c>
      <c r="T309">
        <v>53.98</v>
      </c>
      <c r="U309">
        <v>6.53</v>
      </c>
      <c r="V309">
        <v>45.47</v>
      </c>
      <c r="W309">
        <v>70.88</v>
      </c>
      <c r="X309">
        <v>0</v>
      </c>
      <c r="Y309">
        <v>19.899999999999999</v>
      </c>
      <c r="Z309">
        <v>1</v>
      </c>
      <c r="AA309">
        <v>65.08</v>
      </c>
      <c r="AC309" t="s">
        <v>128</v>
      </c>
      <c r="AD309" t="s">
        <v>208</v>
      </c>
      <c r="AE309" t="s">
        <v>218</v>
      </c>
      <c r="AF309">
        <v>6</v>
      </c>
      <c r="AG309">
        <v>7</v>
      </c>
      <c r="AH309">
        <v>5</v>
      </c>
      <c r="AI309" t="s">
        <v>213</v>
      </c>
      <c r="AJ309">
        <v>5</v>
      </c>
      <c r="AK309">
        <v>5</v>
      </c>
    </row>
    <row r="310" spans="2:37" x14ac:dyDescent="0.3">
      <c r="B310" t="s">
        <v>163</v>
      </c>
      <c r="C310">
        <v>121</v>
      </c>
      <c r="D310">
        <v>20</v>
      </c>
      <c r="E310">
        <v>10</v>
      </c>
      <c r="F310">
        <v>150</v>
      </c>
      <c r="G310">
        <v>17.1606604258637</v>
      </c>
      <c r="H310">
        <v>28</v>
      </c>
      <c r="I310">
        <v>75</v>
      </c>
      <c r="J310">
        <v>30</v>
      </c>
      <c r="K310" s="8">
        <v>6.31</v>
      </c>
      <c r="N310">
        <v>2.4500000000000002</v>
      </c>
      <c r="O310" s="10">
        <v>23.76</v>
      </c>
      <c r="R310" s="8">
        <v>0</v>
      </c>
      <c r="S310" t="s">
        <v>68</v>
      </c>
      <c r="T310">
        <v>53.98</v>
      </c>
      <c r="U310">
        <v>6.53</v>
      </c>
      <c r="V310">
        <v>45.42</v>
      </c>
      <c r="W310">
        <v>70.849999999999994</v>
      </c>
      <c r="X310">
        <v>0</v>
      </c>
      <c r="Y310">
        <v>27.9</v>
      </c>
      <c r="Z310">
        <v>1</v>
      </c>
      <c r="AA310">
        <v>65.16</v>
      </c>
      <c r="AC310" t="s">
        <v>128</v>
      </c>
      <c r="AD310" t="s">
        <v>208</v>
      </c>
      <c r="AE310" t="s">
        <v>218</v>
      </c>
      <c r="AF310">
        <v>8</v>
      </c>
      <c r="AG310">
        <v>8</v>
      </c>
      <c r="AH310">
        <v>5</v>
      </c>
      <c r="AI310" t="s">
        <v>213</v>
      </c>
      <c r="AJ310">
        <v>4</v>
      </c>
      <c r="AK310">
        <v>5</v>
      </c>
    </row>
    <row r="311" spans="2:37" x14ac:dyDescent="0.3">
      <c r="B311" t="s">
        <v>164</v>
      </c>
      <c r="C311">
        <v>121</v>
      </c>
      <c r="D311">
        <v>20</v>
      </c>
      <c r="E311">
        <v>10</v>
      </c>
      <c r="F311">
        <v>150</v>
      </c>
      <c r="G311">
        <v>17.1606604258637</v>
      </c>
      <c r="H311">
        <v>55</v>
      </c>
      <c r="I311">
        <v>75</v>
      </c>
      <c r="J311">
        <v>33</v>
      </c>
      <c r="K311" s="8">
        <v>4.8899999999999997</v>
      </c>
      <c r="L311">
        <v>4.5697999999999999</v>
      </c>
      <c r="N311">
        <v>5.31</v>
      </c>
      <c r="O311" s="10">
        <v>67.67</v>
      </c>
      <c r="R311" s="8">
        <v>0</v>
      </c>
      <c r="S311" t="s">
        <v>68</v>
      </c>
      <c r="AC311" t="s">
        <v>128</v>
      </c>
      <c r="AD311" t="s">
        <v>208</v>
      </c>
      <c r="AE311" t="s">
        <v>218</v>
      </c>
      <c r="AF311">
        <v>4</v>
      </c>
      <c r="AG311">
        <v>6</v>
      </c>
      <c r="AH311">
        <v>2</v>
      </c>
      <c r="AI311" t="s">
        <v>213</v>
      </c>
      <c r="AJ311">
        <v>3</v>
      </c>
      <c r="AK311">
        <v>3</v>
      </c>
    </row>
    <row r="312" spans="2:37" x14ac:dyDescent="0.3">
      <c r="B312" t="s">
        <v>164</v>
      </c>
      <c r="C312">
        <v>121</v>
      </c>
      <c r="D312">
        <v>20</v>
      </c>
      <c r="E312">
        <v>10</v>
      </c>
      <c r="F312">
        <v>150</v>
      </c>
      <c r="G312">
        <v>17.1606604258637</v>
      </c>
      <c r="H312">
        <v>55</v>
      </c>
      <c r="I312">
        <v>75</v>
      </c>
      <c r="J312">
        <v>33</v>
      </c>
      <c r="K312" s="8">
        <v>4.8600000000000003</v>
      </c>
      <c r="L312">
        <v>5.2846000000000002</v>
      </c>
      <c r="N312">
        <v>5.3</v>
      </c>
      <c r="O312" s="10">
        <v>67.12</v>
      </c>
      <c r="R312" s="8">
        <v>0</v>
      </c>
      <c r="S312" t="s">
        <v>68</v>
      </c>
      <c r="AC312" t="s">
        <v>128</v>
      </c>
      <c r="AD312" t="s">
        <v>208</v>
      </c>
      <c r="AE312" t="s">
        <v>218</v>
      </c>
      <c r="AF312">
        <v>5</v>
      </c>
      <c r="AG312">
        <v>6</v>
      </c>
      <c r="AH312">
        <v>2</v>
      </c>
      <c r="AI312" t="s">
        <v>213</v>
      </c>
      <c r="AJ312">
        <v>3</v>
      </c>
      <c r="AK312">
        <v>2</v>
      </c>
    </row>
    <row r="313" spans="2:37" x14ac:dyDescent="0.3">
      <c r="B313" t="s">
        <v>164</v>
      </c>
      <c r="C313">
        <v>121</v>
      </c>
      <c r="D313">
        <v>20</v>
      </c>
      <c r="E313">
        <v>10</v>
      </c>
      <c r="F313">
        <v>150</v>
      </c>
      <c r="G313">
        <v>17.1606604258637</v>
      </c>
      <c r="H313">
        <v>55</v>
      </c>
      <c r="I313">
        <v>75</v>
      </c>
      <c r="J313">
        <v>33</v>
      </c>
      <c r="K313" s="8">
        <v>4.76</v>
      </c>
      <c r="L313">
        <v>9.6852</v>
      </c>
      <c r="N313">
        <v>6.3</v>
      </c>
      <c r="O313" s="10">
        <v>67.849999999999994</v>
      </c>
      <c r="R313" s="8">
        <v>0</v>
      </c>
      <c r="S313" t="s">
        <v>68</v>
      </c>
      <c r="AC313" t="s">
        <v>128</v>
      </c>
      <c r="AD313" t="s">
        <v>208</v>
      </c>
      <c r="AE313" t="s">
        <v>218</v>
      </c>
      <c r="AF313">
        <v>4</v>
      </c>
      <c r="AG313">
        <v>5</v>
      </c>
      <c r="AH313">
        <v>2</v>
      </c>
      <c r="AI313" t="s">
        <v>213</v>
      </c>
      <c r="AJ313">
        <v>3</v>
      </c>
      <c r="AK313">
        <v>3</v>
      </c>
    </row>
    <row r="314" spans="2:37" x14ac:dyDescent="0.3">
      <c r="B314" t="s">
        <v>165</v>
      </c>
      <c r="C314">
        <v>121</v>
      </c>
      <c r="D314">
        <v>20</v>
      </c>
      <c r="E314">
        <v>10</v>
      </c>
      <c r="F314">
        <v>150</v>
      </c>
      <c r="G314">
        <v>17.1606604258637</v>
      </c>
      <c r="H314">
        <v>45</v>
      </c>
      <c r="I314">
        <v>75</v>
      </c>
      <c r="J314">
        <v>35</v>
      </c>
      <c r="K314" s="8">
        <v>4.96</v>
      </c>
      <c r="L314">
        <v>7.6257999999999999</v>
      </c>
      <c r="M314">
        <f t="shared" ref="M314:M338" si="4">100-(AA314+L314+N314+P314+Q314)</f>
        <v>16.658199999999994</v>
      </c>
      <c r="N314">
        <v>8.9</v>
      </c>
      <c r="O314" s="10">
        <v>47.12</v>
      </c>
      <c r="P314" s="8">
        <v>0.45600000000000002</v>
      </c>
      <c r="Q314" s="8">
        <v>1</v>
      </c>
      <c r="R314" s="8">
        <v>0</v>
      </c>
      <c r="S314" t="s">
        <v>68</v>
      </c>
      <c r="T314">
        <v>56.7</v>
      </c>
      <c r="U314">
        <v>8.8800000000000008</v>
      </c>
      <c r="V314">
        <v>46.56</v>
      </c>
      <c r="W314">
        <v>73.900000000000006</v>
      </c>
      <c r="AA314">
        <v>65.36</v>
      </c>
      <c r="AC314" t="s">
        <v>128</v>
      </c>
      <c r="AD314" t="s">
        <v>208</v>
      </c>
      <c r="AE314" t="s">
        <v>218</v>
      </c>
      <c r="AF314">
        <v>5</v>
      </c>
      <c r="AG314">
        <v>7</v>
      </c>
      <c r="AH314">
        <v>3</v>
      </c>
      <c r="AI314" t="s">
        <v>213</v>
      </c>
      <c r="AJ314">
        <v>3</v>
      </c>
      <c r="AK314">
        <v>3</v>
      </c>
    </row>
    <row r="315" spans="2:37" x14ac:dyDescent="0.3">
      <c r="B315" t="s">
        <v>165</v>
      </c>
      <c r="C315">
        <v>121</v>
      </c>
      <c r="D315">
        <v>20</v>
      </c>
      <c r="E315">
        <v>10</v>
      </c>
      <c r="F315">
        <v>150</v>
      </c>
      <c r="G315">
        <v>17.1606604258637</v>
      </c>
      <c r="H315">
        <v>45</v>
      </c>
      <c r="I315">
        <v>75</v>
      </c>
      <c r="J315">
        <v>35</v>
      </c>
      <c r="K315" s="8">
        <v>4.92</v>
      </c>
      <c r="L315">
        <v>9.2545999999999999</v>
      </c>
      <c r="M315">
        <f t="shared" si="4"/>
        <v>19.170400000000015</v>
      </c>
      <c r="N315">
        <v>4.5999999999999996</v>
      </c>
      <c r="O315" s="10">
        <v>47.19</v>
      </c>
      <c r="P315" s="8">
        <v>0.874</v>
      </c>
      <c r="Q315" s="8">
        <v>1.5409999999999999</v>
      </c>
      <c r="R315" s="8">
        <v>0</v>
      </c>
      <c r="S315" t="s">
        <v>68</v>
      </c>
      <c r="T315">
        <v>56.65</v>
      </c>
      <c r="U315">
        <v>8.84</v>
      </c>
      <c r="V315">
        <v>46.49</v>
      </c>
      <c r="W315">
        <v>73.819999999999993</v>
      </c>
      <c r="AA315">
        <v>64.56</v>
      </c>
      <c r="AC315" t="s">
        <v>128</v>
      </c>
      <c r="AD315" t="s">
        <v>208</v>
      </c>
      <c r="AE315" t="s">
        <v>218</v>
      </c>
      <c r="AF315">
        <v>4</v>
      </c>
      <c r="AG315">
        <v>6</v>
      </c>
      <c r="AH315">
        <v>3</v>
      </c>
      <c r="AI315" t="s">
        <v>213</v>
      </c>
      <c r="AJ315">
        <v>4</v>
      </c>
      <c r="AK315">
        <v>3</v>
      </c>
    </row>
    <row r="316" spans="2:37" x14ac:dyDescent="0.3">
      <c r="B316" t="s">
        <v>165</v>
      </c>
      <c r="C316">
        <v>121</v>
      </c>
      <c r="D316">
        <v>20</v>
      </c>
      <c r="E316">
        <v>10</v>
      </c>
      <c r="F316">
        <v>150</v>
      </c>
      <c r="G316">
        <v>17.1606604258637</v>
      </c>
      <c r="H316">
        <v>45</v>
      </c>
      <c r="I316">
        <v>75</v>
      </c>
      <c r="J316">
        <v>35</v>
      </c>
      <c r="K316" s="8">
        <v>4.93</v>
      </c>
      <c r="L316">
        <v>10.269</v>
      </c>
      <c r="M316">
        <f t="shared" si="4"/>
        <v>12.893999999999991</v>
      </c>
      <c r="N316">
        <v>8.1999999999999993</v>
      </c>
      <c r="O316" s="10">
        <v>47.68</v>
      </c>
      <c r="P316" s="8">
        <v>0.96399999999999997</v>
      </c>
      <c r="Q316" s="8">
        <v>2.653</v>
      </c>
      <c r="R316" s="8">
        <v>0</v>
      </c>
      <c r="S316" t="s">
        <v>68</v>
      </c>
      <c r="T316">
        <v>56.62</v>
      </c>
      <c r="U316">
        <v>8.86</v>
      </c>
      <c r="V316">
        <v>46.46</v>
      </c>
      <c r="W316">
        <v>73.78</v>
      </c>
      <c r="AA316">
        <v>65.02</v>
      </c>
      <c r="AC316" t="s">
        <v>128</v>
      </c>
      <c r="AD316" t="s">
        <v>208</v>
      </c>
      <c r="AE316" t="s">
        <v>218</v>
      </c>
      <c r="AF316">
        <v>5</v>
      </c>
      <c r="AG316">
        <v>6</v>
      </c>
      <c r="AH316">
        <v>3</v>
      </c>
      <c r="AI316" t="s">
        <v>213</v>
      </c>
      <c r="AJ316">
        <v>3</v>
      </c>
      <c r="AK316">
        <v>3</v>
      </c>
    </row>
    <row r="317" spans="2:37" x14ac:dyDescent="0.3">
      <c r="B317" t="s">
        <v>200</v>
      </c>
      <c r="C317">
        <v>121</v>
      </c>
      <c r="D317">
        <v>20</v>
      </c>
      <c r="E317">
        <v>10</v>
      </c>
      <c r="F317">
        <v>150</v>
      </c>
      <c r="G317">
        <v>17.1606604258637</v>
      </c>
      <c r="H317">
        <v>32</v>
      </c>
      <c r="I317">
        <v>75</v>
      </c>
      <c r="J317">
        <v>35</v>
      </c>
      <c r="K317" s="8">
        <v>5.5</v>
      </c>
      <c r="L317">
        <v>10.2569</v>
      </c>
      <c r="M317">
        <f t="shared" si="4"/>
        <v>8.379099999999994</v>
      </c>
      <c r="N317">
        <v>11.6</v>
      </c>
      <c r="O317" s="10">
        <v>34.03</v>
      </c>
      <c r="P317" s="8">
        <v>1.254</v>
      </c>
      <c r="Q317" s="8">
        <v>2.4500000000000002</v>
      </c>
      <c r="R317" s="8">
        <v>0</v>
      </c>
      <c r="S317" t="s">
        <v>68</v>
      </c>
      <c r="T317">
        <v>58.11</v>
      </c>
      <c r="U317">
        <v>7.32</v>
      </c>
      <c r="V317">
        <v>47.89</v>
      </c>
      <c r="W317">
        <v>75.650000000000006</v>
      </c>
      <c r="AA317">
        <v>66.06</v>
      </c>
      <c r="AC317" t="s">
        <v>128</v>
      </c>
      <c r="AD317" t="s">
        <v>208</v>
      </c>
      <c r="AE317" t="s">
        <v>218</v>
      </c>
      <c r="AF317">
        <v>4</v>
      </c>
      <c r="AG317">
        <v>5</v>
      </c>
      <c r="AH317">
        <v>4</v>
      </c>
      <c r="AI317" t="s">
        <v>213</v>
      </c>
      <c r="AJ317">
        <v>4</v>
      </c>
      <c r="AK317">
        <v>4</v>
      </c>
    </row>
    <row r="318" spans="2:37" x14ac:dyDescent="0.3">
      <c r="B318" t="s">
        <v>200</v>
      </c>
      <c r="C318">
        <v>121</v>
      </c>
      <c r="D318">
        <v>20</v>
      </c>
      <c r="E318">
        <v>10</v>
      </c>
      <c r="F318">
        <v>150</v>
      </c>
      <c r="G318">
        <v>17.1606604258637</v>
      </c>
      <c r="H318">
        <v>32</v>
      </c>
      <c r="I318">
        <v>75</v>
      </c>
      <c r="J318">
        <v>35</v>
      </c>
      <c r="K318" s="8">
        <v>5.6</v>
      </c>
      <c r="L318">
        <v>9.2584</v>
      </c>
      <c r="M318">
        <f t="shared" si="4"/>
        <v>19.461600000000004</v>
      </c>
      <c r="N318">
        <v>1.2</v>
      </c>
      <c r="O318" s="10">
        <v>34.119999999999997</v>
      </c>
      <c r="P318" s="8">
        <v>1.52</v>
      </c>
      <c r="Q318" s="8">
        <v>1.98</v>
      </c>
      <c r="R318" s="8">
        <v>0</v>
      </c>
      <c r="S318" t="s">
        <v>68</v>
      </c>
      <c r="T318">
        <v>58.11</v>
      </c>
      <c r="U318">
        <v>7.31</v>
      </c>
      <c r="V318">
        <v>47.93</v>
      </c>
      <c r="W318">
        <v>75.680000000000007</v>
      </c>
      <c r="AA318">
        <v>66.58</v>
      </c>
      <c r="AC318" t="s">
        <v>128</v>
      </c>
      <c r="AD318" t="s">
        <v>208</v>
      </c>
      <c r="AE318" t="s">
        <v>218</v>
      </c>
      <c r="AF318">
        <v>5</v>
      </c>
      <c r="AG318">
        <v>7</v>
      </c>
      <c r="AH318">
        <v>4</v>
      </c>
      <c r="AI318" t="s">
        <v>213</v>
      </c>
      <c r="AJ318">
        <v>3</v>
      </c>
      <c r="AK318">
        <v>4</v>
      </c>
    </row>
    <row r="319" spans="2:37" x14ac:dyDescent="0.3">
      <c r="B319" t="s">
        <v>200</v>
      </c>
      <c r="C319">
        <v>121</v>
      </c>
      <c r="D319">
        <v>20</v>
      </c>
      <c r="E319">
        <v>10</v>
      </c>
      <c r="F319">
        <v>150</v>
      </c>
      <c r="G319">
        <v>17.1606604258637</v>
      </c>
      <c r="H319">
        <v>32</v>
      </c>
      <c r="I319">
        <v>75</v>
      </c>
      <c r="J319">
        <v>35</v>
      </c>
      <c r="K319" s="8">
        <v>5.79</v>
      </c>
      <c r="L319">
        <v>7.8263999999999996</v>
      </c>
      <c r="M319">
        <f t="shared" si="4"/>
        <v>7.1606000000000165</v>
      </c>
      <c r="N319">
        <v>15.3</v>
      </c>
      <c r="O319" s="10">
        <v>33.67</v>
      </c>
      <c r="P319" s="8">
        <v>1.6359999999999999</v>
      </c>
      <c r="Q319" s="8">
        <v>1.587</v>
      </c>
      <c r="R319" s="8">
        <v>0</v>
      </c>
      <c r="S319" t="s">
        <v>68</v>
      </c>
      <c r="T319">
        <v>58.12</v>
      </c>
      <c r="U319">
        <v>7.32</v>
      </c>
      <c r="V319">
        <v>47.8</v>
      </c>
      <c r="W319">
        <v>75.599999999999994</v>
      </c>
      <c r="AA319">
        <v>66.489999999999995</v>
      </c>
      <c r="AC319" t="s">
        <v>128</v>
      </c>
      <c r="AD319" t="s">
        <v>208</v>
      </c>
      <c r="AE319" t="s">
        <v>218</v>
      </c>
      <c r="AF319">
        <v>6</v>
      </c>
      <c r="AG319">
        <v>6</v>
      </c>
      <c r="AH319">
        <v>3</v>
      </c>
      <c r="AI319" t="s">
        <v>213</v>
      </c>
      <c r="AJ319">
        <v>4</v>
      </c>
      <c r="AK319">
        <v>4</v>
      </c>
    </row>
    <row r="320" spans="2:37" x14ac:dyDescent="0.3">
      <c r="B320" t="s">
        <v>164</v>
      </c>
      <c r="C320">
        <v>121</v>
      </c>
      <c r="D320">
        <v>20</v>
      </c>
      <c r="E320">
        <v>10</v>
      </c>
      <c r="F320">
        <v>150</v>
      </c>
      <c r="G320">
        <v>17.1606604258637</v>
      </c>
      <c r="H320">
        <v>55</v>
      </c>
      <c r="I320">
        <v>75</v>
      </c>
      <c r="J320">
        <v>36</v>
      </c>
      <c r="K320" s="8">
        <v>4.88</v>
      </c>
      <c r="L320">
        <v>8.6958000000000002</v>
      </c>
      <c r="M320">
        <f t="shared" si="4"/>
        <v>13.828199999999995</v>
      </c>
      <c r="N320">
        <v>7.62</v>
      </c>
      <c r="O320" s="10">
        <v>71.67</v>
      </c>
      <c r="P320" s="8">
        <v>2.4500000000000002</v>
      </c>
      <c r="Q320" s="8">
        <v>3.056</v>
      </c>
      <c r="R320" s="8">
        <v>0</v>
      </c>
      <c r="S320" t="s">
        <v>68</v>
      </c>
      <c r="T320">
        <v>51.83</v>
      </c>
      <c r="U320">
        <v>8</v>
      </c>
      <c r="V320">
        <v>33.61</v>
      </c>
      <c r="W320">
        <v>62.29</v>
      </c>
      <c r="AA320">
        <v>64.349999999999994</v>
      </c>
      <c r="AC320" t="s">
        <v>128</v>
      </c>
      <c r="AD320" t="s">
        <v>208</v>
      </c>
      <c r="AE320" t="s">
        <v>218</v>
      </c>
      <c r="AF320">
        <v>5</v>
      </c>
      <c r="AG320">
        <v>4</v>
      </c>
      <c r="AH320">
        <v>1</v>
      </c>
      <c r="AI320" t="s">
        <v>213</v>
      </c>
      <c r="AJ320">
        <v>3</v>
      </c>
      <c r="AK320">
        <v>1</v>
      </c>
    </row>
    <row r="321" spans="1:37" x14ac:dyDescent="0.3">
      <c r="B321" t="s">
        <v>164</v>
      </c>
      <c r="C321">
        <v>121</v>
      </c>
      <c r="D321">
        <v>20</v>
      </c>
      <c r="E321">
        <v>10</v>
      </c>
      <c r="F321">
        <v>150</v>
      </c>
      <c r="G321">
        <v>17.1606604258637</v>
      </c>
      <c r="H321">
        <v>55</v>
      </c>
      <c r="I321">
        <v>75</v>
      </c>
      <c r="J321">
        <v>36</v>
      </c>
      <c r="K321" s="8">
        <v>4.79</v>
      </c>
      <c r="L321">
        <v>9.2748000000000008</v>
      </c>
      <c r="M321">
        <f t="shared" si="4"/>
        <v>17.6952</v>
      </c>
      <c r="N321">
        <v>1.8</v>
      </c>
      <c r="O321" s="10">
        <v>71.459999999999994</v>
      </c>
      <c r="P321" s="8">
        <v>1.68</v>
      </c>
      <c r="Q321" s="8">
        <v>4.99</v>
      </c>
      <c r="R321" s="8">
        <v>0</v>
      </c>
      <c r="S321" t="s">
        <v>68</v>
      </c>
      <c r="T321">
        <v>51.62</v>
      </c>
      <c r="U321">
        <v>8.02</v>
      </c>
      <c r="V321">
        <v>33.67</v>
      </c>
      <c r="W321">
        <v>62.15</v>
      </c>
      <c r="AA321">
        <v>64.56</v>
      </c>
      <c r="AC321" t="s">
        <v>128</v>
      </c>
      <c r="AD321" t="s">
        <v>208</v>
      </c>
      <c r="AE321" t="s">
        <v>218</v>
      </c>
      <c r="AF321">
        <v>4</v>
      </c>
      <c r="AG321">
        <v>4</v>
      </c>
      <c r="AH321">
        <v>1</v>
      </c>
      <c r="AI321" t="s">
        <v>213</v>
      </c>
      <c r="AJ321">
        <v>3</v>
      </c>
      <c r="AK321">
        <v>1</v>
      </c>
    </row>
    <row r="322" spans="1:37" x14ac:dyDescent="0.3">
      <c r="B322" t="s">
        <v>164</v>
      </c>
      <c r="C322">
        <v>121</v>
      </c>
      <c r="D322">
        <v>20</v>
      </c>
      <c r="E322">
        <v>10</v>
      </c>
      <c r="F322">
        <v>150</v>
      </c>
      <c r="G322">
        <v>17.1606604258637</v>
      </c>
      <c r="H322">
        <v>55</v>
      </c>
      <c r="I322">
        <v>75</v>
      </c>
      <c r="J322">
        <v>36</v>
      </c>
      <c r="K322" s="8">
        <v>4.72</v>
      </c>
      <c r="L322">
        <f>AVERAGE(L212:L226)</f>
        <v>9.0027946666666647</v>
      </c>
      <c r="M322">
        <f t="shared" si="4"/>
        <v>17.657205333333323</v>
      </c>
      <c r="N322">
        <v>5.2</v>
      </c>
      <c r="O322" s="10">
        <v>71.14</v>
      </c>
      <c r="P322" s="8">
        <v>0.9</v>
      </c>
      <c r="Q322" s="8">
        <v>2.95</v>
      </c>
      <c r="R322" s="8">
        <v>0</v>
      </c>
      <c r="S322" t="s">
        <v>68</v>
      </c>
      <c r="T322">
        <v>51.59</v>
      </c>
      <c r="U322">
        <v>8.02</v>
      </c>
      <c r="V322">
        <v>33.159999999999997</v>
      </c>
      <c r="W322">
        <v>62.16</v>
      </c>
      <c r="AA322">
        <v>64.290000000000006</v>
      </c>
      <c r="AC322" t="s">
        <v>128</v>
      </c>
      <c r="AD322" t="s">
        <v>208</v>
      </c>
      <c r="AE322" t="s">
        <v>218</v>
      </c>
      <c r="AF322">
        <v>3</v>
      </c>
      <c r="AG322">
        <v>5</v>
      </c>
      <c r="AH322">
        <v>1</v>
      </c>
      <c r="AI322" t="s">
        <v>213</v>
      </c>
      <c r="AJ322">
        <v>3</v>
      </c>
      <c r="AK322">
        <v>1</v>
      </c>
    </row>
    <row r="324" spans="1:37" x14ac:dyDescent="0.3">
      <c r="A324" s="2" t="s">
        <v>196</v>
      </c>
      <c r="B324" t="s">
        <v>106</v>
      </c>
      <c r="C324">
        <v>116</v>
      </c>
      <c r="D324">
        <v>20</v>
      </c>
      <c r="E324">
        <v>25</v>
      </c>
      <c r="F324">
        <v>150</v>
      </c>
      <c r="G324">
        <v>11.468648560757982</v>
      </c>
      <c r="H324">
        <v>32</v>
      </c>
      <c r="I324">
        <v>75</v>
      </c>
      <c r="J324">
        <v>0</v>
      </c>
      <c r="K324" s="8">
        <v>6.48</v>
      </c>
      <c r="L324">
        <v>7.8262999999999998</v>
      </c>
      <c r="M324">
        <f t="shared" si="4"/>
        <v>19.083699999999993</v>
      </c>
      <c r="N324">
        <v>1.1200000000000001</v>
      </c>
      <c r="O324" s="8">
        <v>4.16</v>
      </c>
      <c r="P324" s="8">
        <v>1.08</v>
      </c>
      <c r="Q324" s="8">
        <v>2.91</v>
      </c>
      <c r="R324" s="8">
        <v>0</v>
      </c>
      <c r="S324" t="s">
        <v>68</v>
      </c>
      <c r="T324">
        <v>51.85</v>
      </c>
      <c r="U324">
        <v>6.22</v>
      </c>
      <c r="V324">
        <v>41.54</v>
      </c>
      <c r="W324">
        <v>66.73</v>
      </c>
      <c r="X324">
        <v>0.88666666666666705</v>
      </c>
      <c r="Y324">
        <v>19.866666666666699</v>
      </c>
      <c r="Z324">
        <v>0</v>
      </c>
      <c r="AA324">
        <v>67.98</v>
      </c>
      <c r="AB324">
        <v>0.72399999999999998</v>
      </c>
      <c r="AC324" t="s">
        <v>128</v>
      </c>
      <c r="AD324" t="s">
        <v>125</v>
      </c>
      <c r="AE324" t="s">
        <v>128</v>
      </c>
      <c r="AF324">
        <v>8</v>
      </c>
      <c r="AG324">
        <v>7</v>
      </c>
      <c r="AH324">
        <v>7</v>
      </c>
      <c r="AI324">
        <v>7</v>
      </c>
      <c r="AJ324">
        <v>7</v>
      </c>
      <c r="AK324">
        <v>8</v>
      </c>
    </row>
    <row r="325" spans="1:37" x14ac:dyDescent="0.3">
      <c r="B325" t="s">
        <v>106</v>
      </c>
      <c r="C325">
        <v>116</v>
      </c>
      <c r="D325">
        <v>20</v>
      </c>
      <c r="E325">
        <v>25</v>
      </c>
      <c r="F325">
        <v>150</v>
      </c>
      <c r="G325">
        <v>11.468648560757982</v>
      </c>
      <c r="H325">
        <v>32</v>
      </c>
      <c r="I325">
        <v>75</v>
      </c>
      <c r="J325">
        <v>0</v>
      </c>
      <c r="K325" s="8">
        <v>6.5</v>
      </c>
      <c r="L325">
        <v>7.8257000000000003</v>
      </c>
      <c r="M325">
        <f t="shared" si="4"/>
        <v>17.174299999999988</v>
      </c>
      <c r="N325">
        <v>2.4</v>
      </c>
      <c r="O325" s="8">
        <v>4.45</v>
      </c>
      <c r="P325" s="8">
        <v>1.0900000000000001</v>
      </c>
      <c r="Q325" s="8">
        <v>3.93</v>
      </c>
      <c r="R325" s="8">
        <v>0</v>
      </c>
      <c r="S325" t="s">
        <v>68</v>
      </c>
      <c r="T325">
        <v>51.83</v>
      </c>
      <c r="U325">
        <v>6.24</v>
      </c>
      <c r="V325">
        <v>41.52</v>
      </c>
      <c r="W325">
        <v>66.7</v>
      </c>
      <c r="X325">
        <v>2.7016666666666702</v>
      </c>
      <c r="Y325">
        <v>17.716666666666701</v>
      </c>
      <c r="Z325">
        <v>0</v>
      </c>
      <c r="AA325">
        <v>67.58</v>
      </c>
      <c r="AB325">
        <v>0.71599999999999997</v>
      </c>
      <c r="AC325" t="s">
        <v>128</v>
      </c>
      <c r="AD325" t="s">
        <v>125</v>
      </c>
      <c r="AE325" t="s">
        <v>128</v>
      </c>
      <c r="AF325">
        <v>7</v>
      </c>
      <c r="AG325">
        <v>8</v>
      </c>
      <c r="AH325">
        <v>7</v>
      </c>
      <c r="AI325">
        <v>8</v>
      </c>
      <c r="AJ325">
        <v>5</v>
      </c>
      <c r="AK325">
        <v>5</v>
      </c>
    </row>
    <row r="326" spans="1:37" x14ac:dyDescent="0.3">
      <c r="B326" t="s">
        <v>106</v>
      </c>
      <c r="C326">
        <v>116</v>
      </c>
      <c r="D326">
        <v>20</v>
      </c>
      <c r="E326">
        <v>25</v>
      </c>
      <c r="F326">
        <v>150</v>
      </c>
      <c r="G326">
        <v>11.468648560757982</v>
      </c>
      <c r="H326">
        <v>32</v>
      </c>
      <c r="I326">
        <v>75</v>
      </c>
      <c r="J326">
        <v>0</v>
      </c>
      <c r="K326" s="8">
        <v>6.51</v>
      </c>
      <c r="L326">
        <v>7.8315000000000001</v>
      </c>
      <c r="M326">
        <f t="shared" si="4"/>
        <v>16.29849999999999</v>
      </c>
      <c r="N326">
        <v>1.3</v>
      </c>
      <c r="O326" s="8">
        <v>4.46</v>
      </c>
      <c r="P326" s="8">
        <v>2.04</v>
      </c>
      <c r="Q326" s="8">
        <v>4.8499999999999996</v>
      </c>
      <c r="R326" s="8">
        <v>0</v>
      </c>
      <c r="S326" t="s">
        <v>68</v>
      </c>
      <c r="T326">
        <v>51.83</v>
      </c>
      <c r="U326">
        <v>6.22</v>
      </c>
      <c r="V326">
        <v>41.51</v>
      </c>
      <c r="W326">
        <v>66.7</v>
      </c>
      <c r="X326">
        <v>4.5166666666666702</v>
      </c>
      <c r="Y326">
        <v>15.5666666666667</v>
      </c>
      <c r="Z326">
        <v>0</v>
      </c>
      <c r="AA326">
        <v>67.680000000000007</v>
      </c>
      <c r="AB326">
        <v>0.71399999999999997</v>
      </c>
      <c r="AC326" t="s">
        <v>128</v>
      </c>
      <c r="AD326" t="s">
        <v>125</v>
      </c>
      <c r="AE326" t="s">
        <v>128</v>
      </c>
      <c r="AF326">
        <v>8</v>
      </c>
      <c r="AG326">
        <v>5</v>
      </c>
      <c r="AH326">
        <v>8</v>
      </c>
      <c r="AI326">
        <v>5</v>
      </c>
      <c r="AJ326">
        <v>8</v>
      </c>
      <c r="AK326">
        <v>8</v>
      </c>
    </row>
    <row r="327" spans="1:37" x14ac:dyDescent="0.3">
      <c r="B327" t="s">
        <v>107</v>
      </c>
      <c r="C327">
        <v>116</v>
      </c>
      <c r="D327">
        <v>20</v>
      </c>
      <c r="E327">
        <v>25</v>
      </c>
      <c r="F327">
        <v>150</v>
      </c>
      <c r="G327">
        <v>11.468648560757982</v>
      </c>
      <c r="H327">
        <v>32</v>
      </c>
      <c r="I327">
        <v>75</v>
      </c>
      <c r="J327">
        <v>0</v>
      </c>
      <c r="K327" s="8">
        <v>6.38</v>
      </c>
      <c r="L327">
        <v>8.2698</v>
      </c>
      <c r="M327">
        <f t="shared" si="4"/>
        <v>17.530200000000008</v>
      </c>
      <c r="N327">
        <v>1.8</v>
      </c>
      <c r="O327" s="8">
        <v>4.9800000000000004</v>
      </c>
      <c r="P327" s="8">
        <v>0.75</v>
      </c>
      <c r="Q327" s="8">
        <v>2.96</v>
      </c>
      <c r="R327" s="8">
        <v>0</v>
      </c>
      <c r="S327" t="s">
        <v>68</v>
      </c>
      <c r="T327">
        <v>50.39</v>
      </c>
      <c r="U327">
        <v>6.28</v>
      </c>
      <c r="V327">
        <v>38.619999999999997</v>
      </c>
      <c r="W327">
        <v>63.8</v>
      </c>
      <c r="X327">
        <v>6.07</v>
      </c>
      <c r="Y327">
        <v>13.8</v>
      </c>
      <c r="Z327">
        <v>0</v>
      </c>
      <c r="AA327">
        <v>68.69</v>
      </c>
      <c r="AB327">
        <v>0.70399999999999996</v>
      </c>
      <c r="AC327" t="s">
        <v>128</v>
      </c>
      <c r="AD327" t="s">
        <v>125</v>
      </c>
      <c r="AE327" t="s">
        <v>128</v>
      </c>
      <c r="AF327">
        <v>5</v>
      </c>
      <c r="AG327">
        <v>7</v>
      </c>
      <c r="AH327">
        <v>7</v>
      </c>
      <c r="AI327">
        <v>6</v>
      </c>
      <c r="AJ327">
        <v>6</v>
      </c>
      <c r="AK327">
        <v>6</v>
      </c>
    </row>
    <row r="328" spans="1:37" x14ac:dyDescent="0.3">
      <c r="B328" t="s">
        <v>107</v>
      </c>
      <c r="C328">
        <v>116</v>
      </c>
      <c r="D328">
        <v>20</v>
      </c>
      <c r="E328">
        <v>25</v>
      </c>
      <c r="F328">
        <v>150</v>
      </c>
      <c r="G328">
        <v>11.468648560757982</v>
      </c>
      <c r="H328">
        <v>32</v>
      </c>
      <c r="I328">
        <v>75</v>
      </c>
      <c r="J328">
        <v>0</v>
      </c>
      <c r="K328" s="8">
        <v>6.53</v>
      </c>
      <c r="L328">
        <v>8.2767999999999997</v>
      </c>
      <c r="M328">
        <f t="shared" si="4"/>
        <v>16.513200000000012</v>
      </c>
      <c r="N328">
        <v>3.8</v>
      </c>
      <c r="O328" s="8">
        <v>4.3</v>
      </c>
      <c r="P328" s="8">
        <v>0.46</v>
      </c>
      <c r="Q328" s="8">
        <v>3.26</v>
      </c>
      <c r="R328" s="8">
        <v>0</v>
      </c>
      <c r="S328" t="s">
        <v>68</v>
      </c>
      <c r="T328">
        <v>50.37</v>
      </c>
      <c r="U328">
        <v>6.3</v>
      </c>
      <c r="V328">
        <v>38.619999999999997</v>
      </c>
      <c r="W328">
        <v>63.78</v>
      </c>
      <c r="X328">
        <v>8.67</v>
      </c>
      <c r="Y328">
        <v>10.5</v>
      </c>
      <c r="Z328">
        <v>0</v>
      </c>
      <c r="AA328">
        <v>67.69</v>
      </c>
      <c r="AB328">
        <v>0.69899999999999995</v>
      </c>
      <c r="AC328" t="s">
        <v>128</v>
      </c>
      <c r="AD328" t="s">
        <v>125</v>
      </c>
      <c r="AE328" t="s">
        <v>128</v>
      </c>
      <c r="AF328">
        <v>8</v>
      </c>
      <c r="AG328">
        <v>5</v>
      </c>
      <c r="AH328">
        <v>8</v>
      </c>
      <c r="AI328">
        <v>5</v>
      </c>
      <c r="AJ328">
        <v>8</v>
      </c>
      <c r="AK328">
        <v>8</v>
      </c>
    </row>
    <row r="329" spans="1:37" x14ac:dyDescent="0.3">
      <c r="B329" t="s">
        <v>107</v>
      </c>
      <c r="C329">
        <v>116</v>
      </c>
      <c r="D329">
        <v>20</v>
      </c>
      <c r="E329">
        <v>25</v>
      </c>
      <c r="F329">
        <v>150</v>
      </c>
      <c r="G329">
        <v>11.468648560757982</v>
      </c>
      <c r="H329">
        <v>32</v>
      </c>
      <c r="I329">
        <v>75</v>
      </c>
      <c r="J329">
        <v>0</v>
      </c>
      <c r="K329" s="8">
        <v>6.75</v>
      </c>
      <c r="L329">
        <v>8.1271000000000004</v>
      </c>
      <c r="M329">
        <f t="shared" si="4"/>
        <v>19.072900000000004</v>
      </c>
      <c r="N329">
        <v>1.2</v>
      </c>
      <c r="O329" s="8">
        <v>5.2</v>
      </c>
      <c r="P329" s="8">
        <v>0.95</v>
      </c>
      <c r="Q329" s="8">
        <v>3.05</v>
      </c>
      <c r="R329" s="8">
        <v>0</v>
      </c>
      <c r="S329" t="s">
        <v>68</v>
      </c>
      <c r="T329">
        <v>50.35</v>
      </c>
      <c r="U329">
        <v>6.31</v>
      </c>
      <c r="V329">
        <v>38.659999999999997</v>
      </c>
      <c r="W329">
        <v>63.79</v>
      </c>
      <c r="X329">
        <v>9.6999999999999993</v>
      </c>
      <c r="Y329">
        <v>9.5</v>
      </c>
      <c r="Z329">
        <v>0</v>
      </c>
      <c r="AA329">
        <v>67.599999999999994</v>
      </c>
      <c r="AB329">
        <v>0.69279999999999997</v>
      </c>
      <c r="AC329" t="s">
        <v>128</v>
      </c>
      <c r="AD329" t="s">
        <v>125</v>
      </c>
      <c r="AE329" t="s">
        <v>128</v>
      </c>
      <c r="AF329">
        <v>5</v>
      </c>
      <c r="AG329">
        <v>5</v>
      </c>
      <c r="AH329">
        <v>8</v>
      </c>
      <c r="AI329">
        <v>8</v>
      </c>
      <c r="AJ329">
        <v>5</v>
      </c>
      <c r="AK329">
        <v>8</v>
      </c>
    </row>
    <row r="330" spans="1:37" x14ac:dyDescent="0.3">
      <c r="B330" t="s">
        <v>108</v>
      </c>
      <c r="C330">
        <v>116</v>
      </c>
      <c r="D330">
        <v>20</v>
      </c>
      <c r="E330">
        <v>25</v>
      </c>
      <c r="F330">
        <v>150</v>
      </c>
      <c r="G330">
        <v>11.468648560757982</v>
      </c>
      <c r="H330">
        <v>32</v>
      </c>
      <c r="I330">
        <v>75</v>
      </c>
      <c r="J330">
        <v>0</v>
      </c>
      <c r="K330" s="8">
        <v>6.97</v>
      </c>
      <c r="L330">
        <v>9.7835000000000001</v>
      </c>
      <c r="M330">
        <f t="shared" si="4"/>
        <v>17.052499999999995</v>
      </c>
      <c r="N330">
        <v>1.5</v>
      </c>
      <c r="O330" s="8">
        <v>4.5999999999999996</v>
      </c>
      <c r="P330" s="8">
        <v>0.79</v>
      </c>
      <c r="Q330" s="8">
        <v>3.06</v>
      </c>
      <c r="R330" s="8">
        <v>0</v>
      </c>
      <c r="S330" t="s">
        <v>68</v>
      </c>
      <c r="T330">
        <v>51.61</v>
      </c>
      <c r="U330">
        <v>6.2</v>
      </c>
      <c r="V330">
        <v>42.35</v>
      </c>
      <c r="W330">
        <v>67.05</v>
      </c>
      <c r="X330">
        <v>0</v>
      </c>
      <c r="Y330">
        <v>17.8</v>
      </c>
      <c r="Z330">
        <v>0</v>
      </c>
      <c r="AA330">
        <v>67.813999999999993</v>
      </c>
      <c r="AB330">
        <v>0.68659999999999999</v>
      </c>
      <c r="AC330" t="s">
        <v>128</v>
      </c>
      <c r="AD330" t="s">
        <v>125</v>
      </c>
      <c r="AE330" t="s">
        <v>128</v>
      </c>
      <c r="AF330">
        <v>6</v>
      </c>
      <c r="AG330">
        <v>4</v>
      </c>
      <c r="AH330">
        <v>5</v>
      </c>
      <c r="AI330">
        <v>5</v>
      </c>
      <c r="AJ330">
        <v>8</v>
      </c>
      <c r="AK330">
        <v>7</v>
      </c>
    </row>
    <row r="331" spans="1:37" x14ac:dyDescent="0.3">
      <c r="B331" t="s">
        <v>108</v>
      </c>
      <c r="C331">
        <v>116</v>
      </c>
      <c r="D331">
        <v>20</v>
      </c>
      <c r="E331">
        <v>25</v>
      </c>
      <c r="F331">
        <v>150</v>
      </c>
      <c r="G331">
        <v>11.468648560757982</v>
      </c>
      <c r="H331">
        <v>32</v>
      </c>
      <c r="I331">
        <v>75</v>
      </c>
      <c r="J331">
        <v>0</v>
      </c>
      <c r="K331" s="8">
        <v>7.02</v>
      </c>
      <c r="L331">
        <v>7.7458999999999998</v>
      </c>
      <c r="M331">
        <f t="shared" si="4"/>
        <v>18.2761</v>
      </c>
      <c r="N331">
        <v>2.5</v>
      </c>
      <c r="O331" s="8">
        <v>4.45</v>
      </c>
      <c r="P331" s="8">
        <v>0.69</v>
      </c>
      <c r="Q331" s="8">
        <v>2.99</v>
      </c>
      <c r="R331" s="8">
        <v>0</v>
      </c>
      <c r="S331" t="s">
        <v>68</v>
      </c>
      <c r="T331">
        <v>51.6</v>
      </c>
      <c r="U331">
        <v>6.2</v>
      </c>
      <c r="V331">
        <v>42.37</v>
      </c>
      <c r="W331">
        <v>67.05</v>
      </c>
      <c r="X331">
        <v>0</v>
      </c>
      <c r="Y331">
        <v>18</v>
      </c>
      <c r="Z331">
        <v>0</v>
      </c>
      <c r="AA331">
        <v>67.798000000000002</v>
      </c>
      <c r="AB331">
        <v>0.6804</v>
      </c>
      <c r="AC331" t="s">
        <v>128</v>
      </c>
      <c r="AD331" t="s">
        <v>125</v>
      </c>
      <c r="AE331" t="s">
        <v>128</v>
      </c>
      <c r="AF331">
        <v>6</v>
      </c>
      <c r="AG331">
        <v>7</v>
      </c>
      <c r="AH331">
        <v>6</v>
      </c>
      <c r="AI331">
        <v>6</v>
      </c>
      <c r="AJ331">
        <v>4</v>
      </c>
      <c r="AK331">
        <v>8</v>
      </c>
    </row>
    <row r="332" spans="1:37" x14ac:dyDescent="0.3">
      <c r="B332" t="s">
        <v>108</v>
      </c>
      <c r="C332">
        <v>116</v>
      </c>
      <c r="D332">
        <v>20</v>
      </c>
      <c r="E332">
        <v>25</v>
      </c>
      <c r="F332">
        <v>150</v>
      </c>
      <c r="G332">
        <v>11.468648560757982</v>
      </c>
      <c r="H332">
        <v>32</v>
      </c>
      <c r="I332">
        <v>75</v>
      </c>
      <c r="J332">
        <v>0</v>
      </c>
      <c r="K332" s="8">
        <v>7.18</v>
      </c>
      <c r="L332">
        <v>9.5869</v>
      </c>
      <c r="M332">
        <f t="shared" si="4"/>
        <v>10.283100000000005</v>
      </c>
      <c r="N332">
        <v>8.65</v>
      </c>
      <c r="O332" s="8">
        <v>4.8</v>
      </c>
      <c r="P332" s="8">
        <v>0.75800000000000001</v>
      </c>
      <c r="Q332" s="8">
        <v>2.94</v>
      </c>
      <c r="R332" s="8">
        <v>0</v>
      </c>
      <c r="S332" t="s">
        <v>68</v>
      </c>
      <c r="T332">
        <v>51.59</v>
      </c>
      <c r="U332">
        <v>6.21</v>
      </c>
      <c r="V332">
        <v>42.33</v>
      </c>
      <c r="W332">
        <v>67.02</v>
      </c>
      <c r="X332">
        <v>0</v>
      </c>
      <c r="Y332">
        <v>18</v>
      </c>
      <c r="Z332">
        <v>0</v>
      </c>
      <c r="AA332">
        <v>67.781999999999996</v>
      </c>
      <c r="AB332">
        <v>0.67420000000000002</v>
      </c>
      <c r="AC332" t="s">
        <v>128</v>
      </c>
      <c r="AD332" t="s">
        <v>125</v>
      </c>
      <c r="AE332" t="s">
        <v>128</v>
      </c>
      <c r="AF332">
        <v>8</v>
      </c>
      <c r="AG332">
        <v>8</v>
      </c>
      <c r="AH332">
        <v>8</v>
      </c>
      <c r="AI332">
        <v>5</v>
      </c>
      <c r="AJ332">
        <v>6</v>
      </c>
      <c r="AK332">
        <v>7</v>
      </c>
    </row>
    <row r="333" spans="1:37" x14ac:dyDescent="0.3">
      <c r="B333" t="s">
        <v>109</v>
      </c>
      <c r="C333">
        <v>0</v>
      </c>
      <c r="D333">
        <v>0</v>
      </c>
      <c r="E333">
        <v>0</v>
      </c>
      <c r="F333">
        <v>150</v>
      </c>
      <c r="G333">
        <v>0</v>
      </c>
      <c r="H333">
        <v>32</v>
      </c>
      <c r="I333">
        <v>75</v>
      </c>
      <c r="J333">
        <v>0</v>
      </c>
      <c r="K333" s="8">
        <v>6.87</v>
      </c>
      <c r="L333">
        <v>10.027699999999999</v>
      </c>
      <c r="M333">
        <f t="shared" si="4"/>
        <v>17.782300000000006</v>
      </c>
      <c r="N333">
        <v>6.3</v>
      </c>
      <c r="O333" s="8">
        <v>3.45</v>
      </c>
      <c r="P333" s="8">
        <v>0.77</v>
      </c>
      <c r="Q333" s="8">
        <v>2.13</v>
      </c>
      <c r="R333" s="8">
        <f>LOG10(1057*(10^2))</f>
        <v>5.0240749873074266</v>
      </c>
      <c r="S333" t="s">
        <v>127</v>
      </c>
      <c r="T333">
        <v>55.78</v>
      </c>
      <c r="U333">
        <v>6.24</v>
      </c>
      <c r="V333">
        <v>49.74</v>
      </c>
      <c r="W333">
        <v>75</v>
      </c>
      <c r="X333">
        <v>18.899999999999999</v>
      </c>
      <c r="Y333">
        <v>0.8</v>
      </c>
      <c r="Z333">
        <v>-2</v>
      </c>
      <c r="AA333">
        <v>62.99</v>
      </c>
      <c r="AB333">
        <v>0.75449999999999995</v>
      </c>
      <c r="AC333" t="s">
        <v>128</v>
      </c>
      <c r="AD333" t="s">
        <v>125</v>
      </c>
      <c r="AE333" t="s">
        <v>128</v>
      </c>
      <c r="AF333">
        <v>7</v>
      </c>
      <c r="AG333">
        <v>7</v>
      </c>
      <c r="AH333">
        <v>8</v>
      </c>
      <c r="AI333">
        <v>8</v>
      </c>
      <c r="AJ333">
        <v>8</v>
      </c>
      <c r="AK333">
        <v>7</v>
      </c>
    </row>
    <row r="334" spans="1:37" x14ac:dyDescent="0.3">
      <c r="B334" t="s">
        <v>109</v>
      </c>
      <c r="C334">
        <v>0</v>
      </c>
      <c r="D334">
        <v>0</v>
      </c>
      <c r="E334">
        <v>0</v>
      </c>
      <c r="F334">
        <v>150</v>
      </c>
      <c r="G334">
        <v>0</v>
      </c>
      <c r="H334">
        <v>32</v>
      </c>
      <c r="I334">
        <v>75</v>
      </c>
      <c r="J334">
        <v>0</v>
      </c>
      <c r="K334" s="8">
        <v>7.2</v>
      </c>
      <c r="L334">
        <v>1.1186</v>
      </c>
      <c r="M334">
        <f t="shared" si="4"/>
        <v>24.471399999999988</v>
      </c>
      <c r="N334">
        <v>7.98</v>
      </c>
      <c r="O334" s="8">
        <v>3.06</v>
      </c>
      <c r="P334" s="8">
        <v>0.86</v>
      </c>
      <c r="Q334" s="8">
        <v>2.98</v>
      </c>
      <c r="R334" s="8">
        <f>LOG10(153*(10^2))</f>
        <v>4.1846914308175984</v>
      </c>
      <c r="S334" t="s">
        <v>127</v>
      </c>
      <c r="T334">
        <v>55.78</v>
      </c>
      <c r="U334">
        <v>6.24</v>
      </c>
      <c r="V334">
        <v>49.77</v>
      </c>
      <c r="W334">
        <v>75.010000000000005</v>
      </c>
      <c r="X334">
        <v>18.8</v>
      </c>
      <c r="Y334">
        <v>0.4</v>
      </c>
      <c r="Z334">
        <v>-1</v>
      </c>
      <c r="AA334">
        <v>62.59</v>
      </c>
      <c r="AB334">
        <v>0.75449999999999995</v>
      </c>
      <c r="AC334" t="s">
        <v>128</v>
      </c>
      <c r="AD334" t="s">
        <v>125</v>
      </c>
      <c r="AE334" t="s">
        <v>128</v>
      </c>
      <c r="AF334">
        <v>8</v>
      </c>
      <c r="AG334">
        <v>8</v>
      </c>
      <c r="AH334">
        <v>9</v>
      </c>
      <c r="AI334">
        <v>7</v>
      </c>
      <c r="AJ334">
        <v>9</v>
      </c>
      <c r="AK334">
        <v>8</v>
      </c>
    </row>
    <row r="335" spans="1:37" x14ac:dyDescent="0.3">
      <c r="B335" t="s">
        <v>109</v>
      </c>
      <c r="C335">
        <v>0</v>
      </c>
      <c r="D335">
        <v>0</v>
      </c>
      <c r="E335">
        <v>0</v>
      </c>
      <c r="F335">
        <v>150</v>
      </c>
      <c r="G335">
        <v>0</v>
      </c>
      <c r="H335">
        <v>32</v>
      </c>
      <c r="I335">
        <v>75</v>
      </c>
      <c r="J335">
        <v>0</v>
      </c>
      <c r="K335" s="8">
        <v>6.91</v>
      </c>
      <c r="L335">
        <v>10.638400000000001</v>
      </c>
      <c r="M335">
        <f t="shared" si="4"/>
        <v>18.791600000000003</v>
      </c>
      <c r="N335">
        <v>3.8</v>
      </c>
      <c r="O335" s="8">
        <v>3.93</v>
      </c>
      <c r="P335" s="8">
        <v>1.73</v>
      </c>
      <c r="Q335" s="8">
        <v>3.05</v>
      </c>
      <c r="R335" s="8">
        <v>0</v>
      </c>
      <c r="S335" t="s">
        <v>127</v>
      </c>
      <c r="T335">
        <v>55.76</v>
      </c>
      <c r="U335">
        <v>6.24</v>
      </c>
      <c r="V335">
        <v>49.77</v>
      </c>
      <c r="W335">
        <v>75</v>
      </c>
      <c r="X335">
        <v>18.8</v>
      </c>
      <c r="Y335">
        <v>0.3</v>
      </c>
      <c r="Z335">
        <v>-2</v>
      </c>
      <c r="AA335">
        <v>61.99</v>
      </c>
      <c r="AB335">
        <v>0.75449999999999995</v>
      </c>
      <c r="AC335" t="s">
        <v>128</v>
      </c>
      <c r="AD335" t="s">
        <v>125</v>
      </c>
      <c r="AE335" t="s">
        <v>128</v>
      </c>
      <c r="AF335">
        <v>9</v>
      </c>
      <c r="AG335">
        <v>7</v>
      </c>
      <c r="AH335">
        <v>9</v>
      </c>
      <c r="AI335">
        <v>9</v>
      </c>
      <c r="AJ335">
        <v>8</v>
      </c>
      <c r="AK335">
        <v>9</v>
      </c>
    </row>
    <row r="336" spans="1:37" x14ac:dyDescent="0.3">
      <c r="B336" t="s">
        <v>109</v>
      </c>
      <c r="C336">
        <v>0</v>
      </c>
      <c r="D336">
        <v>0</v>
      </c>
      <c r="E336">
        <v>0</v>
      </c>
      <c r="F336">
        <v>150</v>
      </c>
      <c r="G336">
        <v>0</v>
      </c>
      <c r="H336">
        <v>32</v>
      </c>
      <c r="I336">
        <v>75</v>
      </c>
      <c r="J336">
        <v>0</v>
      </c>
      <c r="K336" s="8">
        <v>7.0333333333333297</v>
      </c>
      <c r="L336">
        <v>10.11477</v>
      </c>
      <c r="M336">
        <f t="shared" si="4"/>
        <v>11.085229999999981</v>
      </c>
      <c r="N336">
        <v>6.53</v>
      </c>
      <c r="O336" s="8">
        <v>4.2300000000000004</v>
      </c>
      <c r="P336" s="8">
        <v>1.64</v>
      </c>
      <c r="Q336" s="8">
        <v>2.15</v>
      </c>
      <c r="R336" s="8">
        <f>LOG10(201*(10^2))</f>
        <v>4.3031960574204886</v>
      </c>
      <c r="S336" t="s">
        <v>127</v>
      </c>
      <c r="T336">
        <v>55.4</v>
      </c>
      <c r="U336">
        <v>7.6</v>
      </c>
      <c r="V336">
        <v>51.09</v>
      </c>
      <c r="W336">
        <v>75.739999999999995</v>
      </c>
      <c r="X336">
        <v>18.733333333333299</v>
      </c>
      <c r="Y336">
        <v>2.2204460492503101E-16</v>
      </c>
      <c r="Z336">
        <v>-1.6666666666666701</v>
      </c>
      <c r="AA336">
        <v>68.48</v>
      </c>
      <c r="AB336">
        <v>0.75449999999999995</v>
      </c>
      <c r="AC336" t="s">
        <v>128</v>
      </c>
      <c r="AD336" t="s">
        <v>125</v>
      </c>
      <c r="AE336" t="s">
        <v>128</v>
      </c>
      <c r="AF336">
        <v>8</v>
      </c>
      <c r="AG336">
        <v>8</v>
      </c>
      <c r="AH336">
        <v>9</v>
      </c>
      <c r="AI336">
        <v>8</v>
      </c>
      <c r="AJ336">
        <v>9</v>
      </c>
      <c r="AK336">
        <v>8</v>
      </c>
    </row>
    <row r="337" spans="2:37" x14ac:dyDescent="0.3">
      <c r="B337" t="s">
        <v>109</v>
      </c>
      <c r="C337">
        <v>0</v>
      </c>
      <c r="D337">
        <v>0</v>
      </c>
      <c r="E337">
        <v>0</v>
      </c>
      <c r="F337">
        <v>150</v>
      </c>
      <c r="G337">
        <v>0</v>
      </c>
      <c r="H337">
        <v>32</v>
      </c>
      <c r="I337">
        <v>75</v>
      </c>
      <c r="J337">
        <v>0</v>
      </c>
      <c r="K337" s="8">
        <v>7.0533333333333301</v>
      </c>
      <c r="L337">
        <v>9.2563999999999993</v>
      </c>
      <c r="M337">
        <f t="shared" si="4"/>
        <v>17.023599999999988</v>
      </c>
      <c r="N337">
        <v>2.56</v>
      </c>
      <c r="O337" s="8">
        <v>3.46</v>
      </c>
      <c r="P337" s="8">
        <v>1.44</v>
      </c>
      <c r="Q337" s="8">
        <v>2.4300000000000002</v>
      </c>
      <c r="R337" s="8">
        <f>LOG10(2053*(10^2))</f>
        <v>5.3123889493705923</v>
      </c>
      <c r="S337" t="s">
        <v>127</v>
      </c>
      <c r="T337">
        <v>55.4</v>
      </c>
      <c r="U337">
        <v>7.59</v>
      </c>
      <c r="V337">
        <v>51.08</v>
      </c>
      <c r="W337">
        <v>75.739999999999995</v>
      </c>
      <c r="X337">
        <v>18.683333333333302</v>
      </c>
      <c r="Y337">
        <v>-0.25</v>
      </c>
      <c r="Z337">
        <v>-1.6666666666666701</v>
      </c>
      <c r="AA337">
        <v>67.290000000000006</v>
      </c>
      <c r="AB337">
        <v>0.75449999999999995</v>
      </c>
      <c r="AC337" t="s">
        <v>128</v>
      </c>
      <c r="AD337" t="s">
        <v>125</v>
      </c>
      <c r="AE337" t="s">
        <v>128</v>
      </c>
      <c r="AF337">
        <v>7</v>
      </c>
      <c r="AG337">
        <v>7</v>
      </c>
      <c r="AH337">
        <v>8</v>
      </c>
      <c r="AI337">
        <v>7</v>
      </c>
      <c r="AJ337">
        <v>8</v>
      </c>
      <c r="AK337">
        <v>7</v>
      </c>
    </row>
    <row r="338" spans="2:37" x14ac:dyDescent="0.3">
      <c r="B338" t="s">
        <v>109</v>
      </c>
      <c r="C338">
        <v>0</v>
      </c>
      <c r="D338">
        <v>0</v>
      </c>
      <c r="E338">
        <v>0</v>
      </c>
      <c r="F338">
        <v>150</v>
      </c>
      <c r="G338">
        <v>0</v>
      </c>
      <c r="H338">
        <v>32</v>
      </c>
      <c r="I338">
        <v>75</v>
      </c>
      <c r="J338">
        <v>0</v>
      </c>
      <c r="K338" s="8">
        <v>7.0733333333333297</v>
      </c>
      <c r="L338">
        <v>9.8230000000000004</v>
      </c>
      <c r="M338">
        <f t="shared" si="4"/>
        <v>13.716999999999999</v>
      </c>
      <c r="N338">
        <v>4.8899999999999997</v>
      </c>
      <c r="O338" s="8">
        <v>3.96</v>
      </c>
      <c r="P338" s="8">
        <v>1.1100000000000001</v>
      </c>
      <c r="Q338" s="8">
        <v>1.98</v>
      </c>
      <c r="R338" s="8">
        <f>LOG10(6166*(10^2))</f>
        <v>5.7900035203904894</v>
      </c>
      <c r="S338" t="s">
        <v>127</v>
      </c>
      <c r="T338">
        <v>55.39</v>
      </c>
      <c r="U338">
        <v>7.61</v>
      </c>
      <c r="V338">
        <v>51.13</v>
      </c>
      <c r="W338">
        <v>75.760000000000005</v>
      </c>
      <c r="X338">
        <v>18.633333333333301</v>
      </c>
      <c r="Y338">
        <v>-0.5</v>
      </c>
      <c r="Z338">
        <v>-1.6666666666666701</v>
      </c>
      <c r="AA338">
        <v>68.48</v>
      </c>
      <c r="AB338">
        <v>0.75449999999999995</v>
      </c>
      <c r="AC338" t="s">
        <v>128</v>
      </c>
      <c r="AD338" t="s">
        <v>125</v>
      </c>
      <c r="AE338" t="s">
        <v>128</v>
      </c>
      <c r="AF338">
        <v>9</v>
      </c>
      <c r="AG338">
        <v>8</v>
      </c>
      <c r="AH338">
        <v>8</v>
      </c>
      <c r="AI338">
        <v>8</v>
      </c>
      <c r="AJ338">
        <v>9</v>
      </c>
      <c r="AK338">
        <v>8</v>
      </c>
    </row>
    <row r="339" spans="2:37" x14ac:dyDescent="0.3">
      <c r="B339" t="s">
        <v>141</v>
      </c>
      <c r="C339">
        <v>116</v>
      </c>
      <c r="D339">
        <v>20</v>
      </c>
      <c r="E339">
        <v>25</v>
      </c>
      <c r="F339">
        <v>150</v>
      </c>
      <c r="G339">
        <v>11.468648560757982</v>
      </c>
      <c r="H339">
        <v>32</v>
      </c>
      <c r="I339">
        <v>75</v>
      </c>
      <c r="J339">
        <v>10</v>
      </c>
      <c r="K339" s="8">
        <v>6.59</v>
      </c>
      <c r="N339">
        <v>1.33</v>
      </c>
      <c r="O339" s="8">
        <v>6.1</v>
      </c>
      <c r="R339" s="8">
        <v>0</v>
      </c>
      <c r="S339" t="s">
        <v>68</v>
      </c>
      <c r="T339">
        <v>51.24</v>
      </c>
      <c r="U339">
        <v>6.66</v>
      </c>
      <c r="V339">
        <v>36.75</v>
      </c>
      <c r="W339">
        <v>63.41</v>
      </c>
      <c r="X339">
        <v>4.2000000000000003E-2</v>
      </c>
      <c r="Y339">
        <v>16.5</v>
      </c>
      <c r="Z339">
        <v>1</v>
      </c>
      <c r="AA339">
        <v>57.89</v>
      </c>
      <c r="AC339" t="s">
        <v>128</v>
      </c>
      <c r="AD339" t="s">
        <v>127</v>
      </c>
      <c r="AE339" t="s">
        <v>128</v>
      </c>
      <c r="AF339">
        <v>6</v>
      </c>
      <c r="AG339">
        <v>9</v>
      </c>
      <c r="AH339">
        <v>8</v>
      </c>
      <c r="AI339">
        <v>8</v>
      </c>
      <c r="AJ339">
        <v>7</v>
      </c>
      <c r="AK339">
        <v>7</v>
      </c>
    </row>
    <row r="340" spans="2:37" x14ac:dyDescent="0.3">
      <c r="B340" t="s">
        <v>141</v>
      </c>
      <c r="C340">
        <v>116</v>
      </c>
      <c r="D340">
        <v>20</v>
      </c>
      <c r="E340">
        <v>25</v>
      </c>
      <c r="F340">
        <v>150</v>
      </c>
      <c r="G340">
        <v>11.468648560757982</v>
      </c>
      <c r="H340">
        <v>32</v>
      </c>
      <c r="I340">
        <v>75</v>
      </c>
      <c r="J340">
        <v>10</v>
      </c>
      <c r="K340" s="8">
        <v>6.63</v>
      </c>
      <c r="N340">
        <v>1.56</v>
      </c>
      <c r="O340" s="8">
        <v>5.25</v>
      </c>
      <c r="R340" s="8">
        <v>0</v>
      </c>
      <c r="S340" t="s">
        <v>68</v>
      </c>
      <c r="T340">
        <v>51.27</v>
      </c>
      <c r="U340">
        <v>6.66</v>
      </c>
      <c r="V340">
        <v>36.74</v>
      </c>
      <c r="W340">
        <v>63.42</v>
      </c>
      <c r="X340">
        <v>0.59</v>
      </c>
      <c r="Y340">
        <v>16.2</v>
      </c>
      <c r="Z340">
        <v>1</v>
      </c>
      <c r="AA340">
        <v>58.99</v>
      </c>
      <c r="AC340" t="s">
        <v>128</v>
      </c>
      <c r="AD340" t="s">
        <v>127</v>
      </c>
      <c r="AE340" t="s">
        <v>128</v>
      </c>
      <c r="AF340">
        <v>7</v>
      </c>
      <c r="AG340">
        <v>7</v>
      </c>
      <c r="AH340">
        <v>8</v>
      </c>
      <c r="AI340">
        <v>5</v>
      </c>
      <c r="AJ340">
        <v>5</v>
      </c>
      <c r="AK340">
        <v>6</v>
      </c>
    </row>
    <row r="341" spans="2:37" x14ac:dyDescent="0.3">
      <c r="B341" t="s">
        <v>141</v>
      </c>
      <c r="C341">
        <v>116</v>
      </c>
      <c r="D341">
        <v>20</v>
      </c>
      <c r="E341">
        <v>25</v>
      </c>
      <c r="F341">
        <v>150</v>
      </c>
      <c r="G341">
        <v>11.468648560757982</v>
      </c>
      <c r="H341">
        <v>32</v>
      </c>
      <c r="I341">
        <v>75</v>
      </c>
      <c r="J341">
        <v>10</v>
      </c>
      <c r="K341" s="8">
        <v>6.29</v>
      </c>
      <c r="N341">
        <v>1.27</v>
      </c>
      <c r="O341" s="8">
        <v>6.85</v>
      </c>
      <c r="R341" s="8">
        <v>0</v>
      </c>
      <c r="S341" t="s">
        <v>68</v>
      </c>
      <c r="T341">
        <v>51.28</v>
      </c>
      <c r="U341">
        <v>6.67</v>
      </c>
      <c r="V341">
        <v>36.71</v>
      </c>
      <c r="W341">
        <v>63.41</v>
      </c>
      <c r="X341">
        <v>1.55</v>
      </c>
      <c r="Y341">
        <v>15.5</v>
      </c>
      <c r="Z341">
        <v>0</v>
      </c>
      <c r="AA341">
        <v>58.49</v>
      </c>
      <c r="AC341" t="s">
        <v>128</v>
      </c>
      <c r="AD341" t="s">
        <v>127</v>
      </c>
      <c r="AE341" t="s">
        <v>128</v>
      </c>
      <c r="AF341">
        <v>6</v>
      </c>
      <c r="AG341">
        <v>8</v>
      </c>
      <c r="AH341">
        <v>7</v>
      </c>
      <c r="AI341">
        <v>7</v>
      </c>
      <c r="AJ341">
        <v>6</v>
      </c>
      <c r="AK341">
        <v>7</v>
      </c>
    </row>
    <row r="342" spans="2:37" x14ac:dyDescent="0.3">
      <c r="B342" t="s">
        <v>142</v>
      </c>
      <c r="C342">
        <v>0</v>
      </c>
      <c r="D342">
        <v>0</v>
      </c>
      <c r="E342">
        <v>0</v>
      </c>
      <c r="F342">
        <v>150</v>
      </c>
      <c r="G342">
        <v>0</v>
      </c>
      <c r="H342">
        <v>32</v>
      </c>
      <c r="I342">
        <v>75</v>
      </c>
      <c r="J342">
        <v>10</v>
      </c>
      <c r="K342" s="8">
        <v>4.8899999999999997</v>
      </c>
      <c r="N342">
        <v>1.89</v>
      </c>
      <c r="O342" s="8">
        <v>7.8</v>
      </c>
      <c r="R342" s="11">
        <f>LOG10(205*(10^6))</f>
        <v>8.3117538610557542</v>
      </c>
      <c r="S342" t="s">
        <v>208</v>
      </c>
      <c r="T342">
        <v>58.5</v>
      </c>
      <c r="U342">
        <v>6.89</v>
      </c>
      <c r="V342">
        <v>52.93</v>
      </c>
      <c r="W342">
        <v>79.19</v>
      </c>
      <c r="X342">
        <v>0</v>
      </c>
      <c r="Y342">
        <v>36.299999999999997</v>
      </c>
      <c r="Z342">
        <v>1</v>
      </c>
      <c r="AA342">
        <v>54.8</v>
      </c>
      <c r="AC342" t="s">
        <v>143</v>
      </c>
      <c r="AD342" t="s">
        <v>69</v>
      </c>
      <c r="AE342" t="s">
        <v>203</v>
      </c>
      <c r="AF342">
        <v>1</v>
      </c>
      <c r="AG342">
        <v>2</v>
      </c>
      <c r="AH342">
        <v>5</v>
      </c>
      <c r="AI342" t="s">
        <v>213</v>
      </c>
      <c r="AJ342">
        <v>1</v>
      </c>
      <c r="AK342">
        <v>1</v>
      </c>
    </row>
    <row r="343" spans="2:37" x14ac:dyDescent="0.3">
      <c r="B343" t="s">
        <v>142</v>
      </c>
      <c r="C343">
        <v>0</v>
      </c>
      <c r="D343">
        <v>0</v>
      </c>
      <c r="E343">
        <v>0</v>
      </c>
      <c r="F343">
        <v>150</v>
      </c>
      <c r="G343">
        <v>0</v>
      </c>
      <c r="H343">
        <v>32</v>
      </c>
      <c r="I343">
        <v>75</v>
      </c>
      <c r="J343">
        <v>10</v>
      </c>
      <c r="K343" s="8">
        <v>4.5999999999999996</v>
      </c>
      <c r="N343">
        <v>1.78</v>
      </c>
      <c r="O343" s="8">
        <v>11.48</v>
      </c>
      <c r="R343" s="11">
        <f>LOG10(233*(10^7))</f>
        <v>9.3673559210260198</v>
      </c>
      <c r="S343" t="s">
        <v>208</v>
      </c>
      <c r="T343">
        <v>58.53</v>
      </c>
      <c r="U343">
        <v>6.89</v>
      </c>
      <c r="V343">
        <v>52.85</v>
      </c>
      <c r="W343">
        <v>79.16</v>
      </c>
      <c r="X343">
        <v>0</v>
      </c>
      <c r="Y343">
        <v>39.1</v>
      </c>
      <c r="Z343">
        <v>1</v>
      </c>
      <c r="AA343">
        <v>54.56</v>
      </c>
      <c r="AC343" t="s">
        <v>143</v>
      </c>
      <c r="AD343" t="s">
        <v>69</v>
      </c>
      <c r="AE343" t="s">
        <v>203</v>
      </c>
      <c r="AF343">
        <v>2</v>
      </c>
      <c r="AG343">
        <v>1</v>
      </c>
      <c r="AH343">
        <v>5</v>
      </c>
      <c r="AI343" t="s">
        <v>213</v>
      </c>
      <c r="AJ343">
        <v>2</v>
      </c>
      <c r="AK343">
        <v>1</v>
      </c>
    </row>
    <row r="344" spans="2:37" x14ac:dyDescent="0.3">
      <c r="B344" t="s">
        <v>142</v>
      </c>
      <c r="C344">
        <v>0</v>
      </c>
      <c r="D344">
        <v>0</v>
      </c>
      <c r="E344">
        <v>0</v>
      </c>
      <c r="F344">
        <v>150</v>
      </c>
      <c r="G344">
        <v>0</v>
      </c>
      <c r="H344">
        <v>32</v>
      </c>
      <c r="I344">
        <v>75</v>
      </c>
      <c r="J344">
        <v>10</v>
      </c>
      <c r="K344" s="8">
        <v>4.6100000000000003</v>
      </c>
      <c r="N344">
        <v>1.56</v>
      </c>
      <c r="O344" s="8">
        <v>6.76</v>
      </c>
      <c r="R344" s="11">
        <f>LOG10(203*(10^6))</f>
        <v>8.3074960379132126</v>
      </c>
      <c r="S344" t="s">
        <v>208</v>
      </c>
      <c r="T344">
        <v>58.53</v>
      </c>
      <c r="U344">
        <v>6.9</v>
      </c>
      <c r="V344">
        <v>52.78</v>
      </c>
      <c r="W344">
        <v>79.12</v>
      </c>
      <c r="X344">
        <v>0</v>
      </c>
      <c r="Y344">
        <v>39.9</v>
      </c>
      <c r="Z344">
        <v>0</v>
      </c>
      <c r="AA344">
        <v>54.89</v>
      </c>
      <c r="AC344" t="s">
        <v>143</v>
      </c>
      <c r="AD344" t="s">
        <v>69</v>
      </c>
      <c r="AE344" t="s">
        <v>203</v>
      </c>
      <c r="AF344">
        <v>1</v>
      </c>
      <c r="AG344">
        <v>3</v>
      </c>
      <c r="AH344">
        <v>6</v>
      </c>
      <c r="AI344" t="s">
        <v>213</v>
      </c>
      <c r="AJ344">
        <v>1</v>
      </c>
      <c r="AK344">
        <v>1</v>
      </c>
    </row>
    <row r="345" spans="2:37" x14ac:dyDescent="0.3">
      <c r="B345" t="s">
        <v>142</v>
      </c>
      <c r="C345">
        <v>0</v>
      </c>
      <c r="D345">
        <v>0</v>
      </c>
      <c r="E345">
        <v>0</v>
      </c>
      <c r="F345">
        <v>150</v>
      </c>
      <c r="G345">
        <v>0</v>
      </c>
      <c r="H345">
        <v>32</v>
      </c>
      <c r="I345">
        <v>75</v>
      </c>
      <c r="J345">
        <v>13</v>
      </c>
      <c r="K345" s="8">
        <v>4.5599999999999996</v>
      </c>
      <c r="N345">
        <v>2.2999999999999998</v>
      </c>
      <c r="O345" s="8">
        <v>11.9</v>
      </c>
      <c r="R345" s="10">
        <f>LOG10(47*(10^8))</f>
        <v>9.672097857935718</v>
      </c>
      <c r="S345" t="s">
        <v>208</v>
      </c>
      <c r="T345">
        <v>58.55</v>
      </c>
      <c r="U345">
        <v>6.9033333333333298</v>
      </c>
      <c r="V345">
        <v>52.703333333333298</v>
      </c>
      <c r="W345">
        <v>79.086666666666702</v>
      </c>
      <c r="X345">
        <v>0</v>
      </c>
      <c r="Y345">
        <v>42.033333333333303</v>
      </c>
      <c r="Z345">
        <v>-0.33333333333333298</v>
      </c>
      <c r="AA345">
        <v>66.73</v>
      </c>
      <c r="AC345" t="s">
        <v>143</v>
      </c>
      <c r="AD345" t="s">
        <v>69</v>
      </c>
      <c r="AE345" t="s">
        <v>203</v>
      </c>
      <c r="AF345">
        <v>5</v>
      </c>
      <c r="AG345">
        <v>3</v>
      </c>
      <c r="AH345">
        <v>3</v>
      </c>
      <c r="AI345" t="s">
        <v>213</v>
      </c>
      <c r="AJ345">
        <v>4</v>
      </c>
      <c r="AK345">
        <v>2</v>
      </c>
    </row>
    <row r="346" spans="2:37" x14ac:dyDescent="0.3">
      <c r="B346" t="s">
        <v>142</v>
      </c>
      <c r="C346">
        <v>0</v>
      </c>
      <c r="D346">
        <v>0</v>
      </c>
      <c r="E346">
        <v>0</v>
      </c>
      <c r="F346">
        <v>150</v>
      </c>
      <c r="G346">
        <v>0</v>
      </c>
      <c r="H346">
        <v>32</v>
      </c>
      <c r="I346">
        <v>75</v>
      </c>
      <c r="J346">
        <v>13</v>
      </c>
      <c r="K346" s="8">
        <v>4.8899999999999997</v>
      </c>
      <c r="N346">
        <v>3.2</v>
      </c>
      <c r="O346" s="8">
        <v>10.59</v>
      </c>
      <c r="R346" s="10">
        <f>LOG10(257*(10^8))</f>
        <v>10.409933123331294</v>
      </c>
      <c r="S346" t="s">
        <v>208</v>
      </c>
      <c r="T346">
        <v>58.564999999999998</v>
      </c>
      <c r="U346">
        <v>6.9083333333333297</v>
      </c>
      <c r="V346">
        <v>52.628333333333302</v>
      </c>
      <c r="W346">
        <v>79.051666666666705</v>
      </c>
      <c r="X346">
        <v>0</v>
      </c>
      <c r="Y346">
        <v>43.8333333333333</v>
      </c>
      <c r="Z346">
        <v>-0.83333333333333304</v>
      </c>
      <c r="AA346">
        <v>66.233000000000004</v>
      </c>
      <c r="AC346" t="s">
        <v>143</v>
      </c>
      <c r="AD346" t="s">
        <v>69</v>
      </c>
      <c r="AE346" t="s">
        <v>203</v>
      </c>
      <c r="AF346">
        <v>2</v>
      </c>
      <c r="AG346">
        <v>3</v>
      </c>
      <c r="AH346">
        <v>3</v>
      </c>
      <c r="AI346" t="s">
        <v>213</v>
      </c>
      <c r="AJ346">
        <v>2</v>
      </c>
      <c r="AK346">
        <v>1</v>
      </c>
    </row>
    <row r="347" spans="2:37" x14ac:dyDescent="0.3">
      <c r="B347" t="s">
        <v>142</v>
      </c>
      <c r="C347">
        <v>0</v>
      </c>
      <c r="D347">
        <v>0</v>
      </c>
      <c r="E347">
        <v>0</v>
      </c>
      <c r="F347">
        <v>150</v>
      </c>
      <c r="G347">
        <v>0</v>
      </c>
      <c r="H347">
        <v>32</v>
      </c>
      <c r="I347">
        <v>75</v>
      </c>
      <c r="J347">
        <v>13</v>
      </c>
      <c r="K347" s="8">
        <v>4.91</v>
      </c>
      <c r="N347">
        <v>3.6</v>
      </c>
      <c r="O347" s="8">
        <v>10.55</v>
      </c>
      <c r="R347" s="10">
        <f>LOG10(77*(10^8))</f>
        <v>9.8864907251724823</v>
      </c>
      <c r="S347" t="s">
        <v>208</v>
      </c>
      <c r="T347">
        <v>58.58</v>
      </c>
      <c r="U347">
        <v>6.9133333333333304</v>
      </c>
      <c r="V347">
        <v>52.553333333333299</v>
      </c>
      <c r="W347">
        <v>79.016666666666694</v>
      </c>
      <c r="X347">
        <v>0</v>
      </c>
      <c r="Y347">
        <v>45.633333333333297</v>
      </c>
      <c r="Z347">
        <v>-1.3333333333333299</v>
      </c>
      <c r="AA347">
        <v>66.63</v>
      </c>
      <c r="AC347" t="s">
        <v>143</v>
      </c>
      <c r="AD347" t="s">
        <v>69</v>
      </c>
      <c r="AE347" t="s">
        <v>203</v>
      </c>
      <c r="AF347">
        <v>4</v>
      </c>
      <c r="AG347">
        <v>5</v>
      </c>
      <c r="AH347">
        <v>2</v>
      </c>
      <c r="AI347" t="s">
        <v>213</v>
      </c>
      <c r="AJ347">
        <v>1</v>
      </c>
      <c r="AK347">
        <v>3</v>
      </c>
    </row>
    <row r="348" spans="2:37" x14ac:dyDescent="0.3">
      <c r="B348" t="s">
        <v>204</v>
      </c>
      <c r="C348">
        <v>116</v>
      </c>
      <c r="D348">
        <v>20</v>
      </c>
      <c r="E348">
        <v>25</v>
      </c>
      <c r="F348">
        <v>150</v>
      </c>
      <c r="G348">
        <v>11.468648560758</v>
      </c>
      <c r="H348">
        <v>55</v>
      </c>
      <c r="I348">
        <v>75</v>
      </c>
      <c r="J348">
        <v>3</v>
      </c>
      <c r="K348" s="8">
        <v>6.51</v>
      </c>
      <c r="N348">
        <v>2.6</v>
      </c>
      <c r="O348" s="8">
        <v>6.05</v>
      </c>
      <c r="R348" s="8">
        <v>0</v>
      </c>
      <c r="S348" t="s">
        <v>68</v>
      </c>
      <c r="AC348" t="s">
        <v>128</v>
      </c>
      <c r="AD348" t="s">
        <v>127</v>
      </c>
      <c r="AE348" t="s">
        <v>128</v>
      </c>
      <c r="AF348">
        <v>8</v>
      </c>
      <c r="AG348">
        <v>7</v>
      </c>
      <c r="AH348">
        <v>8</v>
      </c>
      <c r="AI348">
        <v>8</v>
      </c>
      <c r="AJ348">
        <v>8</v>
      </c>
      <c r="AK348">
        <v>7</v>
      </c>
    </row>
    <row r="349" spans="2:37" x14ac:dyDescent="0.3">
      <c r="B349" t="s">
        <v>204</v>
      </c>
      <c r="C349">
        <v>116</v>
      </c>
      <c r="D349">
        <v>20</v>
      </c>
      <c r="E349">
        <v>25</v>
      </c>
      <c r="F349">
        <v>150</v>
      </c>
      <c r="G349">
        <v>11.468648560758</v>
      </c>
      <c r="H349">
        <v>55</v>
      </c>
      <c r="I349">
        <v>75</v>
      </c>
      <c r="J349">
        <v>3</v>
      </c>
      <c r="K349" s="8">
        <v>6.48</v>
      </c>
      <c r="N349">
        <v>3.5</v>
      </c>
      <c r="O349" s="8">
        <v>5.78</v>
      </c>
      <c r="R349" s="8">
        <v>0</v>
      </c>
      <c r="S349" t="s">
        <v>68</v>
      </c>
      <c r="AC349" t="s">
        <v>128</v>
      </c>
      <c r="AD349" t="s">
        <v>127</v>
      </c>
      <c r="AE349" t="s">
        <v>128</v>
      </c>
      <c r="AF349">
        <v>7</v>
      </c>
      <c r="AG349">
        <v>8</v>
      </c>
      <c r="AH349">
        <v>7</v>
      </c>
      <c r="AI349">
        <v>7</v>
      </c>
      <c r="AJ349">
        <v>7</v>
      </c>
      <c r="AK349">
        <v>8</v>
      </c>
    </row>
    <row r="350" spans="2:37" x14ac:dyDescent="0.3">
      <c r="B350" t="s">
        <v>204</v>
      </c>
      <c r="C350">
        <v>116</v>
      </c>
      <c r="D350">
        <v>20</v>
      </c>
      <c r="E350">
        <v>25</v>
      </c>
      <c r="F350">
        <v>150</v>
      </c>
      <c r="G350">
        <v>11.468648560758</v>
      </c>
      <c r="H350">
        <v>55</v>
      </c>
      <c r="I350">
        <v>75</v>
      </c>
      <c r="J350">
        <v>3</v>
      </c>
      <c r="K350" s="8">
        <v>6.53</v>
      </c>
      <c r="N350">
        <v>2.4</v>
      </c>
      <c r="O350" s="8">
        <v>5.45</v>
      </c>
      <c r="R350" s="8">
        <v>0</v>
      </c>
      <c r="S350" t="s">
        <v>68</v>
      </c>
      <c r="AC350" t="s">
        <v>128</v>
      </c>
      <c r="AD350" t="s">
        <v>127</v>
      </c>
      <c r="AE350" t="s">
        <v>128</v>
      </c>
      <c r="AF350">
        <v>9</v>
      </c>
      <c r="AG350">
        <v>9</v>
      </c>
      <c r="AH350">
        <v>8</v>
      </c>
      <c r="AI350">
        <v>8</v>
      </c>
      <c r="AJ350">
        <v>8</v>
      </c>
      <c r="AK350">
        <v>9</v>
      </c>
    </row>
    <row r="351" spans="2:37" x14ac:dyDescent="0.3">
      <c r="B351" t="s">
        <v>181</v>
      </c>
      <c r="C351">
        <v>116</v>
      </c>
      <c r="D351">
        <v>20</v>
      </c>
      <c r="E351">
        <v>25</v>
      </c>
      <c r="F351">
        <v>150</v>
      </c>
      <c r="G351">
        <v>11.468648560758</v>
      </c>
      <c r="H351">
        <v>45</v>
      </c>
      <c r="I351">
        <v>75</v>
      </c>
      <c r="J351">
        <v>5</v>
      </c>
      <c r="K351" s="8">
        <v>6.49</v>
      </c>
      <c r="N351">
        <v>1.56</v>
      </c>
      <c r="O351" s="8">
        <v>6.12</v>
      </c>
      <c r="R351" s="8">
        <v>0</v>
      </c>
      <c r="S351" t="s">
        <v>68</v>
      </c>
      <c r="AC351" t="s">
        <v>128</v>
      </c>
      <c r="AD351" t="s">
        <v>127</v>
      </c>
      <c r="AE351" t="s">
        <v>128</v>
      </c>
      <c r="AF351">
        <v>9</v>
      </c>
      <c r="AG351">
        <v>8</v>
      </c>
      <c r="AH351">
        <v>7</v>
      </c>
      <c r="AI351">
        <v>7</v>
      </c>
      <c r="AJ351">
        <v>7</v>
      </c>
      <c r="AK351">
        <v>8</v>
      </c>
    </row>
    <row r="352" spans="2:37" x14ac:dyDescent="0.3">
      <c r="B352" t="s">
        <v>181</v>
      </c>
      <c r="C352">
        <v>116</v>
      </c>
      <c r="D352">
        <v>20</v>
      </c>
      <c r="E352">
        <v>25</v>
      </c>
      <c r="F352">
        <v>150</v>
      </c>
      <c r="G352">
        <v>11.468648560758</v>
      </c>
      <c r="H352">
        <v>45</v>
      </c>
      <c r="I352">
        <v>75</v>
      </c>
      <c r="J352">
        <v>5</v>
      </c>
      <c r="K352" s="8">
        <v>6.4889999999999999</v>
      </c>
      <c r="N352">
        <v>1.49</v>
      </c>
      <c r="O352" s="8">
        <v>6.08</v>
      </c>
      <c r="R352" s="8">
        <v>0</v>
      </c>
      <c r="S352" t="s">
        <v>68</v>
      </c>
      <c r="AC352" t="s">
        <v>128</v>
      </c>
      <c r="AD352" t="s">
        <v>127</v>
      </c>
      <c r="AE352" t="s">
        <v>128</v>
      </c>
      <c r="AF352">
        <v>8</v>
      </c>
      <c r="AG352">
        <v>9</v>
      </c>
      <c r="AH352">
        <v>8</v>
      </c>
      <c r="AI352">
        <v>9</v>
      </c>
      <c r="AJ352">
        <v>9</v>
      </c>
      <c r="AK352">
        <v>7</v>
      </c>
    </row>
    <row r="353" spans="2:37" x14ac:dyDescent="0.3">
      <c r="B353" t="s">
        <v>181</v>
      </c>
      <c r="C353">
        <v>116</v>
      </c>
      <c r="D353">
        <v>20</v>
      </c>
      <c r="E353">
        <v>25</v>
      </c>
      <c r="F353">
        <v>150</v>
      </c>
      <c r="G353">
        <v>11.468648560758</v>
      </c>
      <c r="H353">
        <v>45</v>
      </c>
      <c r="I353">
        <v>75</v>
      </c>
      <c r="J353">
        <v>5</v>
      </c>
      <c r="K353" s="8">
        <v>6.47</v>
      </c>
      <c r="N353">
        <v>3.56</v>
      </c>
      <c r="O353" s="8">
        <v>6.89</v>
      </c>
      <c r="R353" s="8">
        <v>0</v>
      </c>
      <c r="S353" t="s">
        <v>68</v>
      </c>
      <c r="AC353" t="s">
        <v>128</v>
      </c>
      <c r="AD353" t="s">
        <v>127</v>
      </c>
      <c r="AE353" t="s">
        <v>128</v>
      </c>
      <c r="AF353">
        <v>9</v>
      </c>
      <c r="AG353">
        <v>8</v>
      </c>
      <c r="AH353">
        <v>7</v>
      </c>
      <c r="AI353">
        <v>9</v>
      </c>
      <c r="AJ353">
        <v>8</v>
      </c>
      <c r="AK353">
        <v>8</v>
      </c>
    </row>
    <row r="354" spans="2:37" x14ac:dyDescent="0.3">
      <c r="B354" t="s">
        <v>182</v>
      </c>
      <c r="C354">
        <v>116</v>
      </c>
      <c r="D354">
        <v>20</v>
      </c>
      <c r="E354">
        <v>25</v>
      </c>
      <c r="F354">
        <v>150</v>
      </c>
      <c r="G354">
        <v>11.468648560758</v>
      </c>
      <c r="H354">
        <v>55</v>
      </c>
      <c r="I354">
        <v>75</v>
      </c>
      <c r="J354">
        <v>6</v>
      </c>
      <c r="K354" s="8">
        <v>6.31</v>
      </c>
      <c r="N354">
        <v>3.4</v>
      </c>
      <c r="O354" s="8">
        <v>6.15</v>
      </c>
      <c r="R354" s="8">
        <v>0</v>
      </c>
      <c r="S354" t="s">
        <v>68</v>
      </c>
      <c r="AC354" t="s">
        <v>128</v>
      </c>
      <c r="AD354" t="s">
        <v>127</v>
      </c>
      <c r="AE354" t="s">
        <v>128</v>
      </c>
      <c r="AF354">
        <v>8</v>
      </c>
      <c r="AG354">
        <v>7</v>
      </c>
      <c r="AH354">
        <v>8</v>
      </c>
      <c r="AI354">
        <v>8</v>
      </c>
      <c r="AJ354">
        <v>8</v>
      </c>
      <c r="AK354">
        <v>9</v>
      </c>
    </row>
    <row r="355" spans="2:37" x14ac:dyDescent="0.3">
      <c r="B355" t="s">
        <v>182</v>
      </c>
      <c r="C355">
        <v>116</v>
      </c>
      <c r="D355">
        <v>20</v>
      </c>
      <c r="E355">
        <v>25</v>
      </c>
      <c r="F355">
        <v>150</v>
      </c>
      <c r="G355">
        <v>11.468648560758</v>
      </c>
      <c r="H355">
        <v>55</v>
      </c>
      <c r="I355">
        <v>75</v>
      </c>
      <c r="J355">
        <v>6</v>
      </c>
      <c r="K355" s="8">
        <v>6.32</v>
      </c>
      <c r="N355">
        <v>4.5999999999999996</v>
      </c>
      <c r="O355" s="8">
        <v>6.05</v>
      </c>
      <c r="R355" s="8">
        <v>0</v>
      </c>
      <c r="S355" t="s">
        <v>68</v>
      </c>
      <c r="AC355" t="s">
        <v>128</v>
      </c>
      <c r="AD355" t="s">
        <v>127</v>
      </c>
      <c r="AE355" t="s">
        <v>128</v>
      </c>
      <c r="AF355">
        <v>7</v>
      </c>
      <c r="AG355">
        <v>9</v>
      </c>
      <c r="AH355">
        <v>8</v>
      </c>
      <c r="AI355">
        <v>9</v>
      </c>
      <c r="AJ355">
        <v>9</v>
      </c>
      <c r="AK355">
        <v>8</v>
      </c>
    </row>
    <row r="356" spans="2:37" x14ac:dyDescent="0.3">
      <c r="B356" t="s">
        <v>182</v>
      </c>
      <c r="C356">
        <v>116</v>
      </c>
      <c r="D356">
        <v>20</v>
      </c>
      <c r="E356">
        <v>25</v>
      </c>
      <c r="F356">
        <v>150</v>
      </c>
      <c r="G356">
        <v>11.468648560758</v>
      </c>
      <c r="H356">
        <v>55</v>
      </c>
      <c r="I356">
        <v>75</v>
      </c>
      <c r="J356">
        <v>6</v>
      </c>
      <c r="K356" s="8">
        <v>6.49</v>
      </c>
      <c r="N356">
        <v>4.2</v>
      </c>
      <c r="O356" s="8">
        <v>5.05</v>
      </c>
      <c r="R356" s="8">
        <v>0</v>
      </c>
      <c r="S356" t="s">
        <v>68</v>
      </c>
      <c r="AC356" t="s">
        <v>128</v>
      </c>
      <c r="AD356" t="s">
        <v>127</v>
      </c>
      <c r="AE356" t="s">
        <v>128</v>
      </c>
      <c r="AF356">
        <v>8</v>
      </c>
      <c r="AG356">
        <v>8</v>
      </c>
      <c r="AH356">
        <v>9</v>
      </c>
      <c r="AI356">
        <v>8</v>
      </c>
      <c r="AJ356">
        <v>8</v>
      </c>
      <c r="AK356">
        <v>7</v>
      </c>
    </row>
    <row r="357" spans="2:37" x14ac:dyDescent="0.3">
      <c r="B357" t="s">
        <v>183</v>
      </c>
      <c r="C357">
        <v>116</v>
      </c>
      <c r="D357">
        <v>20</v>
      </c>
      <c r="E357">
        <v>25</v>
      </c>
      <c r="F357">
        <v>150</v>
      </c>
      <c r="G357">
        <v>11.468648560758</v>
      </c>
      <c r="H357">
        <v>32</v>
      </c>
      <c r="I357">
        <v>75</v>
      </c>
      <c r="J357">
        <v>7</v>
      </c>
      <c r="K357" s="8">
        <v>6.69</v>
      </c>
      <c r="N357">
        <v>3.5</v>
      </c>
      <c r="O357" s="8">
        <v>5.0999999999999996</v>
      </c>
      <c r="R357" s="8">
        <v>0</v>
      </c>
      <c r="S357" t="s">
        <v>68</v>
      </c>
      <c r="AC357" t="s">
        <v>128</v>
      </c>
      <c r="AD357" t="s">
        <v>127</v>
      </c>
      <c r="AE357" t="s">
        <v>128</v>
      </c>
      <c r="AF357">
        <v>9</v>
      </c>
      <c r="AG357">
        <v>7</v>
      </c>
      <c r="AH357">
        <v>8</v>
      </c>
      <c r="AI357">
        <v>9</v>
      </c>
      <c r="AJ357">
        <v>7</v>
      </c>
      <c r="AK357">
        <v>8</v>
      </c>
    </row>
    <row r="358" spans="2:37" x14ac:dyDescent="0.3">
      <c r="B358" t="s">
        <v>183</v>
      </c>
      <c r="C358">
        <v>116</v>
      </c>
      <c r="D358">
        <v>20</v>
      </c>
      <c r="E358">
        <v>25</v>
      </c>
      <c r="F358">
        <v>150</v>
      </c>
      <c r="G358">
        <v>11.468648560758</v>
      </c>
      <c r="H358">
        <v>32</v>
      </c>
      <c r="I358">
        <v>75</v>
      </c>
      <c r="J358">
        <v>7</v>
      </c>
      <c r="K358" s="8">
        <v>6.65</v>
      </c>
      <c r="N358">
        <v>3.6</v>
      </c>
      <c r="O358" s="8">
        <v>6.24</v>
      </c>
      <c r="R358" s="8">
        <v>0</v>
      </c>
      <c r="S358" t="s">
        <v>68</v>
      </c>
      <c r="AC358" t="s">
        <v>128</v>
      </c>
      <c r="AD358" t="s">
        <v>127</v>
      </c>
      <c r="AE358" t="s">
        <v>128</v>
      </c>
      <c r="AF358">
        <v>8</v>
      </c>
      <c r="AG358">
        <v>8</v>
      </c>
      <c r="AH358">
        <v>8</v>
      </c>
      <c r="AI358">
        <v>7</v>
      </c>
      <c r="AJ358">
        <v>8</v>
      </c>
      <c r="AK358">
        <v>9</v>
      </c>
    </row>
    <row r="359" spans="2:37" x14ac:dyDescent="0.3">
      <c r="B359" t="s">
        <v>183</v>
      </c>
      <c r="C359">
        <v>116</v>
      </c>
      <c r="D359">
        <v>20</v>
      </c>
      <c r="E359">
        <v>25</v>
      </c>
      <c r="F359">
        <v>150</v>
      </c>
      <c r="G359">
        <v>11.468648560758</v>
      </c>
      <c r="H359">
        <v>32</v>
      </c>
      <c r="I359">
        <v>75</v>
      </c>
      <c r="J359">
        <v>7</v>
      </c>
      <c r="K359" s="8">
        <v>6.62</v>
      </c>
      <c r="N359">
        <v>2.5</v>
      </c>
      <c r="O359" s="8">
        <v>6.79</v>
      </c>
      <c r="R359" s="8">
        <v>0</v>
      </c>
      <c r="S359" t="s">
        <v>68</v>
      </c>
      <c r="AC359" t="s">
        <v>128</v>
      </c>
      <c r="AD359" t="s">
        <v>127</v>
      </c>
      <c r="AE359" t="s">
        <v>128</v>
      </c>
      <c r="AF359">
        <v>7</v>
      </c>
      <c r="AG359">
        <v>7</v>
      </c>
      <c r="AH359">
        <v>8</v>
      </c>
      <c r="AI359">
        <v>9</v>
      </c>
      <c r="AJ359">
        <v>9</v>
      </c>
      <c r="AK359">
        <v>7</v>
      </c>
    </row>
    <row r="360" spans="2:37" x14ac:dyDescent="0.3">
      <c r="B360" t="s">
        <v>184</v>
      </c>
      <c r="C360">
        <v>116</v>
      </c>
      <c r="D360">
        <v>20</v>
      </c>
      <c r="E360">
        <v>25</v>
      </c>
      <c r="F360">
        <v>150</v>
      </c>
      <c r="G360">
        <v>11.468648560758</v>
      </c>
      <c r="H360">
        <v>55</v>
      </c>
      <c r="I360">
        <v>75</v>
      </c>
      <c r="J360">
        <v>9</v>
      </c>
      <c r="K360" s="8">
        <v>6.21</v>
      </c>
      <c r="N360">
        <v>1.43</v>
      </c>
      <c r="O360" s="8">
        <v>7.08</v>
      </c>
      <c r="R360" s="8">
        <v>0</v>
      </c>
      <c r="S360" t="s">
        <v>68</v>
      </c>
      <c r="X360">
        <v>1E-3</v>
      </c>
      <c r="Y360">
        <v>20.8</v>
      </c>
      <c r="Z360">
        <v>1</v>
      </c>
      <c r="AC360" t="s">
        <v>128</v>
      </c>
      <c r="AD360" t="s">
        <v>127</v>
      </c>
      <c r="AE360" t="s">
        <v>128</v>
      </c>
      <c r="AF360">
        <v>9</v>
      </c>
      <c r="AG360">
        <v>6</v>
      </c>
      <c r="AH360">
        <v>9</v>
      </c>
      <c r="AI360">
        <v>9</v>
      </c>
      <c r="AJ360">
        <v>8</v>
      </c>
      <c r="AK360">
        <v>8</v>
      </c>
    </row>
    <row r="361" spans="2:37" x14ac:dyDescent="0.3">
      <c r="B361" t="s">
        <v>184</v>
      </c>
      <c r="C361">
        <v>116</v>
      </c>
      <c r="D361">
        <v>20</v>
      </c>
      <c r="E361">
        <v>25</v>
      </c>
      <c r="F361">
        <v>150</v>
      </c>
      <c r="G361">
        <v>11.468648560758</v>
      </c>
      <c r="H361">
        <v>55</v>
      </c>
      <c r="I361">
        <v>75</v>
      </c>
      <c r="J361">
        <v>9</v>
      </c>
      <c r="K361" s="8">
        <v>6.29</v>
      </c>
      <c r="N361">
        <v>1.26</v>
      </c>
      <c r="O361" s="8">
        <v>7.11</v>
      </c>
      <c r="R361" s="8">
        <v>0</v>
      </c>
      <c r="S361" t="s">
        <v>68</v>
      </c>
      <c r="X361">
        <v>1.07</v>
      </c>
      <c r="Y361">
        <v>20.100000000000001</v>
      </c>
      <c r="Z361">
        <v>1</v>
      </c>
      <c r="AC361" t="s">
        <v>128</v>
      </c>
      <c r="AD361" t="s">
        <v>127</v>
      </c>
      <c r="AE361" t="s">
        <v>128</v>
      </c>
      <c r="AF361">
        <v>8</v>
      </c>
      <c r="AG361">
        <v>9</v>
      </c>
      <c r="AH361">
        <v>7</v>
      </c>
      <c r="AI361">
        <v>9</v>
      </c>
      <c r="AJ361">
        <v>7</v>
      </c>
      <c r="AK361">
        <v>9</v>
      </c>
    </row>
    <row r="362" spans="2:37" x14ac:dyDescent="0.3">
      <c r="B362" t="s">
        <v>184</v>
      </c>
      <c r="C362">
        <v>116</v>
      </c>
      <c r="D362">
        <v>20</v>
      </c>
      <c r="E362">
        <v>25</v>
      </c>
      <c r="F362">
        <v>150</v>
      </c>
      <c r="G362">
        <v>11.468648560758</v>
      </c>
      <c r="H362">
        <v>55</v>
      </c>
      <c r="I362">
        <v>75</v>
      </c>
      <c r="J362">
        <v>9</v>
      </c>
      <c r="K362" s="8">
        <v>6.3</v>
      </c>
      <c r="N362">
        <v>1.78</v>
      </c>
      <c r="O362" s="8">
        <v>7.09</v>
      </c>
      <c r="R362" s="8">
        <v>0</v>
      </c>
      <c r="S362" t="s">
        <v>68</v>
      </c>
      <c r="X362">
        <v>1.7</v>
      </c>
      <c r="Y362">
        <v>18.8</v>
      </c>
      <c r="Z362">
        <v>1</v>
      </c>
      <c r="AC362" t="s">
        <v>128</v>
      </c>
      <c r="AD362" t="s">
        <v>127</v>
      </c>
      <c r="AE362" t="s">
        <v>128</v>
      </c>
      <c r="AF362">
        <v>8</v>
      </c>
      <c r="AG362">
        <v>8</v>
      </c>
      <c r="AH362">
        <v>8</v>
      </c>
      <c r="AI362">
        <v>8</v>
      </c>
      <c r="AJ362">
        <v>8</v>
      </c>
      <c r="AK362">
        <v>9</v>
      </c>
    </row>
    <row r="363" spans="2:37" x14ac:dyDescent="0.3">
      <c r="B363" t="s">
        <v>185</v>
      </c>
      <c r="C363">
        <v>116</v>
      </c>
      <c r="D363">
        <v>20</v>
      </c>
      <c r="E363">
        <v>25</v>
      </c>
      <c r="F363">
        <v>150</v>
      </c>
      <c r="G363">
        <v>11.468648560758</v>
      </c>
      <c r="H363">
        <v>45</v>
      </c>
      <c r="I363">
        <v>75</v>
      </c>
      <c r="J363">
        <v>10</v>
      </c>
      <c r="K363" s="8">
        <v>6.48</v>
      </c>
      <c r="N363">
        <v>6.6</v>
      </c>
      <c r="O363" s="8">
        <v>7.02</v>
      </c>
      <c r="R363" s="8">
        <v>0</v>
      </c>
      <c r="S363" t="s">
        <v>68</v>
      </c>
      <c r="X363">
        <v>0</v>
      </c>
      <c r="Y363">
        <v>19.5</v>
      </c>
      <c r="Z363">
        <v>1</v>
      </c>
      <c r="AC363" t="s">
        <v>128</v>
      </c>
      <c r="AD363" t="s">
        <v>127</v>
      </c>
      <c r="AE363" t="s">
        <v>128</v>
      </c>
      <c r="AF363">
        <v>8</v>
      </c>
      <c r="AG363">
        <v>8</v>
      </c>
      <c r="AH363">
        <v>8</v>
      </c>
      <c r="AI363">
        <v>8</v>
      </c>
      <c r="AJ363">
        <v>9</v>
      </c>
      <c r="AK363">
        <v>8</v>
      </c>
    </row>
    <row r="364" spans="2:37" x14ac:dyDescent="0.3">
      <c r="B364" t="s">
        <v>185</v>
      </c>
      <c r="C364">
        <v>116</v>
      </c>
      <c r="D364">
        <v>20</v>
      </c>
      <c r="E364">
        <v>25</v>
      </c>
      <c r="F364">
        <v>150</v>
      </c>
      <c r="G364">
        <v>11.468648560758</v>
      </c>
      <c r="H364">
        <v>45</v>
      </c>
      <c r="I364">
        <v>75</v>
      </c>
      <c r="J364">
        <v>10</v>
      </c>
      <c r="K364" s="8">
        <v>6.43</v>
      </c>
      <c r="N364">
        <v>1.5</v>
      </c>
      <c r="O364" s="8">
        <v>6.89</v>
      </c>
      <c r="R364" s="8">
        <v>0</v>
      </c>
      <c r="S364" t="s">
        <v>68</v>
      </c>
      <c r="X364">
        <v>0.58799999999999997</v>
      </c>
      <c r="Y364">
        <v>18.5</v>
      </c>
      <c r="Z364">
        <v>1</v>
      </c>
      <c r="AC364" t="s">
        <v>128</v>
      </c>
      <c r="AD364" t="s">
        <v>127</v>
      </c>
      <c r="AE364" t="s">
        <v>128</v>
      </c>
      <c r="AF364">
        <v>8</v>
      </c>
      <c r="AG364">
        <v>9</v>
      </c>
      <c r="AH364">
        <v>8</v>
      </c>
      <c r="AI364">
        <v>9</v>
      </c>
      <c r="AJ364">
        <v>8</v>
      </c>
      <c r="AK364">
        <v>9</v>
      </c>
    </row>
    <row r="365" spans="2:37" x14ac:dyDescent="0.3">
      <c r="B365" t="s">
        <v>185</v>
      </c>
      <c r="C365">
        <v>116</v>
      </c>
      <c r="D365">
        <v>20</v>
      </c>
      <c r="E365">
        <v>25</v>
      </c>
      <c r="F365">
        <v>150</v>
      </c>
      <c r="G365">
        <v>11.468648560758</v>
      </c>
      <c r="H365">
        <v>45</v>
      </c>
      <c r="I365">
        <v>75</v>
      </c>
      <c r="J365">
        <v>10</v>
      </c>
      <c r="K365" s="8">
        <v>6.49</v>
      </c>
      <c r="N365">
        <v>1.6</v>
      </c>
      <c r="O365" s="8">
        <v>6.76</v>
      </c>
      <c r="R365" s="8">
        <v>0</v>
      </c>
      <c r="S365" t="s">
        <v>68</v>
      </c>
      <c r="X365">
        <v>1.84</v>
      </c>
      <c r="Y365">
        <v>17</v>
      </c>
      <c r="Z365">
        <v>1</v>
      </c>
      <c r="AC365" t="s">
        <v>128</v>
      </c>
      <c r="AD365" t="s">
        <v>127</v>
      </c>
      <c r="AE365" t="s">
        <v>128</v>
      </c>
      <c r="AF365">
        <v>7</v>
      </c>
      <c r="AG365">
        <v>8</v>
      </c>
      <c r="AH365">
        <v>8</v>
      </c>
      <c r="AI365">
        <v>8</v>
      </c>
      <c r="AJ365">
        <v>8</v>
      </c>
      <c r="AK365">
        <v>8</v>
      </c>
    </row>
    <row r="366" spans="2:37" x14ac:dyDescent="0.3">
      <c r="B366" t="s">
        <v>186</v>
      </c>
      <c r="C366">
        <v>116</v>
      </c>
      <c r="D366">
        <v>20</v>
      </c>
      <c r="E366">
        <v>25</v>
      </c>
      <c r="F366">
        <v>150</v>
      </c>
      <c r="G366">
        <v>11.468648560758</v>
      </c>
      <c r="H366">
        <v>28</v>
      </c>
      <c r="I366">
        <v>75</v>
      </c>
      <c r="J366">
        <v>10</v>
      </c>
      <c r="K366" s="8">
        <v>6.35</v>
      </c>
      <c r="N366">
        <v>1.4</v>
      </c>
      <c r="O366" s="8">
        <v>6.27</v>
      </c>
      <c r="R366" s="8">
        <v>0</v>
      </c>
      <c r="S366" t="s">
        <v>68</v>
      </c>
      <c r="T366">
        <v>53.21</v>
      </c>
      <c r="U366">
        <v>6.1</v>
      </c>
      <c r="V366">
        <v>43.516666666666701</v>
      </c>
      <c r="W366">
        <v>69.013333333333307</v>
      </c>
      <c r="X366">
        <v>0</v>
      </c>
      <c r="Y366">
        <v>19.866666666666699</v>
      </c>
      <c r="Z366">
        <v>2.33</v>
      </c>
      <c r="AA366">
        <v>42.46</v>
      </c>
      <c r="AC366" t="s">
        <v>128</v>
      </c>
      <c r="AD366" t="s">
        <v>127</v>
      </c>
      <c r="AE366" t="s">
        <v>128</v>
      </c>
      <c r="AF366">
        <v>8</v>
      </c>
      <c r="AG366">
        <v>9</v>
      </c>
      <c r="AH366">
        <v>9</v>
      </c>
      <c r="AI366">
        <v>9</v>
      </c>
      <c r="AJ366">
        <v>9</v>
      </c>
      <c r="AK366">
        <v>9</v>
      </c>
    </row>
    <row r="367" spans="2:37" x14ac:dyDescent="0.3">
      <c r="B367" t="s">
        <v>186</v>
      </c>
      <c r="C367">
        <v>116</v>
      </c>
      <c r="D367">
        <v>20</v>
      </c>
      <c r="E367">
        <v>25</v>
      </c>
      <c r="F367">
        <v>150</v>
      </c>
      <c r="G367">
        <v>11.468648560758</v>
      </c>
      <c r="H367">
        <v>28</v>
      </c>
      <c r="I367">
        <v>75</v>
      </c>
      <c r="J367">
        <v>10</v>
      </c>
      <c r="K367" s="8">
        <v>6.3250000000000002</v>
      </c>
      <c r="N367">
        <v>1.32</v>
      </c>
      <c r="O367" s="8">
        <v>5.89</v>
      </c>
      <c r="R367" s="8">
        <v>0</v>
      </c>
      <c r="S367" t="s">
        <v>68</v>
      </c>
      <c r="T367">
        <v>53.17</v>
      </c>
      <c r="U367">
        <v>6.11</v>
      </c>
      <c r="V367">
        <v>43.446666666666701</v>
      </c>
      <c r="W367">
        <v>68.938333333333304</v>
      </c>
      <c r="X367">
        <v>0</v>
      </c>
      <c r="Y367">
        <v>19.9166666666667</v>
      </c>
      <c r="Z367">
        <v>1.8333333333333299</v>
      </c>
      <c r="AA367">
        <v>42.46</v>
      </c>
      <c r="AC367" t="s">
        <v>128</v>
      </c>
      <c r="AD367" t="s">
        <v>127</v>
      </c>
      <c r="AE367" t="s">
        <v>128</v>
      </c>
      <c r="AF367">
        <v>8</v>
      </c>
      <c r="AG367">
        <v>8</v>
      </c>
      <c r="AH367">
        <v>8</v>
      </c>
      <c r="AI367">
        <v>8</v>
      </c>
      <c r="AJ367">
        <v>7</v>
      </c>
      <c r="AK367">
        <v>8</v>
      </c>
    </row>
    <row r="368" spans="2:37" x14ac:dyDescent="0.3">
      <c r="B368" t="s">
        <v>186</v>
      </c>
      <c r="C368">
        <v>116</v>
      </c>
      <c r="D368">
        <v>20</v>
      </c>
      <c r="E368">
        <v>25</v>
      </c>
      <c r="F368">
        <v>150</v>
      </c>
      <c r="G368">
        <v>11.468648560758</v>
      </c>
      <c r="H368">
        <v>28</v>
      </c>
      <c r="I368">
        <v>75</v>
      </c>
      <c r="J368">
        <v>10</v>
      </c>
      <c r="K368" s="8">
        <v>6.3</v>
      </c>
      <c r="N368">
        <v>1.05</v>
      </c>
      <c r="O368" s="8">
        <v>5.98</v>
      </c>
      <c r="R368" s="8">
        <v>0</v>
      </c>
      <c r="S368" t="s">
        <v>68</v>
      </c>
      <c r="T368">
        <v>53.13</v>
      </c>
      <c r="U368">
        <v>6.12</v>
      </c>
      <c r="V368">
        <v>43.376666666666701</v>
      </c>
      <c r="W368">
        <v>68.863333333333301</v>
      </c>
      <c r="X368">
        <v>0</v>
      </c>
      <c r="Y368">
        <v>19.966666666666701</v>
      </c>
      <c r="Z368">
        <v>1.3333333333333299</v>
      </c>
      <c r="AA368">
        <v>42.46</v>
      </c>
      <c r="AC368" t="s">
        <v>128</v>
      </c>
      <c r="AD368" t="s">
        <v>127</v>
      </c>
      <c r="AE368" t="s">
        <v>128</v>
      </c>
      <c r="AF368">
        <v>7</v>
      </c>
      <c r="AG368">
        <v>9</v>
      </c>
      <c r="AH368">
        <v>8</v>
      </c>
      <c r="AI368">
        <v>9</v>
      </c>
      <c r="AJ368">
        <v>8</v>
      </c>
      <c r="AK368">
        <v>9</v>
      </c>
    </row>
    <row r="369" spans="2:37" x14ac:dyDescent="0.3">
      <c r="B369" t="s">
        <v>187</v>
      </c>
      <c r="C369">
        <v>116</v>
      </c>
      <c r="D369">
        <v>20</v>
      </c>
      <c r="E369">
        <v>25</v>
      </c>
      <c r="F369">
        <v>150</v>
      </c>
      <c r="G369">
        <v>11.468648560758</v>
      </c>
      <c r="H369">
        <v>28</v>
      </c>
      <c r="I369">
        <v>75</v>
      </c>
      <c r="J369">
        <v>13</v>
      </c>
      <c r="K369" s="8">
        <v>6.29</v>
      </c>
      <c r="N369">
        <v>1.0649999999999999</v>
      </c>
      <c r="O369" s="8">
        <v>6.1</v>
      </c>
      <c r="R369" s="8">
        <v>0</v>
      </c>
      <c r="S369" t="s">
        <v>68</v>
      </c>
      <c r="T369">
        <v>53.1</v>
      </c>
      <c r="U369">
        <v>6.14</v>
      </c>
      <c r="V369">
        <v>43.31</v>
      </c>
      <c r="W369">
        <v>68.8</v>
      </c>
      <c r="X369">
        <v>0</v>
      </c>
      <c r="Y369">
        <v>20</v>
      </c>
      <c r="Z369">
        <v>1</v>
      </c>
      <c r="AA369">
        <v>42.46</v>
      </c>
      <c r="AC369" t="s">
        <v>128</v>
      </c>
      <c r="AD369" t="s">
        <v>127</v>
      </c>
      <c r="AE369" t="s">
        <v>128</v>
      </c>
      <c r="AF369">
        <v>8</v>
      </c>
      <c r="AG369">
        <v>8</v>
      </c>
      <c r="AH369">
        <v>9</v>
      </c>
      <c r="AI369">
        <v>8</v>
      </c>
      <c r="AJ369">
        <v>7</v>
      </c>
      <c r="AK369">
        <v>8</v>
      </c>
    </row>
    <row r="370" spans="2:37" x14ac:dyDescent="0.3">
      <c r="B370" t="s">
        <v>187</v>
      </c>
      <c r="C370">
        <v>116</v>
      </c>
      <c r="D370">
        <v>20</v>
      </c>
      <c r="E370">
        <v>25</v>
      </c>
      <c r="F370">
        <v>150</v>
      </c>
      <c r="G370">
        <v>11.468648560758</v>
      </c>
      <c r="H370">
        <v>28</v>
      </c>
      <c r="I370">
        <v>75</v>
      </c>
      <c r="J370">
        <v>13</v>
      </c>
      <c r="K370" s="8">
        <v>6.22</v>
      </c>
      <c r="N370">
        <v>1.86</v>
      </c>
      <c r="O370" s="8">
        <v>5.7</v>
      </c>
      <c r="R370" s="8">
        <v>0</v>
      </c>
      <c r="S370" t="s">
        <v>68</v>
      </c>
      <c r="T370">
        <v>53.03</v>
      </c>
      <c r="U370">
        <v>6.12</v>
      </c>
      <c r="V370">
        <v>43.23</v>
      </c>
      <c r="W370">
        <v>68.69</v>
      </c>
      <c r="X370">
        <v>0</v>
      </c>
      <c r="Y370">
        <v>20.100000000000001</v>
      </c>
      <c r="Z370">
        <v>0</v>
      </c>
      <c r="AA370">
        <v>42.46</v>
      </c>
      <c r="AC370" t="s">
        <v>128</v>
      </c>
      <c r="AD370" t="s">
        <v>127</v>
      </c>
      <c r="AE370" t="s">
        <v>128</v>
      </c>
      <c r="AF370">
        <v>7</v>
      </c>
      <c r="AG370">
        <v>6</v>
      </c>
      <c r="AH370">
        <v>8</v>
      </c>
      <c r="AI370">
        <v>7</v>
      </c>
      <c r="AJ370">
        <v>6</v>
      </c>
      <c r="AK370">
        <v>7</v>
      </c>
    </row>
    <row r="371" spans="2:37" x14ac:dyDescent="0.3">
      <c r="B371" t="s">
        <v>187</v>
      </c>
      <c r="C371">
        <v>116</v>
      </c>
      <c r="D371">
        <v>20</v>
      </c>
      <c r="E371">
        <v>25</v>
      </c>
      <c r="F371">
        <v>150</v>
      </c>
      <c r="G371">
        <v>11.468648560758</v>
      </c>
      <c r="H371">
        <v>28</v>
      </c>
      <c r="I371">
        <v>75</v>
      </c>
      <c r="J371">
        <v>13</v>
      </c>
      <c r="K371" s="8">
        <v>6.24</v>
      </c>
      <c r="N371">
        <v>1.08</v>
      </c>
      <c r="O371" s="8">
        <v>6.09</v>
      </c>
      <c r="R371" s="8">
        <v>0</v>
      </c>
      <c r="S371" t="s">
        <v>68</v>
      </c>
      <c r="T371">
        <v>53.02</v>
      </c>
      <c r="U371">
        <v>6.16</v>
      </c>
      <c r="V371">
        <v>43.17</v>
      </c>
      <c r="W371">
        <v>68.650000000000006</v>
      </c>
      <c r="X371">
        <v>0</v>
      </c>
      <c r="Y371">
        <v>20.100000000000001</v>
      </c>
      <c r="Z371">
        <v>0</v>
      </c>
      <c r="AA371">
        <v>42.46</v>
      </c>
      <c r="AC371" t="s">
        <v>128</v>
      </c>
      <c r="AD371" t="s">
        <v>127</v>
      </c>
      <c r="AE371" t="s">
        <v>128</v>
      </c>
      <c r="AF371">
        <v>7</v>
      </c>
      <c r="AG371">
        <v>7</v>
      </c>
      <c r="AH371">
        <v>7</v>
      </c>
      <c r="AI371">
        <v>8</v>
      </c>
      <c r="AJ371">
        <v>7</v>
      </c>
      <c r="AK371">
        <v>9</v>
      </c>
    </row>
    <row r="372" spans="2:37" x14ac:dyDescent="0.3">
      <c r="B372" t="s">
        <v>188</v>
      </c>
      <c r="C372">
        <v>116</v>
      </c>
      <c r="D372">
        <v>20</v>
      </c>
      <c r="E372">
        <v>25</v>
      </c>
      <c r="F372">
        <v>150</v>
      </c>
      <c r="G372">
        <v>11.468648560758</v>
      </c>
      <c r="H372">
        <v>55</v>
      </c>
      <c r="I372">
        <v>75</v>
      </c>
      <c r="J372">
        <v>12</v>
      </c>
      <c r="K372" s="8">
        <v>6.13</v>
      </c>
      <c r="N372">
        <v>3.5</v>
      </c>
      <c r="O372" s="8">
        <v>7.81</v>
      </c>
      <c r="R372" s="8">
        <v>0</v>
      </c>
      <c r="S372" t="s">
        <v>68</v>
      </c>
      <c r="AC372" t="s">
        <v>128</v>
      </c>
      <c r="AD372" t="s">
        <v>127</v>
      </c>
      <c r="AE372" t="s">
        <v>128</v>
      </c>
      <c r="AF372">
        <v>8</v>
      </c>
      <c r="AG372">
        <v>8</v>
      </c>
      <c r="AH372">
        <v>8</v>
      </c>
      <c r="AI372">
        <v>9</v>
      </c>
      <c r="AJ372">
        <v>6</v>
      </c>
      <c r="AK372">
        <v>8</v>
      </c>
    </row>
    <row r="373" spans="2:37" x14ac:dyDescent="0.3">
      <c r="B373" t="s">
        <v>188</v>
      </c>
      <c r="C373">
        <v>116</v>
      </c>
      <c r="D373">
        <v>20</v>
      </c>
      <c r="E373">
        <v>25</v>
      </c>
      <c r="F373">
        <v>150</v>
      </c>
      <c r="G373">
        <v>11.468648560758</v>
      </c>
      <c r="H373">
        <v>55</v>
      </c>
      <c r="I373">
        <v>75</v>
      </c>
      <c r="J373">
        <v>12</v>
      </c>
      <c r="K373" s="8">
        <v>6.15</v>
      </c>
      <c r="N373">
        <v>3.1</v>
      </c>
      <c r="O373" s="8">
        <v>8.1199999999999992</v>
      </c>
      <c r="R373" s="8">
        <v>0</v>
      </c>
      <c r="S373" t="s">
        <v>68</v>
      </c>
      <c r="AC373" t="s">
        <v>128</v>
      </c>
      <c r="AD373" t="s">
        <v>127</v>
      </c>
      <c r="AE373" t="s">
        <v>128</v>
      </c>
      <c r="AF373">
        <v>8</v>
      </c>
      <c r="AG373">
        <v>6</v>
      </c>
      <c r="AH373">
        <v>8</v>
      </c>
      <c r="AI373">
        <v>8</v>
      </c>
      <c r="AJ373">
        <v>8</v>
      </c>
      <c r="AK373">
        <v>7</v>
      </c>
    </row>
    <row r="374" spans="2:37" x14ac:dyDescent="0.3">
      <c r="B374" t="s">
        <v>188</v>
      </c>
      <c r="C374">
        <v>116</v>
      </c>
      <c r="D374">
        <v>20</v>
      </c>
      <c r="E374">
        <v>25</v>
      </c>
      <c r="F374">
        <v>150</v>
      </c>
      <c r="G374">
        <v>11.468648560758</v>
      </c>
      <c r="H374">
        <v>55</v>
      </c>
      <c r="I374">
        <v>75</v>
      </c>
      <c r="J374">
        <v>12</v>
      </c>
      <c r="K374" s="8">
        <v>6.19</v>
      </c>
      <c r="N374">
        <v>4.5999999999999996</v>
      </c>
      <c r="O374" s="8">
        <v>8.51</v>
      </c>
      <c r="R374" s="8">
        <v>0</v>
      </c>
      <c r="S374" t="s">
        <v>68</v>
      </c>
      <c r="AC374" t="s">
        <v>128</v>
      </c>
      <c r="AD374" t="s">
        <v>127</v>
      </c>
      <c r="AE374" t="s">
        <v>128</v>
      </c>
      <c r="AF374">
        <v>7</v>
      </c>
      <c r="AG374">
        <v>8</v>
      </c>
      <c r="AH374">
        <v>8</v>
      </c>
      <c r="AI374">
        <v>7</v>
      </c>
      <c r="AJ374">
        <v>6</v>
      </c>
      <c r="AK374">
        <v>6</v>
      </c>
    </row>
    <row r="375" spans="2:37" x14ac:dyDescent="0.3">
      <c r="B375" t="s">
        <v>189</v>
      </c>
      <c r="C375">
        <v>116</v>
      </c>
      <c r="D375">
        <v>20</v>
      </c>
      <c r="E375">
        <v>25</v>
      </c>
      <c r="F375">
        <v>150</v>
      </c>
      <c r="G375">
        <v>11.468648560758</v>
      </c>
      <c r="H375">
        <v>32</v>
      </c>
      <c r="I375">
        <v>75</v>
      </c>
      <c r="J375">
        <v>14</v>
      </c>
      <c r="K375" s="8">
        <v>6.19</v>
      </c>
      <c r="N375">
        <v>4.5</v>
      </c>
      <c r="O375" s="8">
        <v>6.56</v>
      </c>
      <c r="R375" s="8">
        <v>0</v>
      </c>
      <c r="S375" t="s">
        <v>68</v>
      </c>
      <c r="T375">
        <v>51.24</v>
      </c>
      <c r="U375">
        <v>6.66</v>
      </c>
      <c r="V375">
        <v>36.75</v>
      </c>
      <c r="W375">
        <v>63.41</v>
      </c>
      <c r="X375">
        <v>4.2000000000000003E-2</v>
      </c>
      <c r="Y375">
        <v>16.5</v>
      </c>
      <c r="Z375">
        <v>1</v>
      </c>
      <c r="AA375">
        <v>61.98</v>
      </c>
      <c r="AC375" t="s">
        <v>128</v>
      </c>
      <c r="AD375" t="s">
        <v>127</v>
      </c>
      <c r="AE375" t="s">
        <v>128</v>
      </c>
      <c r="AF375">
        <v>8</v>
      </c>
      <c r="AG375">
        <v>7</v>
      </c>
      <c r="AH375">
        <v>9</v>
      </c>
      <c r="AI375">
        <v>9</v>
      </c>
      <c r="AJ375">
        <v>8</v>
      </c>
      <c r="AK375">
        <v>8</v>
      </c>
    </row>
    <row r="376" spans="2:37" x14ac:dyDescent="0.3">
      <c r="B376" t="s">
        <v>189</v>
      </c>
      <c r="C376">
        <v>116</v>
      </c>
      <c r="D376">
        <v>20</v>
      </c>
      <c r="E376">
        <v>25</v>
      </c>
      <c r="F376">
        <v>150</v>
      </c>
      <c r="G376">
        <v>11.468648560758</v>
      </c>
      <c r="H376">
        <v>32</v>
      </c>
      <c r="I376">
        <v>75</v>
      </c>
      <c r="J376">
        <v>14</v>
      </c>
      <c r="K376" s="8">
        <v>6.23</v>
      </c>
      <c r="N376">
        <v>5.69</v>
      </c>
      <c r="O376" s="8">
        <v>6.96</v>
      </c>
      <c r="R376" s="8">
        <v>0</v>
      </c>
      <c r="S376" t="s">
        <v>68</v>
      </c>
      <c r="T376">
        <v>51.27</v>
      </c>
      <c r="U376">
        <v>6.66</v>
      </c>
      <c r="V376">
        <v>36.74</v>
      </c>
      <c r="W376">
        <v>63.42</v>
      </c>
      <c r="X376">
        <v>0.59</v>
      </c>
      <c r="Y376">
        <v>16.2</v>
      </c>
      <c r="Z376">
        <v>1</v>
      </c>
      <c r="AA376">
        <v>62.12</v>
      </c>
      <c r="AC376" t="s">
        <v>128</v>
      </c>
      <c r="AD376" t="s">
        <v>127</v>
      </c>
      <c r="AE376" t="s">
        <v>128</v>
      </c>
      <c r="AF376">
        <v>7</v>
      </c>
      <c r="AG376">
        <v>6</v>
      </c>
      <c r="AH376">
        <v>8</v>
      </c>
      <c r="AI376">
        <v>8</v>
      </c>
      <c r="AJ376">
        <v>7</v>
      </c>
      <c r="AK376">
        <v>7</v>
      </c>
    </row>
    <row r="377" spans="2:37" x14ac:dyDescent="0.3">
      <c r="B377" t="s">
        <v>189</v>
      </c>
      <c r="C377">
        <v>116</v>
      </c>
      <c r="D377">
        <v>20</v>
      </c>
      <c r="E377">
        <v>25</v>
      </c>
      <c r="F377">
        <v>150</v>
      </c>
      <c r="G377">
        <v>11.468648560758</v>
      </c>
      <c r="H377">
        <v>32</v>
      </c>
      <c r="I377">
        <v>75</v>
      </c>
      <c r="J377">
        <v>14</v>
      </c>
      <c r="K377" s="8">
        <v>6.19</v>
      </c>
      <c r="N377">
        <v>6.8</v>
      </c>
      <c r="O377" s="8">
        <v>6.89</v>
      </c>
      <c r="R377" s="8">
        <v>0</v>
      </c>
      <c r="S377" t="s">
        <v>68</v>
      </c>
      <c r="T377">
        <v>51.28</v>
      </c>
      <c r="U377">
        <v>6.67</v>
      </c>
      <c r="V377">
        <v>36.71</v>
      </c>
      <c r="W377">
        <v>63.41</v>
      </c>
      <c r="X377">
        <v>1.55</v>
      </c>
      <c r="Y377">
        <v>15.5</v>
      </c>
      <c r="Z377">
        <v>0</v>
      </c>
      <c r="AA377">
        <v>61.88</v>
      </c>
      <c r="AC377" t="s">
        <v>128</v>
      </c>
      <c r="AD377" t="s">
        <v>127</v>
      </c>
      <c r="AE377" t="s">
        <v>128</v>
      </c>
      <c r="AF377">
        <v>8</v>
      </c>
      <c r="AG377">
        <v>7</v>
      </c>
      <c r="AH377">
        <v>7</v>
      </c>
      <c r="AI377">
        <v>8</v>
      </c>
      <c r="AJ377">
        <v>8</v>
      </c>
      <c r="AK377">
        <v>6</v>
      </c>
    </row>
    <row r="378" spans="2:37" x14ac:dyDescent="0.3">
      <c r="B378" t="s">
        <v>190</v>
      </c>
      <c r="C378">
        <v>116</v>
      </c>
      <c r="D378">
        <v>20</v>
      </c>
      <c r="E378">
        <v>25</v>
      </c>
      <c r="F378">
        <v>150</v>
      </c>
      <c r="G378">
        <v>11.468648560758</v>
      </c>
      <c r="H378">
        <v>55</v>
      </c>
      <c r="I378">
        <v>75</v>
      </c>
      <c r="J378">
        <v>15</v>
      </c>
      <c r="K378" s="8">
        <v>5.97</v>
      </c>
      <c r="N378">
        <v>6.25</v>
      </c>
      <c r="O378" s="8">
        <v>9.5399999999999991</v>
      </c>
      <c r="R378" s="8">
        <v>0</v>
      </c>
      <c r="S378" t="s">
        <v>68</v>
      </c>
      <c r="T378">
        <v>57.07</v>
      </c>
      <c r="U378">
        <v>8.31</v>
      </c>
      <c r="V378">
        <v>51.5</v>
      </c>
      <c r="W378">
        <v>77.31</v>
      </c>
      <c r="X378">
        <v>0.01</v>
      </c>
      <c r="Y378">
        <v>16.600000000000001</v>
      </c>
      <c r="Z378">
        <v>1</v>
      </c>
      <c r="AA378">
        <v>63.63</v>
      </c>
      <c r="AC378" t="s">
        <v>128</v>
      </c>
      <c r="AD378" t="s">
        <v>127</v>
      </c>
      <c r="AE378" t="s">
        <v>128</v>
      </c>
      <c r="AF378">
        <v>7</v>
      </c>
      <c r="AG378">
        <v>8</v>
      </c>
      <c r="AH378">
        <v>8</v>
      </c>
      <c r="AI378">
        <v>6</v>
      </c>
      <c r="AJ378">
        <v>7</v>
      </c>
      <c r="AK378">
        <v>8</v>
      </c>
    </row>
    <row r="379" spans="2:37" x14ac:dyDescent="0.3">
      <c r="B379" t="s">
        <v>190</v>
      </c>
      <c r="C379">
        <v>116</v>
      </c>
      <c r="D379">
        <v>20</v>
      </c>
      <c r="E379">
        <v>25</v>
      </c>
      <c r="F379">
        <v>150</v>
      </c>
      <c r="G379">
        <v>11.468648560758</v>
      </c>
      <c r="H379">
        <v>55</v>
      </c>
      <c r="I379">
        <v>75</v>
      </c>
      <c r="J379">
        <v>15</v>
      </c>
      <c r="K379" s="8">
        <v>6.02</v>
      </c>
      <c r="N379">
        <v>4.9000000000000004</v>
      </c>
      <c r="O379" s="8">
        <v>9.76</v>
      </c>
      <c r="R379" s="8">
        <v>0</v>
      </c>
      <c r="S379" t="s">
        <v>68</v>
      </c>
      <c r="T379">
        <v>56.91</v>
      </c>
      <c r="U379">
        <v>8.31</v>
      </c>
      <c r="V379">
        <v>51.21</v>
      </c>
      <c r="W379">
        <v>77.010000000000005</v>
      </c>
      <c r="X379">
        <v>0.03</v>
      </c>
      <c r="Y379">
        <v>16.2</v>
      </c>
      <c r="Z379">
        <v>1</v>
      </c>
      <c r="AA379">
        <v>63.66</v>
      </c>
      <c r="AC379" t="s">
        <v>128</v>
      </c>
      <c r="AD379" t="s">
        <v>127</v>
      </c>
      <c r="AE379" t="s">
        <v>128</v>
      </c>
      <c r="AF379">
        <v>8</v>
      </c>
      <c r="AG379">
        <v>7</v>
      </c>
      <c r="AH379">
        <v>9</v>
      </c>
      <c r="AI379">
        <v>7</v>
      </c>
      <c r="AJ379">
        <v>8</v>
      </c>
      <c r="AK379">
        <v>7</v>
      </c>
    </row>
    <row r="380" spans="2:37" x14ac:dyDescent="0.3">
      <c r="B380" t="s">
        <v>190</v>
      </c>
      <c r="C380">
        <v>116</v>
      </c>
      <c r="D380">
        <v>20</v>
      </c>
      <c r="E380">
        <v>25</v>
      </c>
      <c r="F380">
        <v>150</v>
      </c>
      <c r="G380">
        <v>11.468648560757982</v>
      </c>
      <c r="H380">
        <v>55</v>
      </c>
      <c r="I380">
        <v>75</v>
      </c>
      <c r="J380">
        <v>15</v>
      </c>
      <c r="K380" s="8">
        <v>6.03</v>
      </c>
      <c r="N380">
        <v>6.2</v>
      </c>
      <c r="O380" s="8">
        <v>9.81</v>
      </c>
      <c r="R380" s="8">
        <v>0</v>
      </c>
      <c r="S380" t="s">
        <v>68</v>
      </c>
      <c r="T380">
        <v>56.88</v>
      </c>
      <c r="U380">
        <v>8.32</v>
      </c>
      <c r="V380">
        <v>51.21</v>
      </c>
      <c r="W380">
        <v>76.989999999999995</v>
      </c>
      <c r="X380">
        <v>0.03</v>
      </c>
      <c r="Y380">
        <v>16.600000000000001</v>
      </c>
      <c r="Z380">
        <v>1</v>
      </c>
      <c r="AA380">
        <v>63.55</v>
      </c>
      <c r="AC380" t="s">
        <v>128</v>
      </c>
      <c r="AD380" t="s">
        <v>127</v>
      </c>
      <c r="AE380" t="s">
        <v>128</v>
      </c>
      <c r="AF380">
        <v>7</v>
      </c>
      <c r="AG380">
        <v>6</v>
      </c>
      <c r="AH380">
        <v>8</v>
      </c>
      <c r="AI380">
        <v>8</v>
      </c>
      <c r="AJ380">
        <v>7</v>
      </c>
      <c r="AK380">
        <v>8</v>
      </c>
    </row>
    <row r="381" spans="2:37" x14ac:dyDescent="0.3">
      <c r="B381" t="s">
        <v>191</v>
      </c>
      <c r="C381">
        <v>116</v>
      </c>
      <c r="D381">
        <v>20</v>
      </c>
      <c r="E381">
        <v>25</v>
      </c>
      <c r="F381">
        <v>150</v>
      </c>
      <c r="G381">
        <v>11.468648560757982</v>
      </c>
      <c r="H381">
        <v>45</v>
      </c>
      <c r="I381">
        <v>75</v>
      </c>
      <c r="J381">
        <v>15</v>
      </c>
      <c r="K381" s="8">
        <v>6.48</v>
      </c>
      <c r="N381">
        <v>3.2</v>
      </c>
      <c r="O381" s="8">
        <v>8.56</v>
      </c>
      <c r="R381" s="8">
        <v>0</v>
      </c>
      <c r="S381" t="s">
        <v>68</v>
      </c>
      <c r="T381">
        <v>54.86</v>
      </c>
      <c r="U381">
        <v>7.09</v>
      </c>
      <c r="V381">
        <v>45.95</v>
      </c>
      <c r="W381">
        <v>71.91</v>
      </c>
      <c r="X381">
        <v>2</v>
      </c>
      <c r="Y381">
        <v>31.9</v>
      </c>
      <c r="Z381">
        <v>0</v>
      </c>
      <c r="AA381">
        <v>55.45</v>
      </c>
      <c r="AC381" t="s">
        <v>128</v>
      </c>
      <c r="AD381" t="s">
        <v>127</v>
      </c>
      <c r="AE381" t="s">
        <v>128</v>
      </c>
      <c r="AF381">
        <v>7</v>
      </c>
      <c r="AG381">
        <v>8</v>
      </c>
      <c r="AH381">
        <v>7</v>
      </c>
      <c r="AI381">
        <v>5</v>
      </c>
      <c r="AJ381">
        <v>8</v>
      </c>
      <c r="AK381">
        <v>7</v>
      </c>
    </row>
    <row r="382" spans="2:37" x14ac:dyDescent="0.3">
      <c r="B382" t="s">
        <v>191</v>
      </c>
      <c r="C382">
        <v>116</v>
      </c>
      <c r="D382">
        <v>20</v>
      </c>
      <c r="E382">
        <v>25</v>
      </c>
      <c r="F382">
        <v>150</v>
      </c>
      <c r="G382">
        <v>11.468648560757982</v>
      </c>
      <c r="H382">
        <v>45</v>
      </c>
      <c r="I382">
        <v>75</v>
      </c>
      <c r="J382">
        <v>15</v>
      </c>
      <c r="K382" s="8">
        <v>6.34</v>
      </c>
      <c r="N382">
        <v>3.9</v>
      </c>
      <c r="O382" s="8">
        <v>8.91</v>
      </c>
      <c r="R382" s="8">
        <v>0</v>
      </c>
      <c r="S382" t="s">
        <v>68</v>
      </c>
      <c r="T382">
        <v>54.84</v>
      </c>
      <c r="U382">
        <v>7.06</v>
      </c>
      <c r="V382">
        <v>45.94</v>
      </c>
      <c r="W382">
        <v>71.89</v>
      </c>
      <c r="X382">
        <v>3.97</v>
      </c>
      <c r="Y382">
        <v>28.4</v>
      </c>
      <c r="Z382">
        <v>-1</v>
      </c>
      <c r="AA382">
        <v>61.87</v>
      </c>
      <c r="AC382" t="s">
        <v>128</v>
      </c>
      <c r="AD382" t="s">
        <v>127</v>
      </c>
      <c r="AE382" t="s">
        <v>128</v>
      </c>
      <c r="AF382">
        <v>8</v>
      </c>
      <c r="AG382">
        <v>7</v>
      </c>
      <c r="AH382">
        <v>8</v>
      </c>
      <c r="AI382">
        <v>8</v>
      </c>
      <c r="AJ382">
        <v>8</v>
      </c>
      <c r="AK382">
        <v>8</v>
      </c>
    </row>
    <row r="383" spans="2:37" x14ac:dyDescent="0.3">
      <c r="B383" t="s">
        <v>191</v>
      </c>
      <c r="C383">
        <v>116</v>
      </c>
      <c r="D383">
        <v>20</v>
      </c>
      <c r="E383">
        <v>25</v>
      </c>
      <c r="F383">
        <v>150</v>
      </c>
      <c r="G383">
        <v>11.468648560757982</v>
      </c>
      <c r="H383">
        <v>45</v>
      </c>
      <c r="I383">
        <v>75</v>
      </c>
      <c r="J383">
        <v>15</v>
      </c>
      <c r="K383" s="8">
        <v>6.21</v>
      </c>
      <c r="N383">
        <v>3.12</v>
      </c>
      <c r="O383" s="8">
        <v>8.43</v>
      </c>
      <c r="R383" s="8">
        <v>0</v>
      </c>
      <c r="S383" t="s">
        <v>68</v>
      </c>
      <c r="T383">
        <v>54.81</v>
      </c>
      <c r="U383">
        <v>7.07</v>
      </c>
      <c r="V383">
        <v>45.93</v>
      </c>
      <c r="W383">
        <v>71.86</v>
      </c>
      <c r="X383">
        <v>3.92</v>
      </c>
      <c r="Y383">
        <v>28</v>
      </c>
      <c r="Z383">
        <v>-1</v>
      </c>
      <c r="AA383">
        <v>55.7</v>
      </c>
      <c r="AC383" t="s">
        <v>128</v>
      </c>
      <c r="AD383" t="s">
        <v>127</v>
      </c>
      <c r="AE383" t="s">
        <v>128</v>
      </c>
      <c r="AF383">
        <v>7</v>
      </c>
      <c r="AG383">
        <v>9</v>
      </c>
      <c r="AH383">
        <v>9</v>
      </c>
      <c r="AI383">
        <v>7</v>
      </c>
      <c r="AJ383">
        <v>7</v>
      </c>
      <c r="AK383">
        <v>7</v>
      </c>
    </row>
    <row r="384" spans="2:37" x14ac:dyDescent="0.3">
      <c r="B384" t="s">
        <v>168</v>
      </c>
      <c r="C384">
        <v>116</v>
      </c>
      <c r="D384">
        <v>20</v>
      </c>
      <c r="E384">
        <v>25</v>
      </c>
      <c r="F384">
        <v>150</v>
      </c>
      <c r="G384">
        <v>11.468648560757982</v>
      </c>
      <c r="H384">
        <v>55</v>
      </c>
      <c r="I384">
        <v>75</v>
      </c>
      <c r="J384">
        <v>18</v>
      </c>
      <c r="K384" s="8">
        <v>6.29</v>
      </c>
      <c r="N384">
        <v>4.5</v>
      </c>
      <c r="O384" s="10">
        <v>11.12</v>
      </c>
      <c r="R384" s="8">
        <v>0</v>
      </c>
      <c r="S384" t="s">
        <v>68</v>
      </c>
      <c r="T384">
        <v>58.46</v>
      </c>
      <c r="U384">
        <v>8.82</v>
      </c>
      <c r="V384">
        <v>51.61</v>
      </c>
      <c r="W384">
        <v>78.47</v>
      </c>
      <c r="X384">
        <v>0.01</v>
      </c>
      <c r="Y384">
        <v>16.600000000000001</v>
      </c>
      <c r="Z384">
        <v>1</v>
      </c>
      <c r="AA384">
        <v>51.36</v>
      </c>
      <c r="AC384" t="s">
        <v>128</v>
      </c>
      <c r="AD384" t="s">
        <v>208</v>
      </c>
      <c r="AE384" t="s">
        <v>218</v>
      </c>
      <c r="AF384">
        <v>8</v>
      </c>
      <c r="AG384">
        <v>8</v>
      </c>
      <c r="AH384">
        <v>7</v>
      </c>
      <c r="AI384" t="s">
        <v>213</v>
      </c>
      <c r="AJ384">
        <v>8</v>
      </c>
      <c r="AK384">
        <v>7</v>
      </c>
    </row>
    <row r="385" spans="2:37" x14ac:dyDescent="0.3">
      <c r="B385" t="s">
        <v>168</v>
      </c>
      <c r="C385">
        <v>116</v>
      </c>
      <c r="D385">
        <v>20</v>
      </c>
      <c r="E385">
        <v>25</v>
      </c>
      <c r="F385">
        <v>150</v>
      </c>
      <c r="G385">
        <v>11.468648560757982</v>
      </c>
      <c r="H385">
        <v>55</v>
      </c>
      <c r="I385">
        <v>75</v>
      </c>
      <c r="J385">
        <v>18</v>
      </c>
      <c r="K385" s="8">
        <v>6.25</v>
      </c>
      <c r="N385">
        <v>5.6</v>
      </c>
      <c r="O385" s="10">
        <v>11.78</v>
      </c>
      <c r="R385" s="8">
        <v>0</v>
      </c>
      <c r="S385" t="s">
        <v>68</v>
      </c>
      <c r="T385">
        <v>58.44</v>
      </c>
      <c r="U385">
        <v>8.81</v>
      </c>
      <c r="V385">
        <v>51.66</v>
      </c>
      <c r="W385">
        <v>78.489999999999995</v>
      </c>
      <c r="X385">
        <v>0.04</v>
      </c>
      <c r="Y385">
        <v>16.3</v>
      </c>
      <c r="Z385">
        <v>1</v>
      </c>
      <c r="AA385">
        <v>51.39</v>
      </c>
      <c r="AC385" t="s">
        <v>128</v>
      </c>
      <c r="AD385" t="s">
        <v>208</v>
      </c>
      <c r="AE385" t="s">
        <v>218</v>
      </c>
      <c r="AF385">
        <v>7</v>
      </c>
      <c r="AG385">
        <v>6</v>
      </c>
      <c r="AH385">
        <v>7</v>
      </c>
      <c r="AI385" t="s">
        <v>213</v>
      </c>
      <c r="AJ385">
        <v>7</v>
      </c>
      <c r="AK385">
        <v>7</v>
      </c>
    </row>
    <row r="386" spans="2:37" x14ac:dyDescent="0.3">
      <c r="B386" t="s">
        <v>168</v>
      </c>
      <c r="C386">
        <v>116</v>
      </c>
      <c r="D386">
        <v>20</v>
      </c>
      <c r="E386">
        <v>25</v>
      </c>
      <c r="F386">
        <v>150</v>
      </c>
      <c r="G386">
        <v>11.468648560757982</v>
      </c>
      <c r="H386">
        <v>55</v>
      </c>
      <c r="I386">
        <v>75</v>
      </c>
      <c r="J386">
        <v>18</v>
      </c>
      <c r="K386" s="8">
        <v>6.2889999999999997</v>
      </c>
      <c r="N386">
        <v>6.9</v>
      </c>
      <c r="O386" s="10">
        <v>10.050000000000001</v>
      </c>
      <c r="R386" s="8">
        <v>0</v>
      </c>
      <c r="S386" t="s">
        <v>68</v>
      </c>
      <c r="T386">
        <v>58.43</v>
      </c>
      <c r="U386">
        <v>8.8000000000000007</v>
      </c>
      <c r="V386">
        <v>51.6</v>
      </c>
      <c r="W386">
        <v>78.45</v>
      </c>
      <c r="X386">
        <v>0.02</v>
      </c>
      <c r="Y386">
        <v>16.5</v>
      </c>
      <c r="Z386">
        <v>1</v>
      </c>
      <c r="AA386">
        <v>51.5</v>
      </c>
      <c r="AC386" t="s">
        <v>128</v>
      </c>
      <c r="AD386" t="s">
        <v>208</v>
      </c>
      <c r="AE386" t="s">
        <v>218</v>
      </c>
      <c r="AF386">
        <v>6</v>
      </c>
      <c r="AG386">
        <v>7</v>
      </c>
      <c r="AH386">
        <v>6</v>
      </c>
      <c r="AI386" t="s">
        <v>213</v>
      </c>
      <c r="AJ386">
        <v>8</v>
      </c>
      <c r="AK386">
        <v>7</v>
      </c>
    </row>
    <row r="387" spans="2:37" x14ac:dyDescent="0.3">
      <c r="B387" t="s">
        <v>169</v>
      </c>
      <c r="C387">
        <v>116</v>
      </c>
      <c r="D387">
        <v>20</v>
      </c>
      <c r="E387">
        <v>25</v>
      </c>
      <c r="F387">
        <v>150</v>
      </c>
      <c r="G387">
        <v>11.468648560757982</v>
      </c>
      <c r="H387">
        <v>45</v>
      </c>
      <c r="I387">
        <v>75</v>
      </c>
      <c r="J387">
        <v>20</v>
      </c>
      <c r="K387" s="8">
        <v>5.98</v>
      </c>
      <c r="N387">
        <v>4.1500000000000004</v>
      </c>
      <c r="O387" s="10">
        <v>10.5</v>
      </c>
      <c r="R387" s="8">
        <v>0</v>
      </c>
      <c r="S387" t="s">
        <v>68</v>
      </c>
      <c r="X387">
        <v>0.16400000000000001</v>
      </c>
      <c r="Y387">
        <v>20.6</v>
      </c>
      <c r="Z387">
        <v>1</v>
      </c>
      <c r="AC387" t="s">
        <v>128</v>
      </c>
      <c r="AD387" t="s">
        <v>208</v>
      </c>
      <c r="AE387" t="s">
        <v>218</v>
      </c>
      <c r="AF387">
        <v>6</v>
      </c>
      <c r="AG387">
        <v>6</v>
      </c>
      <c r="AH387">
        <v>6</v>
      </c>
      <c r="AI387" t="s">
        <v>213</v>
      </c>
      <c r="AJ387">
        <v>8</v>
      </c>
      <c r="AK387">
        <v>8</v>
      </c>
    </row>
    <row r="388" spans="2:37" x14ac:dyDescent="0.3">
      <c r="B388" t="s">
        <v>169</v>
      </c>
      <c r="C388">
        <v>116</v>
      </c>
      <c r="D388">
        <v>20</v>
      </c>
      <c r="E388">
        <v>25</v>
      </c>
      <c r="F388">
        <v>150</v>
      </c>
      <c r="G388">
        <v>11.468648560757982</v>
      </c>
      <c r="H388">
        <v>45</v>
      </c>
      <c r="I388">
        <v>75</v>
      </c>
      <c r="J388">
        <v>20</v>
      </c>
      <c r="K388" s="8">
        <v>6.03</v>
      </c>
      <c r="N388">
        <v>4.21</v>
      </c>
      <c r="O388" s="8">
        <v>9.84</v>
      </c>
      <c r="R388" s="8">
        <v>0</v>
      </c>
      <c r="S388" t="s">
        <v>68</v>
      </c>
      <c r="X388">
        <v>0.70399999999999996</v>
      </c>
      <c r="Y388">
        <v>20.100000000000001</v>
      </c>
      <c r="Z388">
        <v>1</v>
      </c>
      <c r="AC388" t="s">
        <v>128</v>
      </c>
      <c r="AD388" t="s">
        <v>127</v>
      </c>
      <c r="AE388" t="s">
        <v>128</v>
      </c>
      <c r="AF388">
        <v>6</v>
      </c>
      <c r="AG388">
        <v>6</v>
      </c>
      <c r="AH388">
        <v>7</v>
      </c>
      <c r="AI388">
        <v>6</v>
      </c>
      <c r="AJ388">
        <v>7</v>
      </c>
      <c r="AK388">
        <v>8</v>
      </c>
    </row>
    <row r="389" spans="2:37" x14ac:dyDescent="0.3">
      <c r="B389" t="s">
        <v>169</v>
      </c>
      <c r="C389">
        <v>116</v>
      </c>
      <c r="D389">
        <v>20</v>
      </c>
      <c r="E389">
        <v>25</v>
      </c>
      <c r="F389">
        <v>150</v>
      </c>
      <c r="G389">
        <v>11.468648560757982</v>
      </c>
      <c r="H389">
        <v>45</v>
      </c>
      <c r="I389">
        <v>75</v>
      </c>
      <c r="J389">
        <v>20</v>
      </c>
      <c r="K389" s="8">
        <v>6.12</v>
      </c>
      <c r="N389">
        <v>4</v>
      </c>
      <c r="O389" s="8">
        <v>9.99</v>
      </c>
      <c r="R389" s="8">
        <v>0</v>
      </c>
      <c r="S389" t="s">
        <v>68</v>
      </c>
      <c r="X389">
        <v>1.32</v>
      </c>
      <c r="Y389">
        <v>19.399999999999999</v>
      </c>
      <c r="Z389">
        <v>0</v>
      </c>
      <c r="AC389" t="s">
        <v>128</v>
      </c>
      <c r="AD389" t="s">
        <v>127</v>
      </c>
      <c r="AE389" t="s">
        <v>128</v>
      </c>
      <c r="AF389">
        <v>7</v>
      </c>
      <c r="AG389">
        <v>5</v>
      </c>
      <c r="AH389">
        <v>7</v>
      </c>
      <c r="AI389">
        <v>5</v>
      </c>
      <c r="AJ389">
        <v>8</v>
      </c>
      <c r="AK389">
        <v>8</v>
      </c>
    </row>
    <row r="390" spans="2:37" x14ac:dyDescent="0.3">
      <c r="B390" t="s">
        <v>170</v>
      </c>
      <c r="C390">
        <v>116</v>
      </c>
      <c r="D390">
        <v>20</v>
      </c>
      <c r="E390">
        <v>25</v>
      </c>
      <c r="F390">
        <v>150</v>
      </c>
      <c r="G390">
        <v>11.468648560757982</v>
      </c>
      <c r="H390">
        <v>28</v>
      </c>
      <c r="I390">
        <v>75</v>
      </c>
      <c r="J390">
        <v>20</v>
      </c>
      <c r="K390" s="8">
        <v>6.12</v>
      </c>
      <c r="N390">
        <v>1.7</v>
      </c>
      <c r="O390" s="8">
        <v>8.9</v>
      </c>
      <c r="R390" s="8">
        <v>0</v>
      </c>
      <c r="S390" t="s">
        <v>68</v>
      </c>
      <c r="X390">
        <v>0.81799999999999995</v>
      </c>
      <c r="Y390">
        <v>16.2</v>
      </c>
      <c r="Z390">
        <v>0</v>
      </c>
      <c r="AC390" t="s">
        <v>128</v>
      </c>
      <c r="AD390" t="s">
        <v>127</v>
      </c>
      <c r="AE390" t="s">
        <v>128</v>
      </c>
      <c r="AF390">
        <v>6</v>
      </c>
      <c r="AG390">
        <v>6</v>
      </c>
      <c r="AH390">
        <v>8</v>
      </c>
      <c r="AI390">
        <v>6</v>
      </c>
      <c r="AJ390">
        <v>6</v>
      </c>
      <c r="AK390">
        <v>8</v>
      </c>
    </row>
    <row r="391" spans="2:37" x14ac:dyDescent="0.3">
      <c r="B391" t="s">
        <v>170</v>
      </c>
      <c r="C391">
        <v>116</v>
      </c>
      <c r="D391">
        <v>20</v>
      </c>
      <c r="E391">
        <v>25</v>
      </c>
      <c r="F391">
        <v>150</v>
      </c>
      <c r="G391">
        <v>11.468648560757982</v>
      </c>
      <c r="H391">
        <v>28</v>
      </c>
      <c r="I391">
        <v>75</v>
      </c>
      <c r="J391">
        <v>20</v>
      </c>
      <c r="K391" s="8">
        <v>6.14</v>
      </c>
      <c r="N391">
        <v>1.81</v>
      </c>
      <c r="O391" s="8">
        <v>8.65</v>
      </c>
      <c r="R391" s="8">
        <v>0</v>
      </c>
      <c r="S391" t="s">
        <v>68</v>
      </c>
      <c r="X391">
        <v>0.88900000000000001</v>
      </c>
      <c r="Y391">
        <v>17.2</v>
      </c>
      <c r="Z391">
        <v>0</v>
      </c>
      <c r="AC391" t="s">
        <v>128</v>
      </c>
      <c r="AD391" t="s">
        <v>127</v>
      </c>
      <c r="AE391" t="s">
        <v>128</v>
      </c>
      <c r="AF391">
        <v>6</v>
      </c>
      <c r="AG391">
        <v>6</v>
      </c>
      <c r="AH391">
        <v>8</v>
      </c>
      <c r="AI391">
        <v>7</v>
      </c>
      <c r="AJ391">
        <v>6</v>
      </c>
      <c r="AK391">
        <v>7</v>
      </c>
    </row>
    <row r="392" spans="2:37" x14ac:dyDescent="0.3">
      <c r="B392" t="s">
        <v>170</v>
      </c>
      <c r="C392">
        <v>116</v>
      </c>
      <c r="D392">
        <v>20</v>
      </c>
      <c r="E392">
        <v>25</v>
      </c>
      <c r="F392">
        <v>150</v>
      </c>
      <c r="G392">
        <v>11.468648560757982</v>
      </c>
      <c r="H392">
        <v>28</v>
      </c>
      <c r="I392">
        <v>75</v>
      </c>
      <c r="J392">
        <v>20</v>
      </c>
      <c r="K392" s="8">
        <v>6.16</v>
      </c>
      <c r="N392">
        <v>1.69</v>
      </c>
      <c r="O392" s="8">
        <v>8.76</v>
      </c>
      <c r="R392" s="8">
        <v>0</v>
      </c>
      <c r="S392" t="s">
        <v>68</v>
      </c>
      <c r="X392">
        <v>0.88800000000000001</v>
      </c>
      <c r="Y392">
        <v>16.899999999999999</v>
      </c>
      <c r="Z392">
        <v>0</v>
      </c>
      <c r="AC392" t="s">
        <v>128</v>
      </c>
      <c r="AD392" t="s">
        <v>127</v>
      </c>
      <c r="AE392" t="s">
        <v>128</v>
      </c>
      <c r="AF392">
        <v>7</v>
      </c>
      <c r="AG392">
        <v>6</v>
      </c>
      <c r="AH392">
        <v>8</v>
      </c>
      <c r="AI392">
        <v>6</v>
      </c>
      <c r="AJ392">
        <v>6</v>
      </c>
      <c r="AK392">
        <v>8</v>
      </c>
    </row>
    <row r="393" spans="2:37" x14ac:dyDescent="0.3">
      <c r="B393" t="s">
        <v>170</v>
      </c>
      <c r="C393">
        <v>116</v>
      </c>
      <c r="D393">
        <v>20</v>
      </c>
      <c r="E393">
        <v>25</v>
      </c>
      <c r="F393">
        <v>150</v>
      </c>
      <c r="G393">
        <v>11.468648560757982</v>
      </c>
      <c r="H393">
        <v>28</v>
      </c>
      <c r="I393">
        <v>75</v>
      </c>
      <c r="J393">
        <v>20</v>
      </c>
      <c r="K393" s="8">
        <v>6.18</v>
      </c>
      <c r="N393">
        <v>1.69</v>
      </c>
      <c r="O393" s="8">
        <v>9.85</v>
      </c>
      <c r="R393" s="8">
        <v>0</v>
      </c>
      <c r="S393" t="s">
        <v>68</v>
      </c>
      <c r="X393">
        <v>0.66100000000000003</v>
      </c>
      <c r="Y393">
        <v>17.2</v>
      </c>
      <c r="Z393">
        <v>0</v>
      </c>
      <c r="AC393" t="s">
        <v>128</v>
      </c>
      <c r="AD393" t="s">
        <v>127</v>
      </c>
      <c r="AE393" t="s">
        <v>128</v>
      </c>
      <c r="AF393">
        <v>6</v>
      </c>
      <c r="AG393">
        <v>7</v>
      </c>
      <c r="AH393">
        <v>9</v>
      </c>
      <c r="AI393">
        <v>5</v>
      </c>
      <c r="AJ393">
        <v>7</v>
      </c>
      <c r="AK393">
        <v>7</v>
      </c>
    </row>
    <row r="394" spans="2:37" x14ac:dyDescent="0.3">
      <c r="B394" t="s">
        <v>170</v>
      </c>
      <c r="C394">
        <v>116</v>
      </c>
      <c r="D394">
        <v>20</v>
      </c>
      <c r="E394">
        <v>25</v>
      </c>
      <c r="F394">
        <v>150</v>
      </c>
      <c r="G394">
        <v>11.468648560757982</v>
      </c>
      <c r="H394">
        <v>28</v>
      </c>
      <c r="I394">
        <v>75</v>
      </c>
      <c r="J394">
        <v>20</v>
      </c>
      <c r="K394" s="8">
        <v>6.14</v>
      </c>
      <c r="N394">
        <v>1.72</v>
      </c>
      <c r="O394" s="8">
        <v>8.7100000000000009</v>
      </c>
      <c r="R394" s="8">
        <v>0</v>
      </c>
      <c r="S394" t="s">
        <v>68</v>
      </c>
      <c r="X394">
        <v>5.0199999999999996</v>
      </c>
      <c r="Y394">
        <v>14.9</v>
      </c>
      <c r="Z394">
        <v>0</v>
      </c>
      <c r="AC394" t="s">
        <v>128</v>
      </c>
      <c r="AD394" t="s">
        <v>127</v>
      </c>
      <c r="AE394" t="s">
        <v>128</v>
      </c>
      <c r="AF394">
        <v>7</v>
      </c>
      <c r="AG394">
        <v>5</v>
      </c>
      <c r="AH394">
        <v>8</v>
      </c>
      <c r="AI394">
        <v>7</v>
      </c>
      <c r="AJ394">
        <v>6</v>
      </c>
      <c r="AK394">
        <v>7</v>
      </c>
    </row>
    <row r="395" spans="2:37" x14ac:dyDescent="0.3">
      <c r="B395" t="s">
        <v>170</v>
      </c>
      <c r="C395">
        <v>116</v>
      </c>
      <c r="D395">
        <v>20</v>
      </c>
      <c r="E395">
        <v>25</v>
      </c>
      <c r="F395">
        <v>150</v>
      </c>
      <c r="G395">
        <v>11.468648560757982</v>
      </c>
      <c r="H395">
        <v>28</v>
      </c>
      <c r="I395">
        <v>75</v>
      </c>
      <c r="J395">
        <v>20</v>
      </c>
      <c r="K395" s="8">
        <v>6.1890000000000001</v>
      </c>
      <c r="N395">
        <v>1.7</v>
      </c>
      <c r="O395" s="10">
        <v>10.95</v>
      </c>
      <c r="R395" s="8">
        <v>0</v>
      </c>
      <c r="S395" t="s">
        <v>68</v>
      </c>
      <c r="X395">
        <v>6.63</v>
      </c>
      <c r="Y395">
        <v>12.2</v>
      </c>
      <c r="Z395">
        <v>0</v>
      </c>
      <c r="AC395" t="s">
        <v>128</v>
      </c>
      <c r="AD395" t="s">
        <v>208</v>
      </c>
      <c r="AE395" t="s">
        <v>218</v>
      </c>
      <c r="AF395">
        <v>6</v>
      </c>
      <c r="AG395">
        <v>6</v>
      </c>
      <c r="AH395">
        <v>7</v>
      </c>
      <c r="AI395" t="s">
        <v>213</v>
      </c>
      <c r="AJ395">
        <v>7</v>
      </c>
      <c r="AK395">
        <v>8</v>
      </c>
    </row>
    <row r="396" spans="2:37" x14ac:dyDescent="0.3">
      <c r="B396" t="s">
        <v>171</v>
      </c>
      <c r="C396">
        <v>116</v>
      </c>
      <c r="D396">
        <v>20</v>
      </c>
      <c r="E396">
        <v>25</v>
      </c>
      <c r="F396">
        <v>150</v>
      </c>
      <c r="G396">
        <v>11.468648560757982</v>
      </c>
      <c r="H396">
        <v>55</v>
      </c>
      <c r="I396">
        <v>75</v>
      </c>
      <c r="J396">
        <v>21</v>
      </c>
      <c r="K396" s="8">
        <v>6.14</v>
      </c>
      <c r="N396">
        <v>1</v>
      </c>
      <c r="O396" s="10">
        <v>34.56</v>
      </c>
      <c r="R396" s="8">
        <v>0</v>
      </c>
      <c r="S396" t="s">
        <v>68</v>
      </c>
      <c r="X396">
        <v>0</v>
      </c>
      <c r="Y396">
        <v>23.2</v>
      </c>
      <c r="Z396">
        <v>0</v>
      </c>
      <c r="AC396" t="s">
        <v>128</v>
      </c>
      <c r="AD396" t="s">
        <v>208</v>
      </c>
      <c r="AE396" t="s">
        <v>218</v>
      </c>
      <c r="AF396">
        <v>5</v>
      </c>
      <c r="AG396">
        <v>7</v>
      </c>
      <c r="AH396">
        <v>4</v>
      </c>
      <c r="AI396" t="s">
        <v>213</v>
      </c>
      <c r="AJ396">
        <v>6</v>
      </c>
      <c r="AK396">
        <v>4</v>
      </c>
    </row>
    <row r="397" spans="2:37" x14ac:dyDescent="0.3">
      <c r="B397" t="s">
        <v>171</v>
      </c>
      <c r="C397">
        <v>116</v>
      </c>
      <c r="D397">
        <v>20</v>
      </c>
      <c r="E397">
        <v>25</v>
      </c>
      <c r="F397">
        <v>150</v>
      </c>
      <c r="G397">
        <v>11.468648560757982</v>
      </c>
      <c r="H397">
        <v>55</v>
      </c>
      <c r="I397">
        <v>75</v>
      </c>
      <c r="J397">
        <v>21</v>
      </c>
      <c r="K397" s="8">
        <v>6.12</v>
      </c>
      <c r="N397">
        <v>1.2</v>
      </c>
      <c r="O397" s="10">
        <v>34.89</v>
      </c>
      <c r="R397" s="8">
        <v>0</v>
      </c>
      <c r="S397" t="s">
        <v>68</v>
      </c>
      <c r="X397">
        <v>0</v>
      </c>
      <c r="Y397">
        <v>23.1</v>
      </c>
      <c r="Z397">
        <v>0</v>
      </c>
      <c r="AC397" t="s">
        <v>128</v>
      </c>
      <c r="AD397" t="s">
        <v>208</v>
      </c>
      <c r="AE397" t="s">
        <v>218</v>
      </c>
      <c r="AF397">
        <v>4</v>
      </c>
      <c r="AG397">
        <v>6</v>
      </c>
      <c r="AH397">
        <v>4</v>
      </c>
      <c r="AI397" t="s">
        <v>213</v>
      </c>
      <c r="AJ397">
        <v>7</v>
      </c>
      <c r="AK397">
        <v>4</v>
      </c>
    </row>
    <row r="398" spans="2:37" x14ac:dyDescent="0.3">
      <c r="B398" t="s">
        <v>171</v>
      </c>
      <c r="C398">
        <v>116</v>
      </c>
      <c r="D398">
        <v>20</v>
      </c>
      <c r="E398">
        <v>25</v>
      </c>
      <c r="F398">
        <v>150</v>
      </c>
      <c r="G398">
        <v>11.468648560757982</v>
      </c>
      <c r="H398">
        <v>55</v>
      </c>
      <c r="I398">
        <v>75</v>
      </c>
      <c r="J398">
        <v>21</v>
      </c>
      <c r="K398" s="8">
        <v>6.13</v>
      </c>
      <c r="N398">
        <v>1.1000000000000001</v>
      </c>
      <c r="O398" s="10">
        <v>34.18</v>
      </c>
      <c r="R398" s="8">
        <v>0</v>
      </c>
      <c r="S398" t="s">
        <v>68</v>
      </c>
      <c r="X398">
        <v>0</v>
      </c>
      <c r="Y398">
        <v>23.1</v>
      </c>
      <c r="Z398">
        <v>0</v>
      </c>
      <c r="AC398" t="s">
        <v>128</v>
      </c>
      <c r="AD398" t="s">
        <v>208</v>
      </c>
      <c r="AE398" t="s">
        <v>218</v>
      </c>
      <c r="AF398">
        <v>5</v>
      </c>
      <c r="AG398">
        <v>5</v>
      </c>
      <c r="AH398">
        <v>4</v>
      </c>
      <c r="AI398" t="s">
        <v>213</v>
      </c>
      <c r="AJ398">
        <v>8</v>
      </c>
      <c r="AK398">
        <v>4</v>
      </c>
    </row>
    <row r="399" spans="2:37" x14ac:dyDescent="0.3">
      <c r="B399" t="s">
        <v>172</v>
      </c>
      <c r="C399">
        <v>116</v>
      </c>
      <c r="D399">
        <v>20</v>
      </c>
      <c r="E399">
        <v>25</v>
      </c>
      <c r="F399">
        <v>150</v>
      </c>
      <c r="G399">
        <v>11.468648560757982</v>
      </c>
      <c r="H399">
        <v>32</v>
      </c>
      <c r="I399">
        <v>75</v>
      </c>
      <c r="J399">
        <v>21</v>
      </c>
      <c r="K399" s="8">
        <v>6.11</v>
      </c>
      <c r="N399">
        <v>3.7</v>
      </c>
      <c r="O399" s="10">
        <v>12.12</v>
      </c>
      <c r="R399" s="8">
        <v>0</v>
      </c>
      <c r="S399" t="s">
        <v>68</v>
      </c>
      <c r="X399">
        <v>0</v>
      </c>
      <c r="Y399">
        <v>4</v>
      </c>
      <c r="Z399">
        <v>19.899999999999999</v>
      </c>
      <c r="AC399" t="s">
        <v>128</v>
      </c>
      <c r="AD399" t="s">
        <v>208</v>
      </c>
      <c r="AE399" t="s">
        <v>218</v>
      </c>
      <c r="AF399">
        <v>5</v>
      </c>
      <c r="AG399">
        <v>7</v>
      </c>
      <c r="AH399">
        <v>7</v>
      </c>
      <c r="AI399" t="s">
        <v>213</v>
      </c>
      <c r="AJ399">
        <v>7</v>
      </c>
      <c r="AK399">
        <v>7</v>
      </c>
    </row>
    <row r="400" spans="2:37" x14ac:dyDescent="0.3">
      <c r="B400" t="s">
        <v>172</v>
      </c>
      <c r="C400">
        <v>116</v>
      </c>
      <c r="D400">
        <v>20</v>
      </c>
      <c r="E400">
        <v>25</v>
      </c>
      <c r="F400">
        <v>150</v>
      </c>
      <c r="G400">
        <v>11.468648560757982</v>
      </c>
      <c r="H400">
        <v>32</v>
      </c>
      <c r="I400">
        <v>75</v>
      </c>
      <c r="J400">
        <v>21</v>
      </c>
      <c r="K400" s="8">
        <v>6.19</v>
      </c>
      <c r="N400">
        <v>3.67</v>
      </c>
      <c r="O400" s="10">
        <v>11.48</v>
      </c>
      <c r="R400" s="8">
        <v>0</v>
      </c>
      <c r="S400" t="s">
        <v>68</v>
      </c>
      <c r="X400">
        <v>0</v>
      </c>
      <c r="Y400">
        <v>20</v>
      </c>
      <c r="Z400">
        <v>0</v>
      </c>
      <c r="AC400" t="s">
        <v>128</v>
      </c>
      <c r="AD400" t="s">
        <v>208</v>
      </c>
      <c r="AE400" t="s">
        <v>218</v>
      </c>
      <c r="AF400">
        <v>8</v>
      </c>
      <c r="AG400">
        <v>6</v>
      </c>
      <c r="AH400">
        <v>7</v>
      </c>
      <c r="AI400" t="s">
        <v>213</v>
      </c>
      <c r="AJ400">
        <v>8</v>
      </c>
      <c r="AK400">
        <v>6</v>
      </c>
    </row>
    <row r="401" spans="2:37" x14ac:dyDescent="0.3">
      <c r="B401" t="s">
        <v>172</v>
      </c>
      <c r="C401">
        <v>116</v>
      </c>
      <c r="D401">
        <v>20</v>
      </c>
      <c r="E401">
        <v>25</v>
      </c>
      <c r="F401">
        <v>150</v>
      </c>
      <c r="G401">
        <v>11.468648560757982</v>
      </c>
      <c r="H401">
        <v>32</v>
      </c>
      <c r="I401">
        <v>75</v>
      </c>
      <c r="J401">
        <v>21</v>
      </c>
      <c r="K401" s="8">
        <v>6.15</v>
      </c>
      <c r="N401">
        <v>3.57</v>
      </c>
      <c r="O401" s="10">
        <v>12.08</v>
      </c>
      <c r="R401" s="8">
        <v>0</v>
      </c>
      <c r="S401" t="s">
        <v>68</v>
      </c>
      <c r="X401">
        <v>0</v>
      </c>
      <c r="Y401">
        <v>2</v>
      </c>
      <c r="Z401">
        <v>0</v>
      </c>
      <c r="AC401" t="s">
        <v>128</v>
      </c>
      <c r="AD401" t="s">
        <v>208</v>
      </c>
      <c r="AE401" t="s">
        <v>218</v>
      </c>
      <c r="AF401">
        <v>4</v>
      </c>
      <c r="AG401">
        <v>5</v>
      </c>
      <c r="AH401">
        <v>7</v>
      </c>
      <c r="AI401" t="s">
        <v>213</v>
      </c>
      <c r="AJ401">
        <v>7</v>
      </c>
      <c r="AK401">
        <v>6</v>
      </c>
    </row>
    <row r="402" spans="2:37" x14ac:dyDescent="0.3">
      <c r="B402" t="s">
        <v>173</v>
      </c>
      <c r="C402">
        <v>116</v>
      </c>
      <c r="D402">
        <v>20</v>
      </c>
      <c r="E402">
        <v>25</v>
      </c>
      <c r="F402">
        <v>150</v>
      </c>
      <c r="G402">
        <v>11.468648560757982</v>
      </c>
      <c r="H402">
        <v>55</v>
      </c>
      <c r="I402">
        <v>75</v>
      </c>
      <c r="J402">
        <v>24</v>
      </c>
      <c r="K402" s="8">
        <v>6.05</v>
      </c>
      <c r="N402">
        <v>5.3</v>
      </c>
      <c r="O402" s="10">
        <v>44.55</v>
      </c>
      <c r="R402" s="8">
        <v>0</v>
      </c>
      <c r="S402" t="s">
        <v>68</v>
      </c>
      <c r="X402">
        <v>0</v>
      </c>
      <c r="Y402">
        <v>34.4</v>
      </c>
      <c r="Z402">
        <v>1</v>
      </c>
      <c r="AC402" t="s">
        <v>128</v>
      </c>
      <c r="AD402" t="s">
        <v>208</v>
      </c>
      <c r="AE402" t="s">
        <v>218</v>
      </c>
      <c r="AF402">
        <v>7</v>
      </c>
      <c r="AG402">
        <v>6</v>
      </c>
      <c r="AH402">
        <v>3</v>
      </c>
      <c r="AI402" t="s">
        <v>213</v>
      </c>
      <c r="AJ402">
        <v>6</v>
      </c>
      <c r="AK402">
        <v>4</v>
      </c>
    </row>
    <row r="403" spans="2:37" x14ac:dyDescent="0.3">
      <c r="B403" t="s">
        <v>173</v>
      </c>
      <c r="C403">
        <v>116</v>
      </c>
      <c r="D403">
        <v>20</v>
      </c>
      <c r="E403">
        <v>25</v>
      </c>
      <c r="F403">
        <v>150</v>
      </c>
      <c r="G403">
        <v>11.468648560757982</v>
      </c>
      <c r="H403">
        <v>55</v>
      </c>
      <c r="I403">
        <v>75</v>
      </c>
      <c r="J403">
        <v>24</v>
      </c>
      <c r="K403" s="8">
        <v>6.07</v>
      </c>
      <c r="N403">
        <v>3.4</v>
      </c>
      <c r="O403" s="10">
        <v>45.03</v>
      </c>
      <c r="R403" s="8">
        <v>0</v>
      </c>
      <c r="S403" t="s">
        <v>68</v>
      </c>
      <c r="X403">
        <v>0</v>
      </c>
      <c r="Y403">
        <v>34.5</v>
      </c>
      <c r="Z403">
        <v>0</v>
      </c>
      <c r="AC403" t="s">
        <v>128</v>
      </c>
      <c r="AD403" t="s">
        <v>208</v>
      </c>
      <c r="AE403" t="s">
        <v>218</v>
      </c>
      <c r="AF403">
        <v>6</v>
      </c>
      <c r="AG403">
        <v>5</v>
      </c>
      <c r="AH403">
        <v>3</v>
      </c>
      <c r="AI403" t="s">
        <v>213</v>
      </c>
      <c r="AJ403">
        <v>5</v>
      </c>
      <c r="AK403">
        <v>3</v>
      </c>
    </row>
    <row r="404" spans="2:37" x14ac:dyDescent="0.3">
      <c r="B404" t="s">
        <v>173</v>
      </c>
      <c r="C404">
        <v>116</v>
      </c>
      <c r="D404">
        <v>20</v>
      </c>
      <c r="E404">
        <v>25</v>
      </c>
      <c r="F404">
        <v>150</v>
      </c>
      <c r="G404">
        <v>11.468648560757982</v>
      </c>
      <c r="H404">
        <v>55</v>
      </c>
      <c r="I404">
        <v>75</v>
      </c>
      <c r="J404">
        <v>24</v>
      </c>
      <c r="K404" s="8">
        <v>6.06</v>
      </c>
      <c r="N404">
        <v>6.8</v>
      </c>
      <c r="O404" s="10">
        <v>44.78</v>
      </c>
      <c r="R404" s="8">
        <v>0</v>
      </c>
      <c r="S404" t="s">
        <v>68</v>
      </c>
      <c r="X404">
        <v>0</v>
      </c>
      <c r="Y404">
        <v>30.4</v>
      </c>
      <c r="Z404">
        <v>1</v>
      </c>
      <c r="AC404" t="s">
        <v>128</v>
      </c>
      <c r="AD404" t="s">
        <v>208</v>
      </c>
      <c r="AE404" t="s">
        <v>218</v>
      </c>
      <c r="AF404">
        <v>9</v>
      </c>
      <c r="AG404">
        <v>6</v>
      </c>
      <c r="AH404">
        <v>2</v>
      </c>
      <c r="AI404" t="s">
        <v>213</v>
      </c>
      <c r="AJ404">
        <v>6</v>
      </c>
      <c r="AK404">
        <v>4</v>
      </c>
    </row>
    <row r="405" spans="2:37" x14ac:dyDescent="0.3">
      <c r="B405" t="s">
        <v>174</v>
      </c>
      <c r="C405">
        <v>116</v>
      </c>
      <c r="D405">
        <v>20</v>
      </c>
      <c r="E405">
        <v>25</v>
      </c>
      <c r="F405">
        <v>150</v>
      </c>
      <c r="G405">
        <v>11.468648560757982</v>
      </c>
      <c r="H405">
        <v>45</v>
      </c>
      <c r="I405">
        <v>75</v>
      </c>
      <c r="J405">
        <v>25</v>
      </c>
      <c r="K405" s="8">
        <v>5.75</v>
      </c>
      <c r="N405">
        <v>3.45</v>
      </c>
      <c r="O405" s="10">
        <v>26.39</v>
      </c>
      <c r="R405" s="8">
        <v>0</v>
      </c>
      <c r="S405" t="s">
        <v>68</v>
      </c>
      <c r="X405">
        <v>0</v>
      </c>
      <c r="Y405">
        <v>18.100000000000001</v>
      </c>
      <c r="Z405">
        <v>0</v>
      </c>
      <c r="AC405" t="s">
        <v>128</v>
      </c>
      <c r="AD405" t="s">
        <v>208</v>
      </c>
      <c r="AE405" t="s">
        <v>218</v>
      </c>
      <c r="AF405">
        <v>8</v>
      </c>
      <c r="AG405">
        <v>7</v>
      </c>
      <c r="AH405">
        <v>5</v>
      </c>
      <c r="AI405" t="s">
        <v>213</v>
      </c>
      <c r="AJ405">
        <v>5</v>
      </c>
      <c r="AK405">
        <v>5</v>
      </c>
    </row>
    <row r="406" spans="2:37" x14ac:dyDescent="0.3">
      <c r="B406" t="s">
        <v>174</v>
      </c>
      <c r="C406">
        <v>116</v>
      </c>
      <c r="D406">
        <v>20</v>
      </c>
      <c r="E406">
        <v>25</v>
      </c>
      <c r="F406">
        <v>150</v>
      </c>
      <c r="G406">
        <v>11.468648560757982</v>
      </c>
      <c r="H406">
        <v>45</v>
      </c>
      <c r="I406">
        <v>75</v>
      </c>
      <c r="J406">
        <v>25</v>
      </c>
      <c r="K406" s="8">
        <v>5.65</v>
      </c>
      <c r="N406">
        <v>5.89</v>
      </c>
      <c r="O406" s="10">
        <v>25.22</v>
      </c>
      <c r="R406" s="8">
        <v>0</v>
      </c>
      <c r="S406" t="s">
        <v>68</v>
      </c>
      <c r="X406">
        <v>0</v>
      </c>
      <c r="Y406">
        <v>18.100000000000001</v>
      </c>
      <c r="Z406">
        <v>0</v>
      </c>
      <c r="AC406" t="s">
        <v>128</v>
      </c>
      <c r="AD406" t="s">
        <v>208</v>
      </c>
      <c r="AE406" t="s">
        <v>218</v>
      </c>
      <c r="AF406">
        <v>6</v>
      </c>
      <c r="AG406">
        <v>5</v>
      </c>
      <c r="AH406">
        <v>5</v>
      </c>
      <c r="AI406" t="s">
        <v>213</v>
      </c>
      <c r="AJ406">
        <v>4</v>
      </c>
      <c r="AK406">
        <v>5</v>
      </c>
    </row>
    <row r="407" spans="2:37" x14ac:dyDescent="0.3">
      <c r="B407" t="s">
        <v>174</v>
      </c>
      <c r="C407">
        <v>116</v>
      </c>
      <c r="D407">
        <v>20</v>
      </c>
      <c r="E407">
        <v>25</v>
      </c>
      <c r="F407">
        <v>150</v>
      </c>
      <c r="G407">
        <v>11.468648560757982</v>
      </c>
      <c r="H407">
        <v>45</v>
      </c>
      <c r="I407">
        <v>75</v>
      </c>
      <c r="J407">
        <v>25</v>
      </c>
      <c r="K407" s="8">
        <v>5.78</v>
      </c>
      <c r="N407">
        <v>6.45</v>
      </c>
      <c r="O407" s="10">
        <v>25.56</v>
      </c>
      <c r="R407" s="8">
        <v>0</v>
      </c>
      <c r="S407" t="s">
        <v>68</v>
      </c>
      <c r="X407">
        <v>0</v>
      </c>
      <c r="Y407">
        <v>18.100000000000001</v>
      </c>
      <c r="Z407">
        <v>0</v>
      </c>
      <c r="AC407" t="s">
        <v>128</v>
      </c>
      <c r="AD407" t="s">
        <v>208</v>
      </c>
      <c r="AE407" t="s">
        <v>218</v>
      </c>
      <c r="AF407">
        <v>8</v>
      </c>
      <c r="AG407">
        <v>6</v>
      </c>
      <c r="AH407">
        <v>5</v>
      </c>
      <c r="AI407" t="s">
        <v>213</v>
      </c>
      <c r="AJ407">
        <v>5</v>
      </c>
      <c r="AK407">
        <v>5</v>
      </c>
    </row>
    <row r="408" spans="2:37" x14ac:dyDescent="0.3">
      <c r="B408" t="s">
        <v>175</v>
      </c>
      <c r="C408">
        <v>116</v>
      </c>
      <c r="D408">
        <v>20</v>
      </c>
      <c r="E408">
        <v>25</v>
      </c>
      <c r="F408">
        <v>150</v>
      </c>
      <c r="G408">
        <v>11.468648560757982</v>
      </c>
      <c r="H408">
        <v>55</v>
      </c>
      <c r="I408">
        <v>75</v>
      </c>
      <c r="J408">
        <v>27</v>
      </c>
      <c r="K408" s="8">
        <v>5.9</v>
      </c>
      <c r="N408">
        <v>6.32</v>
      </c>
      <c r="O408" s="10">
        <v>52.48</v>
      </c>
      <c r="R408" s="8">
        <v>0</v>
      </c>
      <c r="S408" t="s">
        <v>68</v>
      </c>
      <c r="X408">
        <v>0</v>
      </c>
      <c r="Y408">
        <v>15.2</v>
      </c>
      <c r="Z408">
        <v>0</v>
      </c>
      <c r="AA408">
        <v>65.55</v>
      </c>
      <c r="AC408" t="s">
        <v>128</v>
      </c>
      <c r="AD408" t="s">
        <v>208</v>
      </c>
      <c r="AE408" t="s">
        <v>218</v>
      </c>
      <c r="AF408">
        <v>8</v>
      </c>
      <c r="AG408">
        <v>5</v>
      </c>
      <c r="AH408">
        <v>3</v>
      </c>
      <c r="AI408" t="s">
        <v>213</v>
      </c>
      <c r="AJ408">
        <v>4</v>
      </c>
      <c r="AK408">
        <v>2</v>
      </c>
    </row>
    <row r="409" spans="2:37" x14ac:dyDescent="0.3">
      <c r="B409" t="s">
        <v>175</v>
      </c>
      <c r="C409">
        <v>116</v>
      </c>
      <c r="D409">
        <v>20</v>
      </c>
      <c r="E409">
        <v>25</v>
      </c>
      <c r="F409">
        <v>150</v>
      </c>
      <c r="G409">
        <v>11.468648560757982</v>
      </c>
      <c r="H409">
        <v>55</v>
      </c>
      <c r="I409">
        <v>75</v>
      </c>
      <c r="J409">
        <v>27</v>
      </c>
      <c r="K409" s="8">
        <v>5.98</v>
      </c>
      <c r="N409">
        <v>2.56</v>
      </c>
      <c r="O409" s="10">
        <v>51.89</v>
      </c>
      <c r="R409" s="8">
        <v>0</v>
      </c>
      <c r="S409" t="s">
        <v>68</v>
      </c>
      <c r="X409">
        <v>0</v>
      </c>
      <c r="Y409">
        <v>16.8</v>
      </c>
      <c r="Z409">
        <v>0</v>
      </c>
      <c r="AA409">
        <v>65.540000000000006</v>
      </c>
      <c r="AC409" t="s">
        <v>128</v>
      </c>
      <c r="AD409" t="s">
        <v>208</v>
      </c>
      <c r="AE409" t="s">
        <v>218</v>
      </c>
      <c r="AF409">
        <v>7</v>
      </c>
      <c r="AG409">
        <v>7</v>
      </c>
      <c r="AH409">
        <v>3</v>
      </c>
      <c r="AI409" t="s">
        <v>213</v>
      </c>
      <c r="AJ409">
        <v>4</v>
      </c>
      <c r="AK409">
        <v>2</v>
      </c>
    </row>
    <row r="410" spans="2:37" x14ac:dyDescent="0.3">
      <c r="B410" t="s">
        <v>175</v>
      </c>
      <c r="C410">
        <v>116</v>
      </c>
      <c r="D410">
        <v>20</v>
      </c>
      <c r="E410">
        <v>25</v>
      </c>
      <c r="F410">
        <v>150</v>
      </c>
      <c r="G410">
        <v>11.468648560757982</v>
      </c>
      <c r="H410">
        <v>55</v>
      </c>
      <c r="I410">
        <v>75</v>
      </c>
      <c r="J410">
        <v>27</v>
      </c>
      <c r="K410" s="8">
        <v>5.97</v>
      </c>
      <c r="N410">
        <v>2.56</v>
      </c>
      <c r="O410" s="10">
        <v>52.79</v>
      </c>
      <c r="R410" s="8">
        <v>0</v>
      </c>
      <c r="S410" t="s">
        <v>68</v>
      </c>
      <c r="X410">
        <v>2.44</v>
      </c>
      <c r="Y410">
        <v>19.7</v>
      </c>
      <c r="Z410">
        <v>0</v>
      </c>
      <c r="AA410">
        <v>65.56</v>
      </c>
      <c r="AC410" t="s">
        <v>128</v>
      </c>
      <c r="AD410" t="s">
        <v>208</v>
      </c>
      <c r="AE410" t="s">
        <v>218</v>
      </c>
      <c r="AF410">
        <v>7</v>
      </c>
      <c r="AG410">
        <v>6</v>
      </c>
      <c r="AH410">
        <v>2</v>
      </c>
      <c r="AI410" t="s">
        <v>213</v>
      </c>
      <c r="AJ410">
        <v>4</v>
      </c>
      <c r="AK410">
        <v>1</v>
      </c>
    </row>
    <row r="411" spans="2:37" x14ac:dyDescent="0.3">
      <c r="B411" t="s">
        <v>176</v>
      </c>
      <c r="C411">
        <v>116</v>
      </c>
      <c r="D411">
        <v>20</v>
      </c>
      <c r="E411">
        <v>25</v>
      </c>
      <c r="F411">
        <v>150</v>
      </c>
      <c r="G411">
        <v>11.468648560757982</v>
      </c>
      <c r="H411">
        <v>32</v>
      </c>
      <c r="I411">
        <v>75</v>
      </c>
      <c r="J411">
        <v>28</v>
      </c>
      <c r="K411" s="8">
        <v>6.01</v>
      </c>
      <c r="N411">
        <v>1.38</v>
      </c>
      <c r="O411" s="10">
        <v>24.78</v>
      </c>
      <c r="R411" s="8">
        <v>0</v>
      </c>
      <c r="S411" t="s">
        <v>68</v>
      </c>
      <c r="X411">
        <v>0</v>
      </c>
      <c r="Y411">
        <v>16.5</v>
      </c>
      <c r="Z411">
        <v>1</v>
      </c>
      <c r="AA411">
        <v>55.93</v>
      </c>
      <c r="AC411" t="s">
        <v>128</v>
      </c>
      <c r="AD411" t="s">
        <v>208</v>
      </c>
      <c r="AE411" t="s">
        <v>218</v>
      </c>
      <c r="AF411">
        <v>8</v>
      </c>
      <c r="AG411">
        <v>5</v>
      </c>
      <c r="AH411">
        <v>5</v>
      </c>
      <c r="AI411" t="s">
        <v>213</v>
      </c>
      <c r="AJ411">
        <v>5</v>
      </c>
      <c r="AK411">
        <v>5</v>
      </c>
    </row>
    <row r="412" spans="2:37" x14ac:dyDescent="0.3">
      <c r="B412" t="s">
        <v>176</v>
      </c>
      <c r="C412">
        <v>116</v>
      </c>
      <c r="D412">
        <v>20</v>
      </c>
      <c r="E412">
        <v>25</v>
      </c>
      <c r="F412">
        <v>150</v>
      </c>
      <c r="G412">
        <v>11.468648560757982</v>
      </c>
      <c r="H412">
        <v>32</v>
      </c>
      <c r="I412">
        <v>75</v>
      </c>
      <c r="J412">
        <v>28</v>
      </c>
      <c r="K412" s="8">
        <v>6.22</v>
      </c>
      <c r="N412">
        <v>1.48</v>
      </c>
      <c r="O412" s="10">
        <v>24.55</v>
      </c>
      <c r="R412" s="8">
        <v>0</v>
      </c>
      <c r="S412" t="s">
        <v>68</v>
      </c>
      <c r="X412">
        <v>0</v>
      </c>
      <c r="Y412">
        <v>15.6</v>
      </c>
      <c r="Z412">
        <v>1</v>
      </c>
      <c r="AA412">
        <v>55.55</v>
      </c>
      <c r="AC412" t="s">
        <v>128</v>
      </c>
      <c r="AD412" t="s">
        <v>208</v>
      </c>
      <c r="AE412" t="s">
        <v>218</v>
      </c>
      <c r="AF412">
        <v>8</v>
      </c>
      <c r="AG412">
        <v>4</v>
      </c>
      <c r="AH412">
        <v>5</v>
      </c>
      <c r="AI412" t="s">
        <v>213</v>
      </c>
      <c r="AJ412">
        <v>6</v>
      </c>
      <c r="AK412">
        <v>5</v>
      </c>
    </row>
    <row r="413" spans="2:37" x14ac:dyDescent="0.3">
      <c r="B413" t="s">
        <v>176</v>
      </c>
      <c r="C413">
        <v>116</v>
      </c>
      <c r="D413">
        <v>20</v>
      </c>
      <c r="E413">
        <v>25</v>
      </c>
      <c r="F413">
        <v>150</v>
      </c>
      <c r="G413">
        <v>11.468648560757982</v>
      </c>
      <c r="H413">
        <v>32</v>
      </c>
      <c r="I413">
        <v>75</v>
      </c>
      <c r="J413">
        <v>28</v>
      </c>
      <c r="K413" s="8">
        <v>6.0259999999999998</v>
      </c>
      <c r="N413">
        <v>1.35</v>
      </c>
      <c r="O413" s="10">
        <v>23.52</v>
      </c>
      <c r="R413" s="8">
        <v>0</v>
      </c>
      <c r="S413" t="s">
        <v>68</v>
      </c>
      <c r="X413">
        <v>0</v>
      </c>
      <c r="Y413">
        <v>15</v>
      </c>
      <c r="Z413">
        <v>0</v>
      </c>
      <c r="AA413">
        <v>55.12</v>
      </c>
      <c r="AC413" t="s">
        <v>128</v>
      </c>
      <c r="AD413" t="s">
        <v>208</v>
      </c>
      <c r="AE413" t="s">
        <v>218</v>
      </c>
      <c r="AF413">
        <v>6</v>
      </c>
      <c r="AG413">
        <v>5</v>
      </c>
      <c r="AH413">
        <v>5</v>
      </c>
      <c r="AI413" t="s">
        <v>213</v>
      </c>
      <c r="AJ413">
        <v>5</v>
      </c>
      <c r="AK413">
        <v>5</v>
      </c>
    </row>
    <row r="414" spans="2:37" x14ac:dyDescent="0.3">
      <c r="B414" t="s">
        <v>177</v>
      </c>
      <c r="C414">
        <v>116</v>
      </c>
      <c r="D414">
        <v>20</v>
      </c>
      <c r="E414">
        <v>25</v>
      </c>
      <c r="F414">
        <v>150</v>
      </c>
      <c r="G414">
        <v>11.468648560757982</v>
      </c>
      <c r="H414">
        <v>55</v>
      </c>
      <c r="I414">
        <v>75</v>
      </c>
      <c r="J414">
        <v>30</v>
      </c>
      <c r="K414" s="8">
        <v>4.8</v>
      </c>
      <c r="N414">
        <v>1.34</v>
      </c>
      <c r="O414" s="10">
        <v>60.36</v>
      </c>
      <c r="R414" s="8">
        <v>0</v>
      </c>
      <c r="S414" t="s">
        <v>68</v>
      </c>
      <c r="X414">
        <v>0</v>
      </c>
      <c r="Y414">
        <v>17.3</v>
      </c>
      <c r="Z414">
        <v>0</v>
      </c>
      <c r="AA414">
        <v>66.56</v>
      </c>
      <c r="AC414" t="s">
        <v>128</v>
      </c>
      <c r="AD414" t="s">
        <v>208</v>
      </c>
      <c r="AE414" t="s">
        <v>218</v>
      </c>
      <c r="AF414">
        <v>8</v>
      </c>
      <c r="AG414">
        <v>5</v>
      </c>
      <c r="AH414">
        <v>2</v>
      </c>
      <c r="AI414" t="s">
        <v>213</v>
      </c>
      <c r="AJ414">
        <v>4</v>
      </c>
      <c r="AK414">
        <v>1</v>
      </c>
    </row>
    <row r="415" spans="2:37" x14ac:dyDescent="0.3">
      <c r="B415" t="s">
        <v>177</v>
      </c>
      <c r="C415">
        <v>116</v>
      </c>
      <c r="D415">
        <v>20</v>
      </c>
      <c r="E415">
        <v>25</v>
      </c>
      <c r="F415">
        <v>150</v>
      </c>
      <c r="G415">
        <v>11.468648560757982</v>
      </c>
      <c r="H415">
        <v>55</v>
      </c>
      <c r="I415">
        <v>75</v>
      </c>
      <c r="J415">
        <v>30</v>
      </c>
      <c r="K415" s="8">
        <v>4.87</v>
      </c>
      <c r="N415">
        <v>1.45</v>
      </c>
      <c r="O415" s="10">
        <v>59.59</v>
      </c>
      <c r="R415" s="8">
        <v>0</v>
      </c>
      <c r="S415" t="s">
        <v>68</v>
      </c>
      <c r="X415">
        <v>0</v>
      </c>
      <c r="Y415">
        <v>17.2</v>
      </c>
      <c r="Z415">
        <v>0</v>
      </c>
      <c r="AA415">
        <v>66.459999999999994</v>
      </c>
      <c r="AC415" t="s">
        <v>128</v>
      </c>
      <c r="AD415" t="s">
        <v>208</v>
      </c>
      <c r="AE415" t="s">
        <v>218</v>
      </c>
      <c r="AF415">
        <v>7</v>
      </c>
      <c r="AG415">
        <v>5</v>
      </c>
      <c r="AH415">
        <v>1</v>
      </c>
      <c r="AI415" t="s">
        <v>213</v>
      </c>
      <c r="AJ415">
        <v>3</v>
      </c>
      <c r="AK415">
        <v>2</v>
      </c>
    </row>
    <row r="416" spans="2:37" x14ac:dyDescent="0.3">
      <c r="B416" t="s">
        <v>177</v>
      </c>
      <c r="C416">
        <v>116</v>
      </c>
      <c r="D416">
        <v>20</v>
      </c>
      <c r="E416">
        <v>25</v>
      </c>
      <c r="F416">
        <v>150</v>
      </c>
      <c r="G416">
        <v>11.468648560757982</v>
      </c>
      <c r="H416">
        <v>55</v>
      </c>
      <c r="I416">
        <v>75</v>
      </c>
      <c r="J416">
        <v>30</v>
      </c>
      <c r="K416" s="8">
        <v>4.92</v>
      </c>
      <c r="N416">
        <v>4.26</v>
      </c>
      <c r="O416" s="10">
        <v>60.33</v>
      </c>
      <c r="R416" s="8">
        <v>0</v>
      </c>
      <c r="S416" t="s">
        <v>68</v>
      </c>
      <c r="X416">
        <v>2.44</v>
      </c>
      <c r="Y416">
        <v>20.8</v>
      </c>
      <c r="Z416">
        <v>0</v>
      </c>
      <c r="AA416">
        <v>66.760000000000005</v>
      </c>
      <c r="AC416" t="s">
        <v>128</v>
      </c>
      <c r="AD416" t="s">
        <v>208</v>
      </c>
      <c r="AE416" t="s">
        <v>218</v>
      </c>
      <c r="AF416">
        <v>8</v>
      </c>
      <c r="AG416">
        <v>5</v>
      </c>
      <c r="AH416">
        <v>2</v>
      </c>
      <c r="AI416" t="s">
        <v>213</v>
      </c>
      <c r="AJ416">
        <v>6</v>
      </c>
      <c r="AK416">
        <v>1</v>
      </c>
    </row>
    <row r="417" spans="2:37" x14ac:dyDescent="0.3">
      <c r="B417" t="s">
        <v>178</v>
      </c>
      <c r="C417">
        <v>116</v>
      </c>
      <c r="D417">
        <v>20</v>
      </c>
      <c r="E417">
        <v>25</v>
      </c>
      <c r="F417">
        <v>150</v>
      </c>
      <c r="G417">
        <v>11.468648560757982</v>
      </c>
      <c r="H417">
        <v>45</v>
      </c>
      <c r="I417">
        <v>75</v>
      </c>
      <c r="J417">
        <v>30</v>
      </c>
      <c r="K417" s="8">
        <v>4.79</v>
      </c>
      <c r="N417">
        <v>1.76</v>
      </c>
      <c r="O417" s="10">
        <v>35.89</v>
      </c>
      <c r="R417" s="8">
        <v>0</v>
      </c>
      <c r="S417" t="s">
        <v>68</v>
      </c>
      <c r="X417">
        <v>0</v>
      </c>
      <c r="Y417">
        <v>14.5</v>
      </c>
      <c r="Z417">
        <v>0</v>
      </c>
      <c r="AC417" t="s">
        <v>128</v>
      </c>
      <c r="AD417" t="s">
        <v>208</v>
      </c>
      <c r="AE417" t="s">
        <v>218</v>
      </c>
      <c r="AF417">
        <v>6</v>
      </c>
      <c r="AG417">
        <v>6</v>
      </c>
      <c r="AH417">
        <v>4</v>
      </c>
      <c r="AI417" t="s">
        <v>213</v>
      </c>
      <c r="AJ417">
        <v>6</v>
      </c>
      <c r="AK417">
        <v>4</v>
      </c>
    </row>
    <row r="418" spans="2:37" x14ac:dyDescent="0.3">
      <c r="B418" t="s">
        <v>178</v>
      </c>
      <c r="C418">
        <v>116</v>
      </c>
      <c r="D418">
        <v>20</v>
      </c>
      <c r="E418">
        <v>25</v>
      </c>
      <c r="F418">
        <v>150</v>
      </c>
      <c r="G418">
        <v>11.468648560757982</v>
      </c>
      <c r="H418">
        <v>45</v>
      </c>
      <c r="I418">
        <v>75</v>
      </c>
      <c r="J418">
        <v>30</v>
      </c>
      <c r="K418" s="8">
        <v>4.7830000000000004</v>
      </c>
      <c r="N418">
        <v>1.88</v>
      </c>
      <c r="O418" s="10">
        <v>32.979999999999997</v>
      </c>
      <c r="R418" s="8">
        <v>0</v>
      </c>
      <c r="S418" t="s">
        <v>68</v>
      </c>
      <c r="X418">
        <v>0</v>
      </c>
      <c r="Y418">
        <v>14.3</v>
      </c>
      <c r="Z418">
        <v>0</v>
      </c>
      <c r="AC418" t="s">
        <v>128</v>
      </c>
      <c r="AD418" t="s">
        <v>208</v>
      </c>
      <c r="AE418" t="s">
        <v>218</v>
      </c>
      <c r="AF418">
        <v>8</v>
      </c>
      <c r="AG418">
        <v>5</v>
      </c>
      <c r="AH418">
        <v>4</v>
      </c>
      <c r="AI418" t="s">
        <v>213</v>
      </c>
      <c r="AJ418">
        <v>6</v>
      </c>
      <c r="AK418">
        <v>4</v>
      </c>
    </row>
    <row r="419" spans="2:37" x14ac:dyDescent="0.3">
      <c r="B419" t="s">
        <v>178</v>
      </c>
      <c r="C419">
        <v>116</v>
      </c>
      <c r="D419">
        <v>20</v>
      </c>
      <c r="E419">
        <v>25</v>
      </c>
      <c r="F419">
        <v>150</v>
      </c>
      <c r="G419">
        <v>11.468648560757982</v>
      </c>
      <c r="H419">
        <v>45</v>
      </c>
      <c r="I419">
        <v>75</v>
      </c>
      <c r="J419">
        <v>30</v>
      </c>
      <c r="K419" s="8">
        <v>4.8899999999999997</v>
      </c>
      <c r="N419">
        <v>1.7</v>
      </c>
      <c r="O419" s="10">
        <v>32.950000000000003</v>
      </c>
      <c r="R419" s="8">
        <v>0</v>
      </c>
      <c r="S419" t="s">
        <v>68</v>
      </c>
      <c r="X419">
        <v>0</v>
      </c>
      <c r="Y419">
        <v>14.5</v>
      </c>
      <c r="Z419">
        <v>0</v>
      </c>
      <c r="AC419" t="s">
        <v>128</v>
      </c>
      <c r="AD419" t="s">
        <v>208</v>
      </c>
      <c r="AE419" t="s">
        <v>218</v>
      </c>
      <c r="AF419">
        <v>7</v>
      </c>
      <c r="AG419">
        <v>4</v>
      </c>
      <c r="AH419">
        <v>4</v>
      </c>
      <c r="AI419" t="s">
        <v>213</v>
      </c>
      <c r="AJ419">
        <v>4</v>
      </c>
      <c r="AK419">
        <v>3</v>
      </c>
    </row>
    <row r="420" spans="2:37" x14ac:dyDescent="0.3">
      <c r="B420" t="s">
        <v>179</v>
      </c>
      <c r="C420">
        <v>116</v>
      </c>
      <c r="D420">
        <v>20</v>
      </c>
      <c r="E420">
        <v>25</v>
      </c>
      <c r="F420">
        <v>150</v>
      </c>
      <c r="G420">
        <v>11.468648560757982</v>
      </c>
      <c r="H420">
        <v>28</v>
      </c>
      <c r="I420">
        <v>75</v>
      </c>
      <c r="J420">
        <v>30</v>
      </c>
      <c r="K420" s="8">
        <v>6.21</v>
      </c>
      <c r="N420">
        <v>4.0599999999999996</v>
      </c>
      <c r="O420" s="10">
        <v>21.46</v>
      </c>
      <c r="R420" s="8">
        <v>0</v>
      </c>
      <c r="S420" t="s">
        <v>68</v>
      </c>
      <c r="T420">
        <v>55.42</v>
      </c>
      <c r="U420">
        <v>9.02</v>
      </c>
      <c r="V420">
        <v>51.53</v>
      </c>
      <c r="W420">
        <v>76.209999999999994</v>
      </c>
      <c r="X420">
        <v>0</v>
      </c>
      <c r="Y420">
        <v>17.399999999999999</v>
      </c>
      <c r="Z420">
        <v>0</v>
      </c>
      <c r="AC420" t="s">
        <v>128</v>
      </c>
      <c r="AD420" t="s">
        <v>208</v>
      </c>
      <c r="AE420" t="s">
        <v>218</v>
      </c>
      <c r="AF420">
        <v>8</v>
      </c>
      <c r="AG420">
        <v>4</v>
      </c>
      <c r="AH420">
        <v>4</v>
      </c>
      <c r="AI420" t="s">
        <v>213</v>
      </c>
      <c r="AJ420">
        <v>5</v>
      </c>
      <c r="AK420">
        <v>5</v>
      </c>
    </row>
    <row r="421" spans="2:37" x14ac:dyDescent="0.3">
      <c r="B421" t="s">
        <v>179</v>
      </c>
      <c r="C421">
        <v>116</v>
      </c>
      <c r="D421">
        <v>20</v>
      </c>
      <c r="E421">
        <v>25</v>
      </c>
      <c r="F421">
        <v>150</v>
      </c>
      <c r="G421">
        <v>11.468648560757982</v>
      </c>
      <c r="H421">
        <v>28</v>
      </c>
      <c r="I421">
        <v>75</v>
      </c>
      <c r="J421">
        <v>30</v>
      </c>
      <c r="K421" s="8">
        <v>6.18</v>
      </c>
      <c r="N421">
        <v>4.55</v>
      </c>
      <c r="O421" s="10">
        <v>22.38</v>
      </c>
      <c r="R421" s="8">
        <v>0</v>
      </c>
      <c r="S421" t="s">
        <v>68</v>
      </c>
      <c r="T421">
        <v>55.59</v>
      </c>
      <c r="U421">
        <v>9.06</v>
      </c>
      <c r="V421">
        <v>51.69</v>
      </c>
      <c r="W421">
        <v>76.45</v>
      </c>
      <c r="X421">
        <v>0</v>
      </c>
      <c r="Y421">
        <v>17.3</v>
      </c>
      <c r="Z421">
        <v>1</v>
      </c>
      <c r="AC421" t="s">
        <v>128</v>
      </c>
      <c r="AD421" t="s">
        <v>208</v>
      </c>
      <c r="AE421" t="s">
        <v>218</v>
      </c>
      <c r="AF421">
        <v>6</v>
      </c>
      <c r="AG421">
        <v>4</v>
      </c>
      <c r="AH421">
        <v>4</v>
      </c>
      <c r="AI421" t="s">
        <v>213</v>
      </c>
      <c r="AJ421">
        <v>6</v>
      </c>
      <c r="AK421">
        <v>5</v>
      </c>
    </row>
    <row r="422" spans="2:37" x14ac:dyDescent="0.3">
      <c r="B422" t="s">
        <v>179</v>
      </c>
      <c r="C422">
        <v>116</v>
      </c>
      <c r="D422">
        <v>20</v>
      </c>
      <c r="E422">
        <v>25</v>
      </c>
      <c r="F422">
        <v>150</v>
      </c>
      <c r="G422">
        <v>11.468648560757982</v>
      </c>
      <c r="H422">
        <v>28</v>
      </c>
      <c r="I422">
        <v>75</v>
      </c>
      <c r="J422">
        <v>30</v>
      </c>
      <c r="K422" s="8">
        <v>6.01</v>
      </c>
      <c r="N422">
        <v>4.12</v>
      </c>
      <c r="O422" s="10">
        <v>21.4</v>
      </c>
      <c r="R422" s="8">
        <v>0</v>
      </c>
      <c r="S422" t="s">
        <v>68</v>
      </c>
      <c r="T422">
        <v>55.75</v>
      </c>
      <c r="U422">
        <v>9.08</v>
      </c>
      <c r="V422">
        <v>51.88</v>
      </c>
      <c r="W422">
        <v>76.69</v>
      </c>
      <c r="X422">
        <v>0</v>
      </c>
      <c r="Y422">
        <v>14.3</v>
      </c>
      <c r="Z422">
        <v>0</v>
      </c>
      <c r="AC422" t="s">
        <v>128</v>
      </c>
      <c r="AD422" t="s">
        <v>208</v>
      </c>
      <c r="AE422" t="s">
        <v>218</v>
      </c>
      <c r="AF422">
        <v>8</v>
      </c>
      <c r="AG422">
        <v>5</v>
      </c>
      <c r="AH422">
        <v>4</v>
      </c>
      <c r="AI422" t="s">
        <v>213</v>
      </c>
      <c r="AJ422">
        <v>7</v>
      </c>
      <c r="AK422">
        <v>5</v>
      </c>
    </row>
    <row r="423" spans="2:37" x14ac:dyDescent="0.3">
      <c r="B423" t="s">
        <v>180</v>
      </c>
      <c r="C423">
        <v>116</v>
      </c>
      <c r="D423">
        <v>20</v>
      </c>
      <c r="E423">
        <v>25</v>
      </c>
      <c r="F423">
        <v>150</v>
      </c>
      <c r="G423">
        <v>11.468648560757982</v>
      </c>
      <c r="H423">
        <v>55</v>
      </c>
      <c r="I423">
        <v>75</v>
      </c>
      <c r="J423">
        <v>33</v>
      </c>
      <c r="K423" s="8">
        <v>4.8600000000000003</v>
      </c>
      <c r="N423">
        <v>5.31</v>
      </c>
      <c r="O423" s="10">
        <v>62.48</v>
      </c>
      <c r="R423" s="8">
        <v>0</v>
      </c>
      <c r="S423" t="s">
        <v>68</v>
      </c>
      <c r="AC423" t="s">
        <v>128</v>
      </c>
      <c r="AD423" t="s">
        <v>208</v>
      </c>
      <c r="AE423" t="s">
        <v>218</v>
      </c>
      <c r="AF423">
        <v>7</v>
      </c>
      <c r="AG423">
        <v>5</v>
      </c>
      <c r="AH423">
        <v>2</v>
      </c>
      <c r="AI423" t="s">
        <v>213</v>
      </c>
      <c r="AJ423">
        <v>5</v>
      </c>
      <c r="AK423">
        <v>1</v>
      </c>
    </row>
    <row r="424" spans="2:37" x14ac:dyDescent="0.3">
      <c r="B424" t="s">
        <v>180</v>
      </c>
      <c r="C424">
        <v>116</v>
      </c>
      <c r="D424">
        <v>20</v>
      </c>
      <c r="E424">
        <v>25</v>
      </c>
      <c r="F424">
        <v>150</v>
      </c>
      <c r="G424">
        <v>11.468648560757982</v>
      </c>
      <c r="H424">
        <v>55</v>
      </c>
      <c r="I424">
        <v>75</v>
      </c>
      <c r="J424">
        <v>33</v>
      </c>
      <c r="K424" s="8">
        <v>4.78</v>
      </c>
      <c r="N424">
        <v>5.3</v>
      </c>
      <c r="O424" s="10">
        <v>62.49</v>
      </c>
      <c r="R424" s="8">
        <v>0</v>
      </c>
      <c r="S424" t="s">
        <v>68</v>
      </c>
      <c r="AC424" t="s">
        <v>128</v>
      </c>
      <c r="AD424" t="s">
        <v>208</v>
      </c>
      <c r="AE424" t="s">
        <v>218</v>
      </c>
      <c r="AF424">
        <v>8</v>
      </c>
      <c r="AG424">
        <v>4</v>
      </c>
      <c r="AH424">
        <v>2</v>
      </c>
      <c r="AI424" t="s">
        <v>213</v>
      </c>
      <c r="AJ424">
        <v>4</v>
      </c>
      <c r="AK424">
        <v>2</v>
      </c>
    </row>
    <row r="425" spans="2:37" x14ac:dyDescent="0.3">
      <c r="B425" t="s">
        <v>180</v>
      </c>
      <c r="C425">
        <v>116</v>
      </c>
      <c r="D425">
        <v>20</v>
      </c>
      <c r="E425">
        <v>25</v>
      </c>
      <c r="F425">
        <v>150</v>
      </c>
      <c r="G425">
        <v>11.468648560757982</v>
      </c>
      <c r="H425">
        <v>55</v>
      </c>
      <c r="I425">
        <v>75</v>
      </c>
      <c r="J425">
        <v>33</v>
      </c>
      <c r="K425" s="8">
        <v>4.92</v>
      </c>
      <c r="N425">
        <v>6.3</v>
      </c>
      <c r="O425" s="10">
        <v>62.37</v>
      </c>
      <c r="R425" s="8">
        <v>0</v>
      </c>
      <c r="S425" t="s">
        <v>68</v>
      </c>
      <c r="AC425" t="s">
        <v>128</v>
      </c>
      <c r="AD425" t="s">
        <v>208</v>
      </c>
      <c r="AE425" t="s">
        <v>218</v>
      </c>
      <c r="AF425">
        <v>6</v>
      </c>
      <c r="AG425">
        <v>5</v>
      </c>
      <c r="AH425">
        <v>2</v>
      </c>
      <c r="AI425" t="s">
        <v>213</v>
      </c>
      <c r="AJ425">
        <v>6</v>
      </c>
      <c r="AK425">
        <v>1</v>
      </c>
    </row>
    <row r="426" spans="2:37" x14ac:dyDescent="0.3">
      <c r="B426" t="s">
        <v>192</v>
      </c>
      <c r="C426">
        <v>116</v>
      </c>
      <c r="D426">
        <v>20</v>
      </c>
      <c r="E426">
        <v>25</v>
      </c>
      <c r="F426">
        <v>150</v>
      </c>
      <c r="G426">
        <v>11.468648560757982</v>
      </c>
      <c r="H426">
        <v>45</v>
      </c>
      <c r="I426">
        <v>75</v>
      </c>
      <c r="J426">
        <v>35</v>
      </c>
      <c r="K426" s="8">
        <v>4.8899999999999997</v>
      </c>
      <c r="L426">
        <v>7.5894000000000004</v>
      </c>
      <c r="M426">
        <f t="shared" ref="M426:M450" si="5">100-(AA426+L426+N426+P426+Q426)</f>
        <v>16.216599999999985</v>
      </c>
      <c r="N426">
        <v>8.9</v>
      </c>
      <c r="O426" s="10">
        <v>44.8</v>
      </c>
      <c r="P426" s="8">
        <v>1.0640000000000001</v>
      </c>
      <c r="Q426" s="8">
        <v>2.98</v>
      </c>
      <c r="R426" s="8">
        <v>0</v>
      </c>
      <c r="S426" t="s">
        <v>68</v>
      </c>
      <c r="T426">
        <v>56.332000000000001</v>
      </c>
      <c r="U426">
        <v>8.86</v>
      </c>
      <c r="V426">
        <v>46.26</v>
      </c>
      <c r="W426">
        <v>73.78</v>
      </c>
      <c r="AA426">
        <v>63.25</v>
      </c>
      <c r="AC426" t="s">
        <v>128</v>
      </c>
      <c r="AD426" t="s">
        <v>208</v>
      </c>
      <c r="AE426" t="s">
        <v>218</v>
      </c>
      <c r="AF426">
        <v>8</v>
      </c>
      <c r="AG426">
        <v>4</v>
      </c>
      <c r="AH426">
        <v>3</v>
      </c>
      <c r="AI426" t="s">
        <v>213</v>
      </c>
      <c r="AJ426">
        <v>6</v>
      </c>
      <c r="AK426">
        <v>3</v>
      </c>
    </row>
    <row r="427" spans="2:37" x14ac:dyDescent="0.3">
      <c r="B427" t="s">
        <v>192</v>
      </c>
      <c r="C427">
        <v>116</v>
      </c>
      <c r="D427">
        <v>20</v>
      </c>
      <c r="E427">
        <v>25</v>
      </c>
      <c r="F427">
        <v>150</v>
      </c>
      <c r="G427">
        <v>11.468648560757982</v>
      </c>
      <c r="H427">
        <v>45</v>
      </c>
      <c r="I427">
        <v>75</v>
      </c>
      <c r="J427">
        <v>35</v>
      </c>
      <c r="K427" s="8">
        <v>4.8499999999999996</v>
      </c>
      <c r="L427">
        <v>8.2545999999999999</v>
      </c>
      <c r="M427">
        <f t="shared" si="5"/>
        <v>19.570400000000006</v>
      </c>
      <c r="N427">
        <v>4.5999999999999996</v>
      </c>
      <c r="O427" s="10">
        <v>45.12</v>
      </c>
      <c r="P427" s="8">
        <v>1.5549999999999999</v>
      </c>
      <c r="Q427" s="8">
        <v>2.86</v>
      </c>
      <c r="R427" s="8">
        <v>0</v>
      </c>
      <c r="S427" t="s">
        <v>68</v>
      </c>
      <c r="T427">
        <v>58.100999999999999</v>
      </c>
      <c r="U427">
        <v>7.2320000000000002</v>
      </c>
      <c r="V427">
        <v>47.768999999999998</v>
      </c>
      <c r="W427">
        <v>75.55</v>
      </c>
      <c r="AA427">
        <v>63.16</v>
      </c>
      <c r="AC427" t="s">
        <v>128</v>
      </c>
      <c r="AD427" t="s">
        <v>208</v>
      </c>
      <c r="AE427" t="s">
        <v>218</v>
      </c>
      <c r="AF427">
        <v>7</v>
      </c>
      <c r="AG427">
        <v>4</v>
      </c>
      <c r="AH427">
        <v>3</v>
      </c>
      <c r="AI427" t="s">
        <v>213</v>
      </c>
      <c r="AJ427">
        <v>5</v>
      </c>
      <c r="AK427">
        <v>3</v>
      </c>
    </row>
    <row r="428" spans="2:37" x14ac:dyDescent="0.3">
      <c r="B428" t="s">
        <v>192</v>
      </c>
      <c r="C428">
        <v>116</v>
      </c>
      <c r="D428">
        <v>20</v>
      </c>
      <c r="E428">
        <v>25</v>
      </c>
      <c r="F428">
        <v>150</v>
      </c>
      <c r="G428">
        <v>11.468648560757982</v>
      </c>
      <c r="H428">
        <v>45</v>
      </c>
      <c r="I428">
        <v>75</v>
      </c>
      <c r="J428">
        <v>35</v>
      </c>
      <c r="K428" s="8">
        <v>4.8600000000000003</v>
      </c>
      <c r="L428">
        <v>7.6597</v>
      </c>
      <c r="M428">
        <f t="shared" si="5"/>
        <v>16.23429999999999</v>
      </c>
      <c r="N428">
        <v>8.1999999999999993</v>
      </c>
      <c r="O428" s="10">
        <v>44.86</v>
      </c>
      <c r="P428" s="8">
        <v>1.036</v>
      </c>
      <c r="Q428" s="8">
        <v>3.03</v>
      </c>
      <c r="R428" s="8">
        <v>0</v>
      </c>
      <c r="S428" t="s">
        <v>68</v>
      </c>
      <c r="T428">
        <v>58.11</v>
      </c>
      <c r="U428">
        <v>7.31</v>
      </c>
      <c r="V428">
        <v>47.93</v>
      </c>
      <c r="W428">
        <v>75.680000000000007</v>
      </c>
      <c r="AA428">
        <v>63.84</v>
      </c>
      <c r="AC428" t="s">
        <v>128</v>
      </c>
      <c r="AD428" t="s">
        <v>208</v>
      </c>
      <c r="AE428" t="s">
        <v>218</v>
      </c>
      <c r="AF428">
        <v>8</v>
      </c>
      <c r="AG428">
        <v>4</v>
      </c>
      <c r="AH428">
        <v>3</v>
      </c>
      <c r="AI428" t="s">
        <v>213</v>
      </c>
      <c r="AJ428">
        <v>5</v>
      </c>
      <c r="AK428">
        <v>3</v>
      </c>
    </row>
    <row r="429" spans="2:37" x14ac:dyDescent="0.3">
      <c r="B429" t="s">
        <v>201</v>
      </c>
      <c r="C429">
        <v>116</v>
      </c>
      <c r="D429">
        <v>20</v>
      </c>
      <c r="E429">
        <v>25</v>
      </c>
      <c r="F429">
        <v>150</v>
      </c>
      <c r="G429">
        <v>11.468648560757982</v>
      </c>
      <c r="H429">
        <v>32</v>
      </c>
      <c r="I429">
        <v>75</v>
      </c>
      <c r="J429">
        <v>35</v>
      </c>
      <c r="K429" s="8">
        <v>5.56</v>
      </c>
      <c r="L429">
        <v>8.5625</v>
      </c>
      <c r="M429">
        <f t="shared" si="5"/>
        <v>13.305500000000009</v>
      </c>
      <c r="N429">
        <v>11.6</v>
      </c>
      <c r="O429" s="10">
        <v>29.67</v>
      </c>
      <c r="P429" s="8">
        <v>1.6519999999999999</v>
      </c>
      <c r="Q429" s="8">
        <v>3.05</v>
      </c>
      <c r="R429" s="8">
        <v>0</v>
      </c>
      <c r="S429" t="s">
        <v>68</v>
      </c>
      <c r="T429">
        <v>54.04</v>
      </c>
      <c r="U429">
        <v>10.37</v>
      </c>
      <c r="V429">
        <v>51.67</v>
      </c>
      <c r="W429">
        <v>75.489999999999995</v>
      </c>
      <c r="AA429">
        <v>61.83</v>
      </c>
      <c r="AC429" t="s">
        <v>128</v>
      </c>
      <c r="AD429" t="s">
        <v>208</v>
      </c>
      <c r="AE429" t="s">
        <v>218</v>
      </c>
      <c r="AF429">
        <v>7</v>
      </c>
      <c r="AG429">
        <v>4</v>
      </c>
      <c r="AH429">
        <v>4</v>
      </c>
      <c r="AI429" t="s">
        <v>213</v>
      </c>
      <c r="AJ429">
        <v>5</v>
      </c>
      <c r="AK429">
        <v>5</v>
      </c>
    </row>
    <row r="430" spans="2:37" x14ac:dyDescent="0.3">
      <c r="B430" t="s">
        <v>201</v>
      </c>
      <c r="C430">
        <v>116</v>
      </c>
      <c r="D430">
        <v>20</v>
      </c>
      <c r="E430">
        <v>25</v>
      </c>
      <c r="F430">
        <v>150</v>
      </c>
      <c r="G430">
        <v>11.468648560757982</v>
      </c>
      <c r="H430">
        <v>32</v>
      </c>
      <c r="I430">
        <v>75</v>
      </c>
      <c r="J430">
        <v>35</v>
      </c>
      <c r="K430" s="8">
        <v>5.46</v>
      </c>
      <c r="L430">
        <v>8.6588999999999992</v>
      </c>
      <c r="M430">
        <f t="shared" si="5"/>
        <v>24.31410000000001</v>
      </c>
      <c r="N430">
        <v>1.2</v>
      </c>
      <c r="O430" s="10">
        <v>29.01</v>
      </c>
      <c r="P430" s="8">
        <v>0.56399999999999995</v>
      </c>
      <c r="Q430" s="8">
        <v>4.05</v>
      </c>
      <c r="R430" s="8">
        <v>0</v>
      </c>
      <c r="S430" t="s">
        <v>68</v>
      </c>
      <c r="T430">
        <v>53.93</v>
      </c>
      <c r="U430">
        <v>10.35</v>
      </c>
      <c r="V430">
        <v>51.61</v>
      </c>
      <c r="W430">
        <v>75.36</v>
      </c>
      <c r="AA430">
        <v>61.213000000000001</v>
      </c>
      <c r="AC430" t="s">
        <v>128</v>
      </c>
      <c r="AD430" t="s">
        <v>208</v>
      </c>
      <c r="AE430" t="s">
        <v>218</v>
      </c>
      <c r="AF430">
        <v>8</v>
      </c>
      <c r="AG430">
        <v>5</v>
      </c>
      <c r="AH430">
        <v>5</v>
      </c>
      <c r="AI430" t="s">
        <v>213</v>
      </c>
      <c r="AJ430">
        <v>6</v>
      </c>
      <c r="AK430">
        <v>4</v>
      </c>
    </row>
    <row r="431" spans="2:37" x14ac:dyDescent="0.3">
      <c r="B431" t="s">
        <v>201</v>
      </c>
      <c r="C431">
        <v>116</v>
      </c>
      <c r="D431">
        <v>20</v>
      </c>
      <c r="E431">
        <v>25</v>
      </c>
      <c r="F431">
        <v>150</v>
      </c>
      <c r="G431">
        <v>11.468648560757982</v>
      </c>
      <c r="H431">
        <v>32</v>
      </c>
      <c r="I431">
        <v>75</v>
      </c>
      <c r="J431">
        <v>35</v>
      </c>
      <c r="K431" s="8">
        <v>5.66</v>
      </c>
      <c r="L431">
        <f>AVERAGE(L324:L338)</f>
        <v>8.4168246666666651</v>
      </c>
      <c r="M431">
        <f t="shared" si="5"/>
        <v>12.306675333333331</v>
      </c>
      <c r="N431">
        <v>15.3</v>
      </c>
      <c r="O431" s="10">
        <v>28.86</v>
      </c>
      <c r="P431" s="8">
        <v>0.63200000000000001</v>
      </c>
      <c r="Q431" s="8">
        <v>1.56</v>
      </c>
      <c r="R431" s="8">
        <v>0</v>
      </c>
      <c r="S431" t="s">
        <v>68</v>
      </c>
      <c r="T431">
        <v>53.89</v>
      </c>
      <c r="U431">
        <v>10.34</v>
      </c>
      <c r="V431">
        <v>51.52</v>
      </c>
      <c r="W431">
        <v>75.260000000000005</v>
      </c>
      <c r="AA431">
        <v>61.784500000000001</v>
      </c>
      <c r="AC431" t="s">
        <v>128</v>
      </c>
      <c r="AD431" t="s">
        <v>208</v>
      </c>
      <c r="AE431" t="s">
        <v>218</v>
      </c>
      <c r="AF431">
        <v>7</v>
      </c>
      <c r="AG431">
        <v>4</v>
      </c>
      <c r="AH431">
        <v>5</v>
      </c>
      <c r="AI431" t="s">
        <v>213</v>
      </c>
      <c r="AJ431">
        <v>5</v>
      </c>
      <c r="AK431">
        <v>5</v>
      </c>
    </row>
    <row r="432" spans="2:37" x14ac:dyDescent="0.3">
      <c r="B432" t="s">
        <v>217</v>
      </c>
      <c r="C432">
        <v>116</v>
      </c>
      <c r="D432">
        <v>20</v>
      </c>
      <c r="E432">
        <v>25</v>
      </c>
      <c r="F432">
        <v>150</v>
      </c>
      <c r="G432">
        <v>11.468648560757982</v>
      </c>
      <c r="H432">
        <v>55</v>
      </c>
      <c r="I432">
        <v>75</v>
      </c>
      <c r="J432">
        <v>36</v>
      </c>
      <c r="K432" s="8">
        <v>4.8899999999999997</v>
      </c>
      <c r="L432">
        <v>8.3985000000000003</v>
      </c>
      <c r="M432">
        <f t="shared" si="5"/>
        <v>13.641499999999994</v>
      </c>
      <c r="N432">
        <v>7.62</v>
      </c>
      <c r="O432" s="10">
        <v>67.266000000000005</v>
      </c>
      <c r="P432" s="8">
        <v>0.98</v>
      </c>
      <c r="Q432" s="8">
        <v>2.86</v>
      </c>
      <c r="R432" s="8">
        <v>0</v>
      </c>
      <c r="S432" t="s">
        <v>68</v>
      </c>
      <c r="T432">
        <v>51.73</v>
      </c>
      <c r="U432">
        <v>8.2100000000000009</v>
      </c>
      <c r="V432">
        <v>33.61</v>
      </c>
      <c r="W432">
        <v>62.28</v>
      </c>
      <c r="AA432">
        <v>66.5</v>
      </c>
      <c r="AC432" t="s">
        <v>128</v>
      </c>
      <c r="AD432" t="s">
        <v>208</v>
      </c>
      <c r="AE432" t="s">
        <v>218</v>
      </c>
      <c r="AF432">
        <v>8</v>
      </c>
      <c r="AG432">
        <v>4</v>
      </c>
      <c r="AH432">
        <v>1</v>
      </c>
      <c r="AI432" t="s">
        <v>213</v>
      </c>
      <c r="AJ432">
        <v>3</v>
      </c>
      <c r="AK432">
        <v>2</v>
      </c>
    </row>
    <row r="433" spans="1:37" x14ac:dyDescent="0.3">
      <c r="B433" t="s">
        <v>217</v>
      </c>
      <c r="C433">
        <v>116</v>
      </c>
      <c r="D433">
        <v>20</v>
      </c>
      <c r="E433">
        <v>25</v>
      </c>
      <c r="F433">
        <v>150</v>
      </c>
      <c r="G433">
        <v>11.468648560757982</v>
      </c>
      <c r="H433">
        <v>55</v>
      </c>
      <c r="I433">
        <v>75</v>
      </c>
      <c r="J433">
        <v>36</v>
      </c>
      <c r="K433" s="8">
        <v>4.7300000000000004</v>
      </c>
      <c r="L433">
        <v>7.4585999999999997</v>
      </c>
      <c r="M433">
        <f t="shared" si="5"/>
        <v>20.381399999999985</v>
      </c>
      <c r="N433">
        <v>1.8</v>
      </c>
      <c r="O433" s="10">
        <v>67.456000000000003</v>
      </c>
      <c r="P433" s="8">
        <v>1.23</v>
      </c>
      <c r="Q433" s="8">
        <v>2.73</v>
      </c>
      <c r="R433" s="8">
        <v>0</v>
      </c>
      <c r="S433" t="s">
        <v>68</v>
      </c>
      <c r="T433">
        <v>51.62</v>
      </c>
      <c r="U433">
        <v>8.02</v>
      </c>
      <c r="V433">
        <v>33.35</v>
      </c>
      <c r="W433">
        <v>62.143000000000001</v>
      </c>
      <c r="AA433">
        <v>66.400000000000006</v>
      </c>
      <c r="AC433" t="s">
        <v>128</v>
      </c>
      <c r="AD433" t="s">
        <v>208</v>
      </c>
      <c r="AE433" t="s">
        <v>218</v>
      </c>
      <c r="AF433">
        <v>7</v>
      </c>
      <c r="AG433">
        <v>4</v>
      </c>
      <c r="AH433">
        <v>1</v>
      </c>
      <c r="AI433" t="s">
        <v>213</v>
      </c>
      <c r="AJ433">
        <v>3</v>
      </c>
      <c r="AK433">
        <v>2</v>
      </c>
    </row>
    <row r="434" spans="1:37" x14ac:dyDescent="0.3">
      <c r="B434" t="s">
        <v>217</v>
      </c>
      <c r="C434">
        <v>116</v>
      </c>
      <c r="D434">
        <v>20</v>
      </c>
      <c r="E434">
        <v>25</v>
      </c>
      <c r="F434">
        <v>150</v>
      </c>
      <c r="G434">
        <v>11.468648560757982</v>
      </c>
      <c r="H434">
        <v>55</v>
      </c>
      <c r="I434">
        <v>75</v>
      </c>
      <c r="J434">
        <v>36</v>
      </c>
      <c r="K434" s="8">
        <v>4.78</v>
      </c>
      <c r="L434">
        <v>9.5783000000000005</v>
      </c>
      <c r="M434">
        <f t="shared" si="5"/>
        <v>14.576099999999997</v>
      </c>
      <c r="N434">
        <v>5.2</v>
      </c>
      <c r="O434" s="10">
        <v>68.16</v>
      </c>
      <c r="P434" s="8">
        <v>0.84560000000000002</v>
      </c>
      <c r="Q434" s="8">
        <v>3.08</v>
      </c>
      <c r="R434" s="8">
        <v>0</v>
      </c>
      <c r="S434" t="s">
        <v>68</v>
      </c>
      <c r="T434">
        <v>51.283999999999999</v>
      </c>
      <c r="U434">
        <v>8.1020000000000003</v>
      </c>
      <c r="V434">
        <v>33.159999999999997</v>
      </c>
      <c r="W434">
        <v>62.75</v>
      </c>
      <c r="AA434">
        <v>66.72</v>
      </c>
      <c r="AC434" t="s">
        <v>128</v>
      </c>
      <c r="AD434" t="s">
        <v>208</v>
      </c>
      <c r="AE434" t="s">
        <v>218</v>
      </c>
      <c r="AF434">
        <v>8</v>
      </c>
      <c r="AG434">
        <v>4</v>
      </c>
      <c r="AH434">
        <v>1</v>
      </c>
      <c r="AI434" t="s">
        <v>213</v>
      </c>
      <c r="AJ434">
        <v>3</v>
      </c>
      <c r="AK434">
        <v>1</v>
      </c>
    </row>
    <row r="436" spans="1:37" x14ac:dyDescent="0.3">
      <c r="A436" s="2" t="s">
        <v>198</v>
      </c>
      <c r="B436" t="s">
        <v>106</v>
      </c>
      <c r="C436">
        <v>116</v>
      </c>
      <c r="D436">
        <v>20</v>
      </c>
      <c r="E436">
        <v>25</v>
      </c>
      <c r="F436">
        <v>150</v>
      </c>
      <c r="G436">
        <v>11.410005023056907</v>
      </c>
      <c r="H436">
        <v>32</v>
      </c>
      <c r="I436">
        <v>75</v>
      </c>
      <c r="J436">
        <v>0</v>
      </c>
      <c r="K436" s="8">
        <v>6.48</v>
      </c>
      <c r="L436">
        <v>7.8262999999999998</v>
      </c>
      <c r="M436">
        <f t="shared" si="5"/>
        <v>19.723699999999994</v>
      </c>
      <c r="N436">
        <v>1.1200000000000001</v>
      </c>
      <c r="O436" s="8">
        <v>4.16</v>
      </c>
      <c r="P436" s="8">
        <v>1.08</v>
      </c>
      <c r="Q436" s="8">
        <v>2.96</v>
      </c>
      <c r="R436" s="8">
        <v>0</v>
      </c>
      <c r="S436" t="s">
        <v>68</v>
      </c>
      <c r="T436">
        <v>51.47</v>
      </c>
      <c r="U436">
        <v>6.95</v>
      </c>
      <c r="V436">
        <v>37.93</v>
      </c>
      <c r="W436">
        <v>64.31</v>
      </c>
      <c r="X436">
        <v>10.7</v>
      </c>
      <c r="Y436">
        <v>2.4</v>
      </c>
      <c r="Z436">
        <v>-1</v>
      </c>
      <c r="AA436">
        <v>67.290000000000006</v>
      </c>
      <c r="AC436" t="s">
        <v>128</v>
      </c>
      <c r="AD436" t="s">
        <v>125</v>
      </c>
      <c r="AE436" t="s">
        <v>128</v>
      </c>
      <c r="AF436">
        <v>8</v>
      </c>
      <c r="AG436">
        <v>7</v>
      </c>
      <c r="AH436">
        <v>7</v>
      </c>
      <c r="AI436">
        <v>7</v>
      </c>
      <c r="AJ436">
        <v>7</v>
      </c>
      <c r="AK436">
        <v>7</v>
      </c>
    </row>
    <row r="437" spans="1:37" x14ac:dyDescent="0.3">
      <c r="B437" t="s">
        <v>106</v>
      </c>
      <c r="C437">
        <v>116</v>
      </c>
      <c r="D437">
        <v>20</v>
      </c>
      <c r="E437">
        <v>25</v>
      </c>
      <c r="F437">
        <v>150</v>
      </c>
      <c r="G437">
        <v>11.410005023056907</v>
      </c>
      <c r="H437">
        <v>32</v>
      </c>
      <c r="I437">
        <v>75</v>
      </c>
      <c r="J437">
        <v>0</v>
      </c>
      <c r="K437" s="8">
        <v>6.5</v>
      </c>
      <c r="L437">
        <v>7.8257000000000003</v>
      </c>
      <c r="M437">
        <f t="shared" si="5"/>
        <v>18.185299999999984</v>
      </c>
      <c r="N437">
        <v>2.4</v>
      </c>
      <c r="O437" s="8">
        <v>4.45</v>
      </c>
      <c r="P437" s="8">
        <v>0.65</v>
      </c>
      <c r="Q437" s="8">
        <v>2.4889999999999999</v>
      </c>
      <c r="R437" s="8">
        <v>0</v>
      </c>
      <c r="S437" t="s">
        <v>68</v>
      </c>
      <c r="T437">
        <v>51.47</v>
      </c>
      <c r="U437">
        <v>6.93</v>
      </c>
      <c r="V437">
        <v>38.01</v>
      </c>
      <c r="W437">
        <v>64.349999999999994</v>
      </c>
      <c r="X437">
        <v>10.6</v>
      </c>
      <c r="Y437">
        <v>2.5</v>
      </c>
      <c r="Z437">
        <v>-4</v>
      </c>
      <c r="AA437">
        <v>68.45</v>
      </c>
      <c r="AC437" t="s">
        <v>128</v>
      </c>
      <c r="AD437" t="s">
        <v>125</v>
      </c>
      <c r="AE437" t="s">
        <v>128</v>
      </c>
      <c r="AF437">
        <v>5</v>
      </c>
      <c r="AG437">
        <v>8</v>
      </c>
      <c r="AH437">
        <v>7</v>
      </c>
      <c r="AI437">
        <v>8</v>
      </c>
      <c r="AJ437">
        <v>5</v>
      </c>
      <c r="AK437">
        <v>5</v>
      </c>
    </row>
    <row r="438" spans="1:37" x14ac:dyDescent="0.3">
      <c r="B438" t="s">
        <v>106</v>
      </c>
      <c r="C438">
        <v>116</v>
      </c>
      <c r="D438">
        <v>20</v>
      </c>
      <c r="E438">
        <v>25</v>
      </c>
      <c r="F438">
        <v>150</v>
      </c>
      <c r="G438">
        <v>11.410005023056907</v>
      </c>
      <c r="H438">
        <v>32</v>
      </c>
      <c r="I438">
        <v>75</v>
      </c>
      <c r="J438">
        <v>0</v>
      </c>
      <c r="K438" s="8">
        <v>6.51</v>
      </c>
      <c r="L438">
        <v>7.8315000000000001</v>
      </c>
      <c r="M438">
        <f t="shared" si="5"/>
        <v>18.462499999999991</v>
      </c>
      <c r="N438">
        <v>1.3</v>
      </c>
      <c r="O438" s="8">
        <v>4.46</v>
      </c>
      <c r="P438" s="8">
        <v>1.089</v>
      </c>
      <c r="Q438" s="8">
        <v>2.867</v>
      </c>
      <c r="R438" s="8">
        <v>0</v>
      </c>
      <c r="S438" t="s">
        <v>68</v>
      </c>
      <c r="T438">
        <v>51.46</v>
      </c>
      <c r="U438">
        <v>6.95</v>
      </c>
      <c r="V438">
        <v>37.99</v>
      </c>
      <c r="W438">
        <v>64.34</v>
      </c>
      <c r="X438">
        <v>10.6</v>
      </c>
      <c r="Y438">
        <v>2.5</v>
      </c>
      <c r="Z438">
        <v>-4</v>
      </c>
      <c r="AA438">
        <v>68.45</v>
      </c>
      <c r="AC438" t="s">
        <v>128</v>
      </c>
      <c r="AD438" t="s">
        <v>125</v>
      </c>
      <c r="AE438" t="s">
        <v>128</v>
      </c>
      <c r="AF438">
        <v>8</v>
      </c>
      <c r="AG438">
        <v>5</v>
      </c>
      <c r="AH438">
        <v>6</v>
      </c>
      <c r="AI438">
        <v>5</v>
      </c>
      <c r="AJ438">
        <v>8</v>
      </c>
      <c r="AK438">
        <v>8</v>
      </c>
    </row>
    <row r="439" spans="1:37" x14ac:dyDescent="0.3">
      <c r="B439" t="s">
        <v>107</v>
      </c>
      <c r="C439">
        <v>116</v>
      </c>
      <c r="D439">
        <v>20</v>
      </c>
      <c r="E439">
        <v>25</v>
      </c>
      <c r="F439">
        <v>150</v>
      </c>
      <c r="G439">
        <v>11.410005023056907</v>
      </c>
      <c r="H439">
        <v>32</v>
      </c>
      <c r="I439">
        <v>75</v>
      </c>
      <c r="J439">
        <v>0</v>
      </c>
      <c r="K439" s="8">
        <v>6.38</v>
      </c>
      <c r="L439">
        <v>8.2698</v>
      </c>
      <c r="M439">
        <f t="shared" si="5"/>
        <v>19.172866666666707</v>
      </c>
      <c r="N439">
        <v>1.8</v>
      </c>
      <c r="O439" s="8">
        <v>4.9800000000000004</v>
      </c>
      <c r="P439" s="8">
        <v>0.85</v>
      </c>
      <c r="Q439" s="8">
        <v>2.6840000000000002</v>
      </c>
      <c r="R439" s="8">
        <v>0</v>
      </c>
      <c r="S439" t="s">
        <v>68</v>
      </c>
      <c r="T439">
        <v>50.39</v>
      </c>
      <c r="U439">
        <v>6.28</v>
      </c>
      <c r="V439">
        <v>38.619999999999997</v>
      </c>
      <c r="W439">
        <v>63.8</v>
      </c>
      <c r="X439">
        <v>6.07</v>
      </c>
      <c r="Y439">
        <v>13.8</v>
      </c>
      <c r="Z439">
        <v>0</v>
      </c>
      <c r="AA439">
        <v>67.223333333333301</v>
      </c>
      <c r="AC439" t="s">
        <v>128</v>
      </c>
      <c r="AD439" t="s">
        <v>125</v>
      </c>
      <c r="AE439" t="s">
        <v>128</v>
      </c>
      <c r="AF439">
        <v>7</v>
      </c>
      <c r="AG439">
        <v>7</v>
      </c>
      <c r="AH439">
        <v>7</v>
      </c>
      <c r="AI439">
        <v>6</v>
      </c>
      <c r="AJ439">
        <v>6</v>
      </c>
      <c r="AK439">
        <v>6</v>
      </c>
    </row>
    <row r="440" spans="1:37" x14ac:dyDescent="0.3">
      <c r="B440" t="s">
        <v>107</v>
      </c>
      <c r="C440">
        <v>116</v>
      </c>
      <c r="D440">
        <v>20</v>
      </c>
      <c r="E440">
        <v>25</v>
      </c>
      <c r="F440">
        <v>150</v>
      </c>
      <c r="G440">
        <v>11.410005023056907</v>
      </c>
      <c r="H440">
        <v>32</v>
      </c>
      <c r="I440">
        <v>75</v>
      </c>
      <c r="J440">
        <v>0</v>
      </c>
      <c r="K440" s="8">
        <v>6.53</v>
      </c>
      <c r="L440">
        <v>8.2767999999999997</v>
      </c>
      <c r="M440">
        <f t="shared" si="5"/>
        <v>16.111866666666714</v>
      </c>
      <c r="N440">
        <v>3.8</v>
      </c>
      <c r="O440" s="8">
        <v>4.3</v>
      </c>
      <c r="P440" s="8">
        <v>0.96299999999999997</v>
      </c>
      <c r="Q440" s="8">
        <v>3.0449999999999999</v>
      </c>
      <c r="R440" s="8">
        <v>0</v>
      </c>
      <c r="S440" t="s">
        <v>68</v>
      </c>
      <c r="T440">
        <v>50.37</v>
      </c>
      <c r="U440">
        <v>6.3</v>
      </c>
      <c r="V440">
        <v>38.619999999999997</v>
      </c>
      <c r="W440">
        <v>63.78</v>
      </c>
      <c r="X440">
        <v>8.67</v>
      </c>
      <c r="Y440">
        <v>10.5</v>
      </c>
      <c r="Z440">
        <v>0</v>
      </c>
      <c r="AA440">
        <v>67.803333333333299</v>
      </c>
      <c r="AC440" t="s">
        <v>128</v>
      </c>
      <c r="AD440" t="s">
        <v>125</v>
      </c>
      <c r="AE440" t="s">
        <v>128</v>
      </c>
      <c r="AF440">
        <v>8</v>
      </c>
      <c r="AG440">
        <v>5</v>
      </c>
      <c r="AH440">
        <v>6</v>
      </c>
      <c r="AI440">
        <v>5</v>
      </c>
      <c r="AJ440">
        <v>8</v>
      </c>
      <c r="AK440">
        <v>5</v>
      </c>
    </row>
    <row r="441" spans="1:37" x14ac:dyDescent="0.3">
      <c r="B441" t="s">
        <v>107</v>
      </c>
      <c r="C441">
        <v>116</v>
      </c>
      <c r="D441">
        <v>20</v>
      </c>
      <c r="E441">
        <v>25</v>
      </c>
      <c r="F441">
        <v>150</v>
      </c>
      <c r="G441">
        <v>11.410005023056907</v>
      </c>
      <c r="H441">
        <v>32</v>
      </c>
      <c r="I441">
        <v>75</v>
      </c>
      <c r="J441">
        <v>0</v>
      </c>
      <c r="K441" s="8">
        <v>6.75</v>
      </c>
      <c r="L441">
        <v>8.1271000000000004</v>
      </c>
      <c r="M441">
        <f t="shared" si="5"/>
        <v>19.10856666666669</v>
      </c>
      <c r="N441">
        <v>1.2</v>
      </c>
      <c r="O441" s="8">
        <v>5.2</v>
      </c>
      <c r="P441" s="8">
        <v>0.89400000000000002</v>
      </c>
      <c r="Q441" s="8">
        <v>2.887</v>
      </c>
      <c r="R441" s="8">
        <v>0</v>
      </c>
      <c r="S441" t="s">
        <v>68</v>
      </c>
      <c r="T441">
        <v>50.35</v>
      </c>
      <c r="U441">
        <v>6.31</v>
      </c>
      <c r="V441">
        <v>38.659999999999997</v>
      </c>
      <c r="W441">
        <v>63.79</v>
      </c>
      <c r="X441">
        <v>9.6999999999999993</v>
      </c>
      <c r="Y441">
        <v>9.5</v>
      </c>
      <c r="Z441">
        <v>0</v>
      </c>
      <c r="AA441">
        <v>67.783333333333303</v>
      </c>
      <c r="AC441" t="s">
        <v>128</v>
      </c>
      <c r="AD441" t="s">
        <v>125</v>
      </c>
      <c r="AE441" t="s">
        <v>128</v>
      </c>
      <c r="AF441">
        <v>5</v>
      </c>
      <c r="AG441">
        <v>5</v>
      </c>
      <c r="AH441">
        <v>8</v>
      </c>
      <c r="AI441">
        <v>8</v>
      </c>
      <c r="AJ441">
        <v>5</v>
      </c>
      <c r="AK441">
        <v>8</v>
      </c>
    </row>
    <row r="442" spans="1:37" x14ac:dyDescent="0.3">
      <c r="B442" t="s">
        <v>108</v>
      </c>
      <c r="C442">
        <v>116</v>
      </c>
      <c r="D442">
        <v>20</v>
      </c>
      <c r="E442">
        <v>25</v>
      </c>
      <c r="F442">
        <v>150</v>
      </c>
      <c r="G442">
        <v>11.410005023056907</v>
      </c>
      <c r="H442">
        <v>32</v>
      </c>
      <c r="I442">
        <v>75</v>
      </c>
      <c r="J442">
        <v>0</v>
      </c>
      <c r="K442" s="8">
        <v>6.97</v>
      </c>
      <c r="L442">
        <v>9.7835000000000001</v>
      </c>
      <c r="M442">
        <f t="shared" si="5"/>
        <v>16.663166666666683</v>
      </c>
      <c r="N442">
        <v>1.5</v>
      </c>
      <c r="O442" s="8">
        <v>4.5999999999999996</v>
      </c>
      <c r="P442" s="8">
        <v>1.325</v>
      </c>
      <c r="Q442" s="8">
        <v>2.9649999999999999</v>
      </c>
      <c r="R442" s="8">
        <v>0</v>
      </c>
      <c r="S442" t="s">
        <v>68</v>
      </c>
      <c r="T442">
        <v>51.61</v>
      </c>
      <c r="U442">
        <v>6.2</v>
      </c>
      <c r="V442">
        <v>42.35</v>
      </c>
      <c r="W442">
        <v>67.05</v>
      </c>
      <c r="X442">
        <v>0</v>
      </c>
      <c r="Y442">
        <v>17.8</v>
      </c>
      <c r="Z442">
        <v>0</v>
      </c>
      <c r="AA442">
        <v>67.763333333333307</v>
      </c>
      <c r="AC442" t="s">
        <v>128</v>
      </c>
      <c r="AD442" t="s">
        <v>125</v>
      </c>
      <c r="AE442" t="s">
        <v>128</v>
      </c>
      <c r="AF442">
        <v>8</v>
      </c>
      <c r="AG442">
        <v>4</v>
      </c>
      <c r="AH442">
        <v>6</v>
      </c>
      <c r="AI442">
        <v>5</v>
      </c>
      <c r="AJ442">
        <v>8</v>
      </c>
      <c r="AK442">
        <v>7</v>
      </c>
    </row>
    <row r="443" spans="1:37" x14ac:dyDescent="0.3">
      <c r="B443" t="s">
        <v>108</v>
      </c>
      <c r="C443">
        <v>116</v>
      </c>
      <c r="D443">
        <v>20</v>
      </c>
      <c r="E443">
        <v>25</v>
      </c>
      <c r="F443">
        <v>150</v>
      </c>
      <c r="G443">
        <v>11.410005023056907</v>
      </c>
      <c r="H443">
        <v>32</v>
      </c>
      <c r="I443">
        <v>75</v>
      </c>
      <c r="J443">
        <v>0</v>
      </c>
      <c r="K443" s="8">
        <v>7.02</v>
      </c>
      <c r="L443">
        <v>7.7458999999999998</v>
      </c>
      <c r="M443">
        <f t="shared" si="5"/>
        <v>17.658766666666693</v>
      </c>
      <c r="N443">
        <v>2.5</v>
      </c>
      <c r="O443" s="8">
        <v>4.45</v>
      </c>
      <c r="P443" s="8">
        <v>1.456</v>
      </c>
      <c r="Q443" s="8">
        <v>2.8959999999999999</v>
      </c>
      <c r="R443" s="8">
        <v>0</v>
      </c>
      <c r="S443" t="s">
        <v>68</v>
      </c>
      <c r="T443">
        <v>51.6</v>
      </c>
      <c r="U443">
        <v>6.2</v>
      </c>
      <c r="V443">
        <v>42.37</v>
      </c>
      <c r="W443">
        <v>67.05</v>
      </c>
      <c r="X443">
        <v>0</v>
      </c>
      <c r="Y443">
        <v>18</v>
      </c>
      <c r="Z443">
        <v>0</v>
      </c>
      <c r="AA443">
        <v>67.743333333333297</v>
      </c>
      <c r="AC443" t="s">
        <v>128</v>
      </c>
      <c r="AD443" t="s">
        <v>125</v>
      </c>
      <c r="AE443" t="s">
        <v>128</v>
      </c>
      <c r="AF443">
        <v>7</v>
      </c>
      <c r="AG443">
        <v>7</v>
      </c>
      <c r="AH443">
        <v>6</v>
      </c>
      <c r="AI443">
        <v>6</v>
      </c>
      <c r="AJ443">
        <v>4</v>
      </c>
      <c r="AK443">
        <v>8</v>
      </c>
    </row>
    <row r="444" spans="1:37" x14ac:dyDescent="0.3">
      <c r="B444" t="s">
        <v>108</v>
      </c>
      <c r="C444">
        <v>116</v>
      </c>
      <c r="D444">
        <v>20</v>
      </c>
      <c r="E444">
        <v>25</v>
      </c>
      <c r="F444">
        <v>150</v>
      </c>
      <c r="G444">
        <v>11.410005023056907</v>
      </c>
      <c r="H444">
        <v>32</v>
      </c>
      <c r="I444">
        <v>75</v>
      </c>
      <c r="J444">
        <v>0</v>
      </c>
      <c r="K444" s="8">
        <v>7.18</v>
      </c>
      <c r="L444">
        <v>9.5869</v>
      </c>
      <c r="M444">
        <f t="shared" si="5"/>
        <v>9.4110766666668013</v>
      </c>
      <c r="N444">
        <v>8.65</v>
      </c>
      <c r="O444" s="8">
        <v>4.8</v>
      </c>
      <c r="P444" s="8">
        <v>1.583</v>
      </c>
      <c r="Q444" s="8">
        <v>3.04569</v>
      </c>
      <c r="R444" s="8">
        <v>0</v>
      </c>
      <c r="S444" t="s">
        <v>68</v>
      </c>
      <c r="T444">
        <v>51.59</v>
      </c>
      <c r="U444">
        <v>6.21</v>
      </c>
      <c r="V444">
        <v>42.33</v>
      </c>
      <c r="W444">
        <v>67.02</v>
      </c>
      <c r="X444">
        <v>0</v>
      </c>
      <c r="Y444">
        <v>18</v>
      </c>
      <c r="Z444">
        <v>0</v>
      </c>
      <c r="AA444">
        <v>67.723333333333201</v>
      </c>
      <c r="AC444" t="s">
        <v>128</v>
      </c>
      <c r="AD444" t="s">
        <v>125</v>
      </c>
      <c r="AE444" t="s">
        <v>128</v>
      </c>
      <c r="AF444">
        <v>8</v>
      </c>
      <c r="AG444">
        <v>9</v>
      </c>
      <c r="AH444">
        <v>8</v>
      </c>
      <c r="AI444">
        <v>5</v>
      </c>
      <c r="AJ444">
        <v>6</v>
      </c>
      <c r="AK444">
        <v>8</v>
      </c>
    </row>
    <row r="445" spans="1:37" x14ac:dyDescent="0.3">
      <c r="B445" t="s">
        <v>109</v>
      </c>
      <c r="C445">
        <v>0</v>
      </c>
      <c r="D445">
        <v>0</v>
      </c>
      <c r="E445">
        <v>0</v>
      </c>
      <c r="F445">
        <v>150</v>
      </c>
      <c r="G445">
        <v>0</v>
      </c>
      <c r="H445">
        <v>32</v>
      </c>
      <c r="I445">
        <v>75</v>
      </c>
      <c r="J445">
        <v>0</v>
      </c>
      <c r="K445" s="8">
        <v>6.87</v>
      </c>
      <c r="L445">
        <v>10.027699999999999</v>
      </c>
      <c r="M445">
        <f t="shared" si="5"/>
        <v>12.630300000000005</v>
      </c>
      <c r="N445">
        <v>6.3</v>
      </c>
      <c r="O445" s="8">
        <v>3.45</v>
      </c>
      <c r="P445" s="8">
        <v>0.46899999999999997</v>
      </c>
      <c r="Q445" s="8">
        <v>2.1230000000000002</v>
      </c>
      <c r="R445" s="8">
        <f>LOG10(152*(10^2))</f>
        <v>4.1818435879447726</v>
      </c>
      <c r="S445" t="s">
        <v>127</v>
      </c>
      <c r="T445">
        <v>55.4</v>
      </c>
      <c r="U445">
        <v>7.6</v>
      </c>
      <c r="V445">
        <v>51.09</v>
      </c>
      <c r="W445">
        <v>75.739999999999995</v>
      </c>
      <c r="X445">
        <v>18.899999999999999</v>
      </c>
      <c r="Y445">
        <v>0.8</v>
      </c>
      <c r="Z445">
        <v>-2</v>
      </c>
      <c r="AA445">
        <v>68.45</v>
      </c>
      <c r="AC445" t="s">
        <v>128</v>
      </c>
      <c r="AD445" t="s">
        <v>125</v>
      </c>
      <c r="AE445" t="s">
        <v>128</v>
      </c>
      <c r="AF445">
        <v>7</v>
      </c>
      <c r="AG445">
        <v>6</v>
      </c>
      <c r="AH445">
        <v>8</v>
      </c>
      <c r="AI445">
        <v>8</v>
      </c>
      <c r="AJ445">
        <v>7</v>
      </c>
      <c r="AK445">
        <v>5</v>
      </c>
    </row>
    <row r="446" spans="1:37" x14ac:dyDescent="0.3">
      <c r="B446" t="s">
        <v>109</v>
      </c>
      <c r="C446">
        <v>0</v>
      </c>
      <c r="D446">
        <v>0</v>
      </c>
      <c r="E446">
        <v>0</v>
      </c>
      <c r="F446">
        <v>150</v>
      </c>
      <c r="G446">
        <v>0</v>
      </c>
      <c r="H446">
        <v>32</v>
      </c>
      <c r="I446">
        <v>75</v>
      </c>
      <c r="J446">
        <v>0</v>
      </c>
      <c r="K446" s="8">
        <v>7.2</v>
      </c>
      <c r="L446">
        <v>10.118600000000001</v>
      </c>
      <c r="M446">
        <f t="shared" si="5"/>
        <v>7.4373999999999967</v>
      </c>
      <c r="N446">
        <v>7.98</v>
      </c>
      <c r="O446" s="8">
        <v>3.06</v>
      </c>
      <c r="P446" s="8">
        <v>0.89600000000000002</v>
      </c>
      <c r="Q446" s="8">
        <v>4.5679999999999996</v>
      </c>
      <c r="R446" s="8">
        <f>LOG10(117*(10^2))</f>
        <v>4.0681858617461613</v>
      </c>
      <c r="S446" t="s">
        <v>127</v>
      </c>
      <c r="T446">
        <v>55.4</v>
      </c>
      <c r="U446">
        <v>7.59</v>
      </c>
      <c r="V446">
        <v>51.08</v>
      </c>
      <c r="W446">
        <v>75.739999999999995</v>
      </c>
      <c r="X446">
        <v>18.8</v>
      </c>
      <c r="Y446">
        <v>0.4</v>
      </c>
      <c r="Z446">
        <v>-1</v>
      </c>
      <c r="AA446">
        <v>69</v>
      </c>
      <c r="AC446" t="s">
        <v>128</v>
      </c>
      <c r="AD446" t="s">
        <v>125</v>
      </c>
      <c r="AE446" t="s">
        <v>128</v>
      </c>
      <c r="AF446">
        <v>8</v>
      </c>
      <c r="AG446">
        <v>8</v>
      </c>
      <c r="AH446">
        <v>8</v>
      </c>
      <c r="AI446">
        <v>7</v>
      </c>
      <c r="AJ446">
        <v>8</v>
      </c>
      <c r="AK446">
        <v>7</v>
      </c>
    </row>
    <row r="447" spans="1:37" x14ac:dyDescent="0.3">
      <c r="B447" t="s">
        <v>109</v>
      </c>
      <c r="C447">
        <v>0</v>
      </c>
      <c r="D447">
        <v>0</v>
      </c>
      <c r="E447">
        <v>0</v>
      </c>
      <c r="F447">
        <v>150</v>
      </c>
      <c r="G447">
        <v>0</v>
      </c>
      <c r="H447">
        <v>32</v>
      </c>
      <c r="I447">
        <v>75</v>
      </c>
      <c r="J447">
        <v>0</v>
      </c>
      <c r="K447" s="8">
        <v>6.91</v>
      </c>
      <c r="L447">
        <v>10.638400000000001</v>
      </c>
      <c r="M447">
        <f t="shared" si="5"/>
        <v>13.015600000000006</v>
      </c>
      <c r="N447">
        <v>3.8</v>
      </c>
      <c r="O447" s="8">
        <v>3.93</v>
      </c>
      <c r="P447" s="8">
        <v>0.99</v>
      </c>
      <c r="Q447" s="8">
        <v>2.8959999999999999</v>
      </c>
      <c r="R447" s="8">
        <f>LOG10(129*(10^2))</f>
        <v>4.1105897102992488</v>
      </c>
      <c r="S447" t="s">
        <v>127</v>
      </c>
      <c r="T447">
        <v>55.39</v>
      </c>
      <c r="U447">
        <v>7.61</v>
      </c>
      <c r="V447">
        <v>51.13</v>
      </c>
      <c r="W447">
        <v>75.760000000000005</v>
      </c>
      <c r="X447">
        <v>18.8</v>
      </c>
      <c r="Y447">
        <v>0.3</v>
      </c>
      <c r="Z447">
        <v>-2</v>
      </c>
      <c r="AA447">
        <v>68.66</v>
      </c>
      <c r="AC447" t="s">
        <v>128</v>
      </c>
      <c r="AD447" t="s">
        <v>127</v>
      </c>
      <c r="AE447" t="s">
        <v>128</v>
      </c>
      <c r="AF447">
        <v>7</v>
      </c>
      <c r="AG447">
        <v>7</v>
      </c>
      <c r="AH447">
        <v>7</v>
      </c>
      <c r="AI447">
        <v>8</v>
      </c>
      <c r="AJ447">
        <v>8</v>
      </c>
      <c r="AK447">
        <v>7</v>
      </c>
    </row>
    <row r="448" spans="1:37" x14ac:dyDescent="0.3">
      <c r="B448" t="s">
        <v>109</v>
      </c>
      <c r="C448">
        <v>0</v>
      </c>
      <c r="D448">
        <v>0</v>
      </c>
      <c r="E448">
        <v>0</v>
      </c>
      <c r="F448">
        <v>150</v>
      </c>
      <c r="G448">
        <v>0</v>
      </c>
      <c r="H448">
        <v>32</v>
      </c>
      <c r="I448">
        <v>75</v>
      </c>
      <c r="J448">
        <v>0</v>
      </c>
      <c r="K448" s="8">
        <v>7.0333333333333297</v>
      </c>
      <c r="L448">
        <v>10.11477</v>
      </c>
      <c r="M448">
        <f t="shared" si="5"/>
        <v>13.106230000000011</v>
      </c>
      <c r="N448">
        <v>6.53</v>
      </c>
      <c r="O448" s="8">
        <v>4.2300000000000004</v>
      </c>
      <c r="P448" s="8">
        <v>1.589</v>
      </c>
      <c r="R448" s="8">
        <f t="shared" ref="R448:R450" si="6">LOG10(129*(10^2))</f>
        <v>4.1105897102992488</v>
      </c>
      <c r="S448" t="s">
        <v>127</v>
      </c>
      <c r="T448">
        <v>55.4</v>
      </c>
      <c r="U448">
        <v>7.6</v>
      </c>
      <c r="V448">
        <v>51.09</v>
      </c>
      <c r="W448">
        <v>75.739999999999995</v>
      </c>
      <c r="X448">
        <v>18.733333333333299</v>
      </c>
      <c r="Y448">
        <v>2.2204460492503101E-16</v>
      </c>
      <c r="Z448">
        <v>-1.6666666666666701</v>
      </c>
      <c r="AA448">
        <v>68.66</v>
      </c>
      <c r="AC448" t="s">
        <v>128</v>
      </c>
      <c r="AD448" t="s">
        <v>127</v>
      </c>
      <c r="AE448" t="s">
        <v>128</v>
      </c>
      <c r="AF448">
        <v>7</v>
      </c>
      <c r="AG448">
        <v>7</v>
      </c>
      <c r="AH448">
        <v>7</v>
      </c>
      <c r="AI448">
        <v>8</v>
      </c>
      <c r="AJ448">
        <v>8</v>
      </c>
      <c r="AK448">
        <v>7</v>
      </c>
    </row>
    <row r="449" spans="2:37" x14ac:dyDescent="0.3">
      <c r="B449" t="s">
        <v>109</v>
      </c>
      <c r="C449">
        <v>0</v>
      </c>
      <c r="D449">
        <v>0</v>
      </c>
      <c r="E449">
        <v>0</v>
      </c>
      <c r="F449">
        <v>150</v>
      </c>
      <c r="G449">
        <v>0</v>
      </c>
      <c r="H449">
        <v>32</v>
      </c>
      <c r="I449">
        <v>75</v>
      </c>
      <c r="J449">
        <v>0</v>
      </c>
      <c r="K449" s="8">
        <v>7.0533333333333301</v>
      </c>
      <c r="L449">
        <v>9.2563999999999993</v>
      </c>
      <c r="M449">
        <f t="shared" si="5"/>
        <v>17.783600000000007</v>
      </c>
      <c r="N449">
        <v>2.56</v>
      </c>
      <c r="O449" s="8">
        <v>3.46</v>
      </c>
      <c r="P449" s="8">
        <v>1.74</v>
      </c>
      <c r="R449" s="8">
        <f t="shared" si="6"/>
        <v>4.1105897102992488</v>
      </c>
      <c r="S449" t="s">
        <v>127</v>
      </c>
      <c r="T449">
        <v>55.4</v>
      </c>
      <c r="U449">
        <v>7.59</v>
      </c>
      <c r="V449">
        <v>51.08</v>
      </c>
      <c r="W449">
        <v>75.739999999999995</v>
      </c>
      <c r="X449">
        <v>18.683333333333302</v>
      </c>
      <c r="Y449">
        <v>-0.25</v>
      </c>
      <c r="Z449">
        <v>-1.6666666666666701</v>
      </c>
      <c r="AA449">
        <v>68.66</v>
      </c>
      <c r="AC449" t="s">
        <v>128</v>
      </c>
      <c r="AD449" t="s">
        <v>127</v>
      </c>
      <c r="AE449" t="s">
        <v>128</v>
      </c>
      <c r="AF449">
        <v>7</v>
      </c>
      <c r="AG449">
        <v>7</v>
      </c>
      <c r="AH449">
        <v>7</v>
      </c>
      <c r="AI449">
        <v>8</v>
      </c>
      <c r="AJ449">
        <v>8</v>
      </c>
      <c r="AK449">
        <v>7</v>
      </c>
    </row>
    <row r="450" spans="2:37" x14ac:dyDescent="0.3">
      <c r="B450" t="s">
        <v>109</v>
      </c>
      <c r="C450">
        <v>0</v>
      </c>
      <c r="D450">
        <v>0</v>
      </c>
      <c r="E450">
        <v>0</v>
      </c>
      <c r="F450">
        <v>150</v>
      </c>
      <c r="G450">
        <v>0</v>
      </c>
      <c r="H450">
        <v>32</v>
      </c>
      <c r="I450">
        <v>75</v>
      </c>
      <c r="J450">
        <v>0</v>
      </c>
      <c r="K450" s="8">
        <v>7.0733333333333297</v>
      </c>
      <c r="L450">
        <v>9.8230000000000004</v>
      </c>
      <c r="M450">
        <f t="shared" si="5"/>
        <v>16.046999999999997</v>
      </c>
      <c r="N450">
        <v>4.8899999999999997</v>
      </c>
      <c r="O450" s="8">
        <v>3.96</v>
      </c>
      <c r="P450" s="8">
        <v>0.57999999999999996</v>
      </c>
      <c r="R450" s="8">
        <f t="shared" si="6"/>
        <v>4.1105897102992488</v>
      </c>
      <c r="S450" t="s">
        <v>127</v>
      </c>
      <c r="T450">
        <v>55.39</v>
      </c>
      <c r="U450">
        <v>7.61</v>
      </c>
      <c r="V450">
        <v>51.13</v>
      </c>
      <c r="W450">
        <v>75.760000000000005</v>
      </c>
      <c r="X450">
        <v>18.633333333333301</v>
      </c>
      <c r="Y450">
        <v>-0.5</v>
      </c>
      <c r="Z450">
        <v>-1.6666666666666701</v>
      </c>
      <c r="AA450">
        <v>68.66</v>
      </c>
      <c r="AC450" t="s">
        <v>128</v>
      </c>
      <c r="AD450" t="s">
        <v>127</v>
      </c>
      <c r="AE450" t="s">
        <v>128</v>
      </c>
      <c r="AF450">
        <v>7</v>
      </c>
      <c r="AG450">
        <v>7</v>
      </c>
      <c r="AH450">
        <v>7</v>
      </c>
      <c r="AI450">
        <v>8</v>
      </c>
      <c r="AJ450">
        <v>8</v>
      </c>
      <c r="AK450">
        <v>7</v>
      </c>
    </row>
    <row r="451" spans="2:37" x14ac:dyDescent="0.3">
      <c r="B451" t="s">
        <v>141</v>
      </c>
      <c r="C451">
        <v>116</v>
      </c>
      <c r="D451">
        <v>20</v>
      </c>
      <c r="E451">
        <v>25</v>
      </c>
      <c r="F451">
        <v>150</v>
      </c>
      <c r="G451">
        <v>11.410005023056907</v>
      </c>
      <c r="H451">
        <v>32</v>
      </c>
      <c r="I451">
        <v>75</v>
      </c>
      <c r="J451">
        <v>10</v>
      </c>
      <c r="K451" s="8">
        <v>6.59</v>
      </c>
      <c r="N451">
        <v>1.33</v>
      </c>
      <c r="O451" s="8">
        <v>6.1</v>
      </c>
      <c r="R451" s="8">
        <v>0</v>
      </c>
      <c r="S451" t="s">
        <v>68</v>
      </c>
      <c r="T451">
        <v>51.24</v>
      </c>
      <c r="U451">
        <v>6.66</v>
      </c>
      <c r="V451">
        <v>36.75</v>
      </c>
      <c r="W451">
        <v>63.41</v>
      </c>
      <c r="X451">
        <v>4.2000000000000003E-2</v>
      </c>
      <c r="Y451">
        <v>16.5</v>
      </c>
      <c r="Z451">
        <v>1</v>
      </c>
      <c r="AA451">
        <v>57.89</v>
      </c>
      <c r="AC451" t="s">
        <v>128</v>
      </c>
      <c r="AD451" t="s">
        <v>127</v>
      </c>
      <c r="AE451" t="s">
        <v>128</v>
      </c>
      <c r="AF451">
        <v>5</v>
      </c>
      <c r="AG451">
        <v>5</v>
      </c>
      <c r="AH451">
        <v>7</v>
      </c>
      <c r="AI451">
        <v>5</v>
      </c>
      <c r="AJ451">
        <v>5</v>
      </c>
      <c r="AK451">
        <v>8</v>
      </c>
    </row>
    <row r="452" spans="2:37" x14ac:dyDescent="0.3">
      <c r="B452" t="s">
        <v>141</v>
      </c>
      <c r="C452">
        <v>116</v>
      </c>
      <c r="D452">
        <v>20</v>
      </c>
      <c r="E452">
        <v>25</v>
      </c>
      <c r="F452">
        <v>150</v>
      </c>
      <c r="G452">
        <v>11.410005023056907</v>
      </c>
      <c r="H452">
        <v>32</v>
      </c>
      <c r="I452">
        <v>75</v>
      </c>
      <c r="J452">
        <v>10</v>
      </c>
      <c r="K452" s="8">
        <v>6.63</v>
      </c>
      <c r="N452">
        <v>1.56</v>
      </c>
      <c r="O452" s="8">
        <v>5.2566666666666704</v>
      </c>
      <c r="R452" s="8">
        <v>0</v>
      </c>
      <c r="S452" t="s">
        <v>68</v>
      </c>
      <c r="T452">
        <v>51.27</v>
      </c>
      <c r="U452">
        <v>6.66</v>
      </c>
      <c r="V452">
        <v>36.74</v>
      </c>
      <c r="W452">
        <v>63.42</v>
      </c>
      <c r="X452">
        <v>0.59</v>
      </c>
      <c r="Y452">
        <v>16.2</v>
      </c>
      <c r="Z452">
        <v>1</v>
      </c>
      <c r="AA452">
        <v>58.99</v>
      </c>
      <c r="AC452" t="s">
        <v>128</v>
      </c>
      <c r="AD452" t="s">
        <v>127</v>
      </c>
      <c r="AE452" t="s">
        <v>128</v>
      </c>
      <c r="AF452">
        <v>6</v>
      </c>
      <c r="AG452">
        <v>8</v>
      </c>
      <c r="AH452">
        <v>8</v>
      </c>
      <c r="AI452">
        <v>7</v>
      </c>
      <c r="AJ452">
        <v>8</v>
      </c>
      <c r="AK452">
        <v>5</v>
      </c>
    </row>
    <row r="453" spans="2:37" x14ac:dyDescent="0.3">
      <c r="B453" t="s">
        <v>141</v>
      </c>
      <c r="C453">
        <v>116</v>
      </c>
      <c r="D453">
        <v>20</v>
      </c>
      <c r="E453">
        <v>25</v>
      </c>
      <c r="F453">
        <v>150</v>
      </c>
      <c r="G453">
        <v>11.410005023056907</v>
      </c>
      <c r="H453">
        <v>32</v>
      </c>
      <c r="I453">
        <v>75</v>
      </c>
      <c r="J453">
        <v>10</v>
      </c>
      <c r="K453" s="8">
        <v>6.29</v>
      </c>
      <c r="N453">
        <v>1.27</v>
      </c>
      <c r="O453" s="8">
        <v>6.85</v>
      </c>
      <c r="R453" s="8">
        <v>0</v>
      </c>
      <c r="S453" t="s">
        <v>68</v>
      </c>
      <c r="T453">
        <v>51.28</v>
      </c>
      <c r="U453">
        <v>6.67</v>
      </c>
      <c r="V453">
        <v>36.71</v>
      </c>
      <c r="W453">
        <v>63.41</v>
      </c>
      <c r="X453">
        <v>1.55</v>
      </c>
      <c r="Y453">
        <v>15.5</v>
      </c>
      <c r="Z453">
        <v>0</v>
      </c>
      <c r="AA453">
        <v>58.49</v>
      </c>
      <c r="AC453" t="s">
        <v>128</v>
      </c>
      <c r="AD453" t="s">
        <v>127</v>
      </c>
      <c r="AE453" t="s">
        <v>128</v>
      </c>
      <c r="AF453">
        <v>5</v>
      </c>
      <c r="AG453">
        <v>6</v>
      </c>
      <c r="AH453">
        <v>6</v>
      </c>
      <c r="AI453">
        <v>6</v>
      </c>
      <c r="AJ453">
        <v>7</v>
      </c>
      <c r="AK453">
        <v>7</v>
      </c>
    </row>
    <row r="454" spans="2:37" x14ac:dyDescent="0.3">
      <c r="B454" t="s">
        <v>142</v>
      </c>
      <c r="C454">
        <v>0</v>
      </c>
      <c r="D454">
        <v>0</v>
      </c>
      <c r="E454">
        <v>0</v>
      </c>
      <c r="F454">
        <v>150</v>
      </c>
      <c r="G454">
        <v>0</v>
      </c>
      <c r="H454">
        <v>32</v>
      </c>
      <c r="I454">
        <v>75</v>
      </c>
      <c r="J454">
        <v>10</v>
      </c>
      <c r="K454" s="8">
        <v>4.8899999999999997</v>
      </c>
      <c r="N454">
        <v>2.95</v>
      </c>
      <c r="O454" s="8">
        <v>7.8</v>
      </c>
      <c r="R454" s="10">
        <f>LOG10(207*(10^6))</f>
        <v>8.3159703454569183</v>
      </c>
      <c r="S454" s="10" t="s">
        <v>97</v>
      </c>
      <c r="T454">
        <v>58.5</v>
      </c>
      <c r="U454">
        <v>6.89</v>
      </c>
      <c r="V454">
        <v>52.93</v>
      </c>
      <c r="W454">
        <v>79.19</v>
      </c>
      <c r="X454">
        <v>0</v>
      </c>
      <c r="Y454">
        <v>36.299999999999997</v>
      </c>
      <c r="Z454">
        <v>1</v>
      </c>
      <c r="AA454">
        <v>66.78</v>
      </c>
      <c r="AC454" t="s">
        <v>143</v>
      </c>
      <c r="AD454" t="s">
        <v>69</v>
      </c>
      <c r="AE454" t="s">
        <v>203</v>
      </c>
      <c r="AF454">
        <v>2</v>
      </c>
      <c r="AG454">
        <v>4</v>
      </c>
      <c r="AH454">
        <v>1</v>
      </c>
      <c r="AI454" t="s">
        <v>213</v>
      </c>
      <c r="AJ454">
        <v>1</v>
      </c>
      <c r="AK454">
        <v>1</v>
      </c>
    </row>
    <row r="455" spans="2:37" x14ac:dyDescent="0.3">
      <c r="B455" t="s">
        <v>142</v>
      </c>
      <c r="C455">
        <v>0</v>
      </c>
      <c r="D455">
        <v>0</v>
      </c>
      <c r="E455">
        <v>0</v>
      </c>
      <c r="F455">
        <v>150</v>
      </c>
      <c r="G455">
        <v>0</v>
      </c>
      <c r="H455">
        <v>32</v>
      </c>
      <c r="I455">
        <v>75</v>
      </c>
      <c r="J455">
        <v>10</v>
      </c>
      <c r="K455" s="8">
        <v>4.5999999999999996</v>
      </c>
      <c r="N455">
        <v>6.5</v>
      </c>
      <c r="O455" s="8">
        <v>11.48</v>
      </c>
      <c r="R455" s="10">
        <f>LOG10(219*(10^6))</f>
        <v>8.3404441148401176</v>
      </c>
      <c r="S455" s="10" t="s">
        <v>97</v>
      </c>
      <c r="T455">
        <v>58.53</v>
      </c>
      <c r="U455">
        <v>6.89</v>
      </c>
      <c r="V455">
        <v>52.85</v>
      </c>
      <c r="W455">
        <v>79.16</v>
      </c>
      <c r="X455">
        <v>0</v>
      </c>
      <c r="Y455">
        <v>39.1</v>
      </c>
      <c r="Z455">
        <v>1</v>
      </c>
      <c r="AA455">
        <v>66.793000000000006</v>
      </c>
      <c r="AC455" t="s">
        <v>143</v>
      </c>
      <c r="AD455" t="s">
        <v>69</v>
      </c>
      <c r="AE455" t="s">
        <v>203</v>
      </c>
      <c r="AF455">
        <v>1</v>
      </c>
      <c r="AG455">
        <v>1</v>
      </c>
      <c r="AH455">
        <v>3</v>
      </c>
      <c r="AI455" t="s">
        <v>213</v>
      </c>
      <c r="AJ455">
        <v>2</v>
      </c>
      <c r="AK455">
        <v>2</v>
      </c>
    </row>
    <row r="456" spans="2:37" x14ac:dyDescent="0.3">
      <c r="B456" t="s">
        <v>142</v>
      </c>
      <c r="C456">
        <v>0</v>
      </c>
      <c r="D456">
        <v>0</v>
      </c>
      <c r="E456">
        <v>0</v>
      </c>
      <c r="F456">
        <v>150</v>
      </c>
      <c r="G456">
        <v>0</v>
      </c>
      <c r="H456">
        <v>32</v>
      </c>
      <c r="I456">
        <v>75</v>
      </c>
      <c r="J456">
        <v>10</v>
      </c>
      <c r="K456" s="8">
        <v>4.6100000000000003</v>
      </c>
      <c r="N456">
        <v>1.56</v>
      </c>
      <c r="O456" s="8">
        <v>6.76</v>
      </c>
      <c r="R456" s="10">
        <f>LOG10(213*(10^6))</f>
        <v>8.3283796034387372</v>
      </c>
      <c r="S456" s="10" t="s">
        <v>97</v>
      </c>
      <c r="T456">
        <v>58.53</v>
      </c>
      <c r="U456">
        <v>6.9</v>
      </c>
      <c r="V456">
        <v>52.78</v>
      </c>
      <c r="W456">
        <v>79.12</v>
      </c>
      <c r="X456">
        <v>0</v>
      </c>
      <c r="Y456">
        <v>39.9</v>
      </c>
      <c r="Z456">
        <v>0</v>
      </c>
      <c r="AA456">
        <v>66.852999999999994</v>
      </c>
      <c r="AC456" t="s">
        <v>143</v>
      </c>
      <c r="AD456" t="s">
        <v>69</v>
      </c>
      <c r="AE456" t="s">
        <v>203</v>
      </c>
      <c r="AF456">
        <v>3</v>
      </c>
      <c r="AG456">
        <v>2</v>
      </c>
      <c r="AH456">
        <v>1</v>
      </c>
      <c r="AI456" t="s">
        <v>213</v>
      </c>
      <c r="AJ456">
        <v>1</v>
      </c>
      <c r="AK456">
        <v>1</v>
      </c>
    </row>
    <row r="457" spans="2:37" x14ac:dyDescent="0.3">
      <c r="B457" t="s">
        <v>166</v>
      </c>
      <c r="C457">
        <v>0</v>
      </c>
      <c r="D457">
        <v>0</v>
      </c>
      <c r="E457">
        <v>0</v>
      </c>
      <c r="F457">
        <v>150</v>
      </c>
      <c r="G457">
        <v>0</v>
      </c>
      <c r="H457">
        <v>32</v>
      </c>
      <c r="I457">
        <v>75</v>
      </c>
      <c r="J457">
        <v>13</v>
      </c>
      <c r="K457" s="8">
        <v>4.5599999999999996</v>
      </c>
      <c r="N457">
        <v>2.2999999999999998</v>
      </c>
      <c r="O457" s="8">
        <v>11.9</v>
      </c>
      <c r="R457" s="10">
        <f>LOG10(47*(10^6))</f>
        <v>7.6720978579357171</v>
      </c>
      <c r="S457" s="10" t="s">
        <v>97</v>
      </c>
      <c r="T457">
        <v>58.55</v>
      </c>
      <c r="U457">
        <v>6.9033333333333298</v>
      </c>
      <c r="V457">
        <v>52.703333333333298</v>
      </c>
      <c r="W457">
        <v>79.086666666666702</v>
      </c>
      <c r="X457">
        <v>0</v>
      </c>
      <c r="Y457">
        <v>42.033333333333303</v>
      </c>
      <c r="Z457">
        <v>-0.33333333333333298</v>
      </c>
      <c r="AA457">
        <v>66.73</v>
      </c>
      <c r="AC457" t="s">
        <v>143</v>
      </c>
      <c r="AD457" t="s">
        <v>69</v>
      </c>
      <c r="AE457" t="s">
        <v>203</v>
      </c>
      <c r="AF457">
        <v>5</v>
      </c>
      <c r="AG457">
        <v>1</v>
      </c>
      <c r="AH457">
        <v>3</v>
      </c>
      <c r="AI457" t="s">
        <v>213</v>
      </c>
      <c r="AJ457">
        <v>4</v>
      </c>
      <c r="AK457">
        <v>2</v>
      </c>
    </row>
    <row r="458" spans="2:37" x14ac:dyDescent="0.3">
      <c r="B458" t="s">
        <v>166</v>
      </c>
      <c r="C458">
        <v>0</v>
      </c>
      <c r="D458">
        <v>0</v>
      </c>
      <c r="E458">
        <v>0</v>
      </c>
      <c r="F458">
        <v>150</v>
      </c>
      <c r="G458">
        <v>0</v>
      </c>
      <c r="H458">
        <v>32</v>
      </c>
      <c r="I458">
        <v>75</v>
      </c>
      <c r="J458">
        <v>13</v>
      </c>
      <c r="K458" s="8">
        <v>4.8899999999999997</v>
      </c>
      <c r="N458">
        <v>3.2</v>
      </c>
      <c r="O458" s="8">
        <v>10.59</v>
      </c>
      <c r="R458" s="10">
        <f>LOG10(257*(10^6))</f>
        <v>8.4099331233312942</v>
      </c>
      <c r="S458" s="10" t="s">
        <v>97</v>
      </c>
      <c r="T458">
        <v>58.564999999999998</v>
      </c>
      <c r="U458">
        <v>6.9083333333333297</v>
      </c>
      <c r="V458">
        <v>52.628333333333302</v>
      </c>
      <c r="W458">
        <v>79.051666666666705</v>
      </c>
      <c r="X458">
        <v>0</v>
      </c>
      <c r="Y458">
        <v>43.8333333333333</v>
      </c>
      <c r="Z458">
        <v>-0.83333333333333304</v>
      </c>
      <c r="AA458">
        <v>66.233000000000004</v>
      </c>
      <c r="AC458" t="s">
        <v>143</v>
      </c>
      <c r="AD458" t="s">
        <v>69</v>
      </c>
      <c r="AE458" t="s">
        <v>203</v>
      </c>
      <c r="AF458">
        <v>2</v>
      </c>
      <c r="AG458">
        <v>3</v>
      </c>
      <c r="AH458">
        <v>3</v>
      </c>
      <c r="AI458" t="s">
        <v>213</v>
      </c>
      <c r="AJ458">
        <v>2</v>
      </c>
      <c r="AK458">
        <v>1</v>
      </c>
    </row>
    <row r="459" spans="2:37" x14ac:dyDescent="0.3">
      <c r="B459" t="s">
        <v>166</v>
      </c>
      <c r="C459">
        <v>0</v>
      </c>
      <c r="D459">
        <v>0</v>
      </c>
      <c r="E459">
        <v>0</v>
      </c>
      <c r="F459">
        <v>150</v>
      </c>
      <c r="G459">
        <v>0</v>
      </c>
      <c r="H459">
        <v>32</v>
      </c>
      <c r="I459">
        <v>75</v>
      </c>
      <c r="J459">
        <v>13</v>
      </c>
      <c r="K459" s="8">
        <v>4.91</v>
      </c>
      <c r="N459">
        <v>3.6</v>
      </c>
      <c r="O459" s="8">
        <v>10.55</v>
      </c>
      <c r="R459" s="10">
        <f>LOG10(77*(10^8))</f>
        <v>9.8864907251724823</v>
      </c>
      <c r="S459" s="10" t="s">
        <v>97</v>
      </c>
      <c r="T459">
        <v>58.58</v>
      </c>
      <c r="U459">
        <v>6.9133333333333304</v>
      </c>
      <c r="V459">
        <v>52.553333333333299</v>
      </c>
      <c r="W459">
        <v>79.016666666666694</v>
      </c>
      <c r="X459">
        <v>0</v>
      </c>
      <c r="Y459">
        <v>45.633333333333297</v>
      </c>
      <c r="Z459">
        <v>-1.3333333333333299</v>
      </c>
      <c r="AA459">
        <v>66.63</v>
      </c>
      <c r="AC459" t="s">
        <v>143</v>
      </c>
      <c r="AD459" t="s">
        <v>69</v>
      </c>
      <c r="AE459" t="s">
        <v>203</v>
      </c>
      <c r="AF459">
        <v>4</v>
      </c>
      <c r="AG459">
        <v>1</v>
      </c>
      <c r="AH459">
        <v>2</v>
      </c>
      <c r="AI459" t="s">
        <v>213</v>
      </c>
      <c r="AJ459">
        <v>1</v>
      </c>
      <c r="AK459">
        <v>3</v>
      </c>
    </row>
    <row r="460" spans="2:37" x14ac:dyDescent="0.3">
      <c r="B460" t="s">
        <v>181</v>
      </c>
      <c r="C460">
        <v>116</v>
      </c>
      <c r="D460">
        <v>20</v>
      </c>
      <c r="E460">
        <v>25</v>
      </c>
      <c r="F460">
        <v>150</v>
      </c>
      <c r="G460">
        <v>11.410005023056907</v>
      </c>
      <c r="H460">
        <v>55</v>
      </c>
      <c r="I460">
        <v>75</v>
      </c>
      <c r="J460">
        <v>3</v>
      </c>
      <c r="K460" s="8">
        <v>6.51</v>
      </c>
      <c r="N460">
        <v>2.6</v>
      </c>
      <c r="O460" s="8">
        <v>6.05</v>
      </c>
      <c r="R460" s="8">
        <v>0</v>
      </c>
      <c r="S460" t="s">
        <v>68</v>
      </c>
      <c r="AC460" t="s">
        <v>128</v>
      </c>
      <c r="AD460" t="s">
        <v>127</v>
      </c>
      <c r="AE460" t="s">
        <v>128</v>
      </c>
      <c r="AF460">
        <v>8</v>
      </c>
      <c r="AG460">
        <v>7</v>
      </c>
      <c r="AH460">
        <v>8</v>
      </c>
      <c r="AI460">
        <v>8</v>
      </c>
      <c r="AJ460">
        <v>8</v>
      </c>
      <c r="AK460">
        <v>7</v>
      </c>
    </row>
    <row r="461" spans="2:37" x14ac:dyDescent="0.3">
      <c r="B461" t="s">
        <v>181</v>
      </c>
      <c r="C461">
        <v>116</v>
      </c>
      <c r="D461">
        <v>20</v>
      </c>
      <c r="E461">
        <v>25</v>
      </c>
      <c r="F461">
        <v>150</v>
      </c>
      <c r="G461">
        <v>11.410005023056907</v>
      </c>
      <c r="H461">
        <v>55</v>
      </c>
      <c r="I461">
        <v>75</v>
      </c>
      <c r="J461">
        <v>3</v>
      </c>
      <c r="K461" s="8">
        <v>6.48</v>
      </c>
      <c r="N461">
        <v>3.5</v>
      </c>
      <c r="O461" s="8">
        <v>5.78</v>
      </c>
      <c r="R461" s="8">
        <v>0</v>
      </c>
      <c r="S461" t="s">
        <v>68</v>
      </c>
      <c r="AC461" t="s">
        <v>128</v>
      </c>
      <c r="AD461" t="s">
        <v>127</v>
      </c>
      <c r="AE461" t="s">
        <v>128</v>
      </c>
      <c r="AF461">
        <v>7</v>
      </c>
      <c r="AG461">
        <v>8</v>
      </c>
      <c r="AH461">
        <v>7</v>
      </c>
      <c r="AI461">
        <v>7</v>
      </c>
      <c r="AJ461">
        <v>7</v>
      </c>
      <c r="AK461">
        <v>8</v>
      </c>
    </row>
    <row r="462" spans="2:37" x14ac:dyDescent="0.3">
      <c r="B462" t="s">
        <v>181</v>
      </c>
      <c r="C462">
        <v>116</v>
      </c>
      <c r="D462">
        <v>20</v>
      </c>
      <c r="E462">
        <v>25</v>
      </c>
      <c r="F462">
        <v>150</v>
      </c>
      <c r="G462">
        <v>11.410005023056907</v>
      </c>
      <c r="H462">
        <v>55</v>
      </c>
      <c r="I462">
        <v>75</v>
      </c>
      <c r="J462">
        <v>3</v>
      </c>
      <c r="K462" s="8">
        <v>6.53</v>
      </c>
      <c r="N462">
        <v>2.4</v>
      </c>
      <c r="O462" s="8">
        <v>5.45</v>
      </c>
      <c r="R462" s="8">
        <v>0</v>
      </c>
      <c r="S462" t="s">
        <v>68</v>
      </c>
      <c r="AC462" t="s">
        <v>128</v>
      </c>
      <c r="AD462" t="s">
        <v>127</v>
      </c>
      <c r="AE462" t="s">
        <v>128</v>
      </c>
      <c r="AF462">
        <v>9</v>
      </c>
      <c r="AG462">
        <v>9</v>
      </c>
      <c r="AH462">
        <v>8</v>
      </c>
      <c r="AI462">
        <v>8</v>
      </c>
      <c r="AJ462">
        <v>8</v>
      </c>
      <c r="AK462">
        <v>9</v>
      </c>
    </row>
    <row r="463" spans="2:37" x14ac:dyDescent="0.3">
      <c r="B463" t="s">
        <v>182</v>
      </c>
      <c r="C463">
        <v>116</v>
      </c>
      <c r="D463">
        <v>20</v>
      </c>
      <c r="E463">
        <v>25</v>
      </c>
      <c r="F463">
        <v>150</v>
      </c>
      <c r="G463">
        <v>11.410005023056907</v>
      </c>
      <c r="H463">
        <v>45</v>
      </c>
      <c r="I463">
        <v>75</v>
      </c>
      <c r="J463">
        <v>5</v>
      </c>
      <c r="K463" s="8">
        <v>6.49</v>
      </c>
      <c r="N463">
        <v>1.56</v>
      </c>
      <c r="O463" s="8">
        <v>6.12</v>
      </c>
      <c r="R463" s="8">
        <v>0</v>
      </c>
      <c r="S463" t="s">
        <v>68</v>
      </c>
      <c r="AC463" t="s">
        <v>128</v>
      </c>
      <c r="AD463" t="s">
        <v>127</v>
      </c>
      <c r="AE463" t="s">
        <v>128</v>
      </c>
      <c r="AF463">
        <v>9</v>
      </c>
      <c r="AG463">
        <v>8</v>
      </c>
      <c r="AH463">
        <v>7</v>
      </c>
      <c r="AI463">
        <v>7</v>
      </c>
      <c r="AJ463">
        <v>7</v>
      </c>
      <c r="AK463">
        <v>8</v>
      </c>
    </row>
    <row r="464" spans="2:37" x14ac:dyDescent="0.3">
      <c r="B464" t="s">
        <v>182</v>
      </c>
      <c r="C464">
        <v>116</v>
      </c>
      <c r="D464">
        <v>20</v>
      </c>
      <c r="E464">
        <v>25</v>
      </c>
      <c r="F464">
        <v>150</v>
      </c>
      <c r="G464">
        <v>11.410005023056907</v>
      </c>
      <c r="H464">
        <v>45</v>
      </c>
      <c r="I464">
        <v>75</v>
      </c>
      <c r="J464">
        <v>5</v>
      </c>
      <c r="K464" s="8">
        <v>6.4889999999999999</v>
      </c>
      <c r="N464">
        <v>1.49</v>
      </c>
      <c r="O464" s="8">
        <v>6.08</v>
      </c>
      <c r="R464" s="8">
        <v>0</v>
      </c>
      <c r="S464" t="s">
        <v>68</v>
      </c>
      <c r="AC464" t="s">
        <v>128</v>
      </c>
      <c r="AD464" t="s">
        <v>127</v>
      </c>
      <c r="AE464" t="s">
        <v>128</v>
      </c>
      <c r="AF464">
        <v>8</v>
      </c>
      <c r="AG464">
        <v>9</v>
      </c>
      <c r="AH464">
        <v>8</v>
      </c>
      <c r="AI464">
        <v>9</v>
      </c>
      <c r="AJ464">
        <v>9</v>
      </c>
      <c r="AK464">
        <v>7</v>
      </c>
    </row>
    <row r="465" spans="2:37" x14ac:dyDescent="0.3">
      <c r="B465" t="s">
        <v>182</v>
      </c>
      <c r="C465">
        <v>116</v>
      </c>
      <c r="D465">
        <v>20</v>
      </c>
      <c r="E465">
        <v>25</v>
      </c>
      <c r="F465">
        <v>150</v>
      </c>
      <c r="G465">
        <v>11.410005023056907</v>
      </c>
      <c r="H465">
        <v>45</v>
      </c>
      <c r="I465">
        <v>75</v>
      </c>
      <c r="J465">
        <v>5</v>
      </c>
      <c r="K465" s="8">
        <v>6.47</v>
      </c>
      <c r="N465">
        <v>3.56</v>
      </c>
      <c r="O465" s="8">
        <v>6.89</v>
      </c>
      <c r="R465" s="8">
        <v>0</v>
      </c>
      <c r="S465" t="s">
        <v>68</v>
      </c>
      <c r="AC465" t="s">
        <v>128</v>
      </c>
      <c r="AD465" t="s">
        <v>127</v>
      </c>
      <c r="AE465" t="s">
        <v>128</v>
      </c>
      <c r="AF465">
        <v>9</v>
      </c>
      <c r="AG465">
        <v>8</v>
      </c>
      <c r="AH465">
        <v>7</v>
      </c>
      <c r="AI465">
        <v>9</v>
      </c>
      <c r="AJ465">
        <v>8</v>
      </c>
      <c r="AK465">
        <v>8</v>
      </c>
    </row>
    <row r="466" spans="2:37" x14ac:dyDescent="0.3">
      <c r="B466" t="s">
        <v>183</v>
      </c>
      <c r="C466">
        <v>116</v>
      </c>
      <c r="D466">
        <v>20</v>
      </c>
      <c r="E466">
        <v>25</v>
      </c>
      <c r="F466">
        <v>150</v>
      </c>
      <c r="G466">
        <v>11.410005023056907</v>
      </c>
      <c r="H466">
        <v>55</v>
      </c>
      <c r="I466">
        <v>75</v>
      </c>
      <c r="J466">
        <v>6</v>
      </c>
      <c r="K466" s="8">
        <v>6.31</v>
      </c>
      <c r="N466">
        <v>6.5</v>
      </c>
      <c r="O466" s="8">
        <v>6.15</v>
      </c>
      <c r="R466" s="8">
        <v>0</v>
      </c>
      <c r="S466" t="s">
        <v>68</v>
      </c>
      <c r="AC466" t="s">
        <v>128</v>
      </c>
      <c r="AD466" t="s">
        <v>127</v>
      </c>
      <c r="AE466" t="s">
        <v>128</v>
      </c>
      <c r="AF466">
        <v>8</v>
      </c>
      <c r="AG466">
        <v>7</v>
      </c>
      <c r="AH466">
        <v>8</v>
      </c>
      <c r="AI466">
        <v>8</v>
      </c>
      <c r="AJ466">
        <v>8</v>
      </c>
      <c r="AK466">
        <v>9</v>
      </c>
    </row>
    <row r="467" spans="2:37" x14ac:dyDescent="0.3">
      <c r="B467" t="s">
        <v>183</v>
      </c>
      <c r="C467">
        <v>116</v>
      </c>
      <c r="D467">
        <v>20</v>
      </c>
      <c r="E467">
        <v>25</v>
      </c>
      <c r="F467">
        <v>150</v>
      </c>
      <c r="G467">
        <v>11.410005023056907</v>
      </c>
      <c r="H467">
        <v>55</v>
      </c>
      <c r="I467">
        <v>75</v>
      </c>
      <c r="J467">
        <v>6</v>
      </c>
      <c r="K467" s="8">
        <v>6.32</v>
      </c>
      <c r="N467">
        <v>8.3000000000000007</v>
      </c>
      <c r="O467" s="8">
        <v>6.05</v>
      </c>
      <c r="R467" s="8">
        <v>0</v>
      </c>
      <c r="S467" t="s">
        <v>68</v>
      </c>
      <c r="AC467" t="s">
        <v>128</v>
      </c>
      <c r="AD467" t="s">
        <v>127</v>
      </c>
      <c r="AE467" t="s">
        <v>128</v>
      </c>
      <c r="AF467">
        <v>7</v>
      </c>
      <c r="AG467">
        <v>9</v>
      </c>
      <c r="AH467">
        <v>8</v>
      </c>
      <c r="AI467">
        <v>9</v>
      </c>
      <c r="AJ467">
        <v>9</v>
      </c>
      <c r="AK467">
        <v>8</v>
      </c>
    </row>
    <row r="468" spans="2:37" x14ac:dyDescent="0.3">
      <c r="B468" t="s">
        <v>183</v>
      </c>
      <c r="C468">
        <v>116</v>
      </c>
      <c r="D468">
        <v>20</v>
      </c>
      <c r="E468">
        <v>25</v>
      </c>
      <c r="F468">
        <v>150</v>
      </c>
      <c r="G468">
        <v>11.410005023056907</v>
      </c>
      <c r="H468">
        <v>55</v>
      </c>
      <c r="I468">
        <v>75</v>
      </c>
      <c r="J468">
        <v>6</v>
      </c>
      <c r="K468" s="8">
        <v>6.49</v>
      </c>
      <c r="N468">
        <v>1.2</v>
      </c>
      <c r="O468" s="8">
        <v>5.05</v>
      </c>
      <c r="R468" s="8">
        <v>0</v>
      </c>
      <c r="S468" t="s">
        <v>68</v>
      </c>
      <c r="AC468" t="s">
        <v>128</v>
      </c>
      <c r="AD468" t="s">
        <v>127</v>
      </c>
      <c r="AE468" t="s">
        <v>128</v>
      </c>
      <c r="AF468">
        <v>8</v>
      </c>
      <c r="AG468">
        <v>8</v>
      </c>
      <c r="AH468">
        <v>9</v>
      </c>
      <c r="AI468">
        <v>8</v>
      </c>
      <c r="AJ468">
        <v>8</v>
      </c>
      <c r="AK468">
        <v>7</v>
      </c>
    </row>
    <row r="469" spans="2:37" x14ac:dyDescent="0.3">
      <c r="B469" t="s">
        <v>184</v>
      </c>
      <c r="C469">
        <v>116</v>
      </c>
      <c r="D469">
        <v>20</v>
      </c>
      <c r="E469">
        <v>25</v>
      </c>
      <c r="F469">
        <v>150</v>
      </c>
      <c r="G469">
        <v>11.410005023056907</v>
      </c>
      <c r="H469">
        <v>32</v>
      </c>
      <c r="I469">
        <v>75</v>
      </c>
      <c r="J469">
        <v>7</v>
      </c>
      <c r="K469" s="8">
        <v>6.69</v>
      </c>
      <c r="N469">
        <v>2.6</v>
      </c>
      <c r="O469" s="8">
        <v>5.0999999999999996</v>
      </c>
      <c r="R469" s="8">
        <v>0</v>
      </c>
      <c r="S469" t="s">
        <v>68</v>
      </c>
      <c r="AC469" t="s">
        <v>128</v>
      </c>
      <c r="AD469" t="s">
        <v>127</v>
      </c>
      <c r="AE469" t="s">
        <v>128</v>
      </c>
      <c r="AF469">
        <v>9</v>
      </c>
      <c r="AG469">
        <v>7</v>
      </c>
      <c r="AH469">
        <v>8</v>
      </c>
      <c r="AI469">
        <v>9</v>
      </c>
      <c r="AJ469">
        <v>7</v>
      </c>
      <c r="AK469">
        <v>8</v>
      </c>
    </row>
    <row r="470" spans="2:37" x14ac:dyDescent="0.3">
      <c r="B470" t="s">
        <v>184</v>
      </c>
      <c r="C470">
        <v>116</v>
      </c>
      <c r="D470">
        <v>20</v>
      </c>
      <c r="E470">
        <v>25</v>
      </c>
      <c r="F470">
        <v>150</v>
      </c>
      <c r="G470">
        <v>11.410005023056907</v>
      </c>
      <c r="H470">
        <v>32</v>
      </c>
      <c r="I470">
        <v>75</v>
      </c>
      <c r="J470">
        <v>7</v>
      </c>
      <c r="K470" s="8">
        <v>6.65</v>
      </c>
      <c r="N470">
        <v>2.4500000000000002</v>
      </c>
      <c r="O470" s="8">
        <v>6.24</v>
      </c>
      <c r="R470" s="8">
        <v>0</v>
      </c>
      <c r="S470" t="s">
        <v>68</v>
      </c>
      <c r="AC470" t="s">
        <v>128</v>
      </c>
      <c r="AD470" t="s">
        <v>127</v>
      </c>
      <c r="AE470" t="s">
        <v>128</v>
      </c>
      <c r="AF470">
        <v>8</v>
      </c>
      <c r="AG470">
        <v>8</v>
      </c>
      <c r="AH470">
        <v>8</v>
      </c>
      <c r="AI470">
        <v>7</v>
      </c>
      <c r="AJ470">
        <v>8</v>
      </c>
      <c r="AK470">
        <v>9</v>
      </c>
    </row>
    <row r="471" spans="2:37" x14ac:dyDescent="0.3">
      <c r="B471" t="s">
        <v>184</v>
      </c>
      <c r="C471">
        <v>116</v>
      </c>
      <c r="D471">
        <v>20</v>
      </c>
      <c r="E471">
        <v>25</v>
      </c>
      <c r="F471">
        <v>150</v>
      </c>
      <c r="G471">
        <v>11.410005023056907</v>
      </c>
      <c r="H471">
        <v>32</v>
      </c>
      <c r="I471">
        <v>75</v>
      </c>
      <c r="J471">
        <v>7</v>
      </c>
      <c r="K471" s="8">
        <v>6.62</v>
      </c>
      <c r="N471">
        <v>1.6</v>
      </c>
      <c r="O471" s="8">
        <v>6.79</v>
      </c>
      <c r="R471" s="8">
        <v>0</v>
      </c>
      <c r="S471" t="s">
        <v>68</v>
      </c>
      <c r="AC471" t="s">
        <v>128</v>
      </c>
      <c r="AD471" t="s">
        <v>127</v>
      </c>
      <c r="AE471" t="s">
        <v>128</v>
      </c>
      <c r="AF471">
        <v>7</v>
      </c>
      <c r="AG471">
        <v>7</v>
      </c>
      <c r="AH471">
        <v>8</v>
      </c>
      <c r="AI471">
        <v>9</v>
      </c>
      <c r="AJ471">
        <v>9</v>
      </c>
      <c r="AK471">
        <v>7</v>
      </c>
    </row>
    <row r="472" spans="2:37" x14ac:dyDescent="0.3">
      <c r="B472" t="s">
        <v>185</v>
      </c>
      <c r="C472">
        <v>116</v>
      </c>
      <c r="D472">
        <v>20</v>
      </c>
      <c r="E472">
        <v>25</v>
      </c>
      <c r="F472">
        <v>150</v>
      </c>
      <c r="G472">
        <v>11.410005023056907</v>
      </c>
      <c r="H472">
        <v>55</v>
      </c>
      <c r="I472">
        <v>75</v>
      </c>
      <c r="J472">
        <v>9</v>
      </c>
      <c r="K472" s="8">
        <v>6.21</v>
      </c>
      <c r="N472">
        <v>1.89</v>
      </c>
      <c r="O472" s="8">
        <v>7.08</v>
      </c>
      <c r="R472" s="8">
        <v>0</v>
      </c>
      <c r="S472" t="s">
        <v>68</v>
      </c>
      <c r="X472">
        <v>1E-3</v>
      </c>
      <c r="Y472">
        <v>20.8</v>
      </c>
      <c r="Z472">
        <v>1</v>
      </c>
      <c r="AC472" t="s">
        <v>128</v>
      </c>
      <c r="AD472" t="s">
        <v>127</v>
      </c>
      <c r="AE472" t="s">
        <v>128</v>
      </c>
      <c r="AF472">
        <v>9</v>
      </c>
      <c r="AG472">
        <v>6</v>
      </c>
      <c r="AH472">
        <v>9</v>
      </c>
      <c r="AI472">
        <v>9</v>
      </c>
      <c r="AJ472">
        <v>8</v>
      </c>
      <c r="AK472">
        <v>8</v>
      </c>
    </row>
    <row r="473" spans="2:37" x14ac:dyDescent="0.3">
      <c r="B473" t="s">
        <v>185</v>
      </c>
      <c r="C473">
        <v>116</v>
      </c>
      <c r="D473">
        <v>20</v>
      </c>
      <c r="E473">
        <v>25</v>
      </c>
      <c r="F473">
        <v>150</v>
      </c>
      <c r="G473">
        <v>11.410005023056907</v>
      </c>
      <c r="H473">
        <v>55</v>
      </c>
      <c r="I473">
        <v>75</v>
      </c>
      <c r="J473">
        <v>9</v>
      </c>
      <c r="K473" s="8">
        <v>6.29</v>
      </c>
      <c r="N473">
        <v>3.46</v>
      </c>
      <c r="O473" s="8">
        <v>7.11</v>
      </c>
      <c r="R473" s="8">
        <v>0</v>
      </c>
      <c r="S473" t="s">
        <v>68</v>
      </c>
      <c r="X473">
        <v>1.07</v>
      </c>
      <c r="Y473">
        <v>20.100000000000001</v>
      </c>
      <c r="Z473">
        <v>1</v>
      </c>
      <c r="AC473" t="s">
        <v>128</v>
      </c>
      <c r="AD473" t="s">
        <v>127</v>
      </c>
      <c r="AE473" t="s">
        <v>128</v>
      </c>
      <c r="AF473">
        <v>8</v>
      </c>
      <c r="AG473">
        <v>9</v>
      </c>
      <c r="AH473">
        <v>7</v>
      </c>
      <c r="AI473">
        <v>9</v>
      </c>
      <c r="AJ473">
        <v>7</v>
      </c>
      <c r="AK473">
        <v>9</v>
      </c>
    </row>
    <row r="474" spans="2:37" x14ac:dyDescent="0.3">
      <c r="B474" t="s">
        <v>185</v>
      </c>
      <c r="C474">
        <v>116</v>
      </c>
      <c r="D474">
        <v>20</v>
      </c>
      <c r="E474">
        <v>25</v>
      </c>
      <c r="F474">
        <v>150</v>
      </c>
      <c r="G474">
        <v>11.410005023056907</v>
      </c>
      <c r="H474">
        <v>55</v>
      </c>
      <c r="I474">
        <v>75</v>
      </c>
      <c r="J474">
        <v>9</v>
      </c>
      <c r="K474" s="8">
        <v>6.3</v>
      </c>
      <c r="N474">
        <v>5.3209999999999997</v>
      </c>
      <c r="O474" s="8">
        <v>7.09</v>
      </c>
      <c r="R474" s="8">
        <v>0</v>
      </c>
      <c r="S474" t="s">
        <v>68</v>
      </c>
      <c r="X474">
        <v>1.7</v>
      </c>
      <c r="Y474">
        <v>18.8</v>
      </c>
      <c r="Z474">
        <v>1</v>
      </c>
      <c r="AC474" t="s">
        <v>128</v>
      </c>
      <c r="AD474" t="s">
        <v>127</v>
      </c>
      <c r="AE474" t="s">
        <v>128</v>
      </c>
      <c r="AF474">
        <v>8</v>
      </c>
      <c r="AG474">
        <v>8</v>
      </c>
      <c r="AH474">
        <v>8</v>
      </c>
      <c r="AI474">
        <v>8</v>
      </c>
      <c r="AJ474">
        <v>8</v>
      </c>
      <c r="AK474">
        <v>9</v>
      </c>
    </row>
    <row r="475" spans="2:37" x14ac:dyDescent="0.3">
      <c r="B475" t="s">
        <v>186</v>
      </c>
      <c r="C475">
        <v>116</v>
      </c>
      <c r="D475">
        <v>20</v>
      </c>
      <c r="E475">
        <v>25</v>
      </c>
      <c r="F475">
        <v>150</v>
      </c>
      <c r="G475">
        <v>11.410005023056907</v>
      </c>
      <c r="H475">
        <v>45</v>
      </c>
      <c r="I475">
        <v>75</v>
      </c>
      <c r="J475">
        <v>10</v>
      </c>
      <c r="K475" s="8">
        <v>6.48</v>
      </c>
      <c r="N475">
        <v>4.1230000000000002</v>
      </c>
      <c r="O475" s="8">
        <v>7.02</v>
      </c>
      <c r="R475" s="8">
        <v>0</v>
      </c>
      <c r="S475" t="s">
        <v>68</v>
      </c>
      <c r="X475">
        <v>0</v>
      </c>
      <c r="Y475">
        <v>19.5</v>
      </c>
      <c r="Z475">
        <v>1</v>
      </c>
      <c r="AC475" t="s">
        <v>128</v>
      </c>
      <c r="AD475" t="s">
        <v>127</v>
      </c>
      <c r="AE475" t="s">
        <v>128</v>
      </c>
      <c r="AF475">
        <v>8</v>
      </c>
      <c r="AG475">
        <v>8</v>
      </c>
      <c r="AH475">
        <v>8</v>
      </c>
      <c r="AI475">
        <v>8</v>
      </c>
      <c r="AJ475">
        <v>9</v>
      </c>
      <c r="AK475">
        <v>8</v>
      </c>
    </row>
    <row r="476" spans="2:37" x14ac:dyDescent="0.3">
      <c r="B476" t="s">
        <v>186</v>
      </c>
      <c r="C476">
        <v>116</v>
      </c>
      <c r="D476">
        <v>20</v>
      </c>
      <c r="E476">
        <v>25</v>
      </c>
      <c r="F476">
        <v>150</v>
      </c>
      <c r="G476">
        <v>11.410005023056907</v>
      </c>
      <c r="H476">
        <v>45</v>
      </c>
      <c r="I476">
        <v>75</v>
      </c>
      <c r="J476">
        <v>10</v>
      </c>
      <c r="K476" s="8">
        <v>6.43</v>
      </c>
      <c r="N476">
        <v>6.12</v>
      </c>
      <c r="O476" s="8">
        <v>6.89</v>
      </c>
      <c r="R476" s="8">
        <v>0</v>
      </c>
      <c r="S476" t="s">
        <v>68</v>
      </c>
      <c r="X476">
        <v>0.58799999999999997</v>
      </c>
      <c r="Y476">
        <v>18.5</v>
      </c>
      <c r="Z476">
        <v>1</v>
      </c>
      <c r="AC476" t="s">
        <v>128</v>
      </c>
      <c r="AD476" t="s">
        <v>127</v>
      </c>
      <c r="AE476" t="s">
        <v>128</v>
      </c>
      <c r="AF476">
        <v>8</v>
      </c>
      <c r="AG476">
        <v>9</v>
      </c>
      <c r="AH476">
        <v>8</v>
      </c>
      <c r="AI476">
        <v>9</v>
      </c>
      <c r="AJ476">
        <v>8</v>
      </c>
      <c r="AK476">
        <v>9</v>
      </c>
    </row>
    <row r="477" spans="2:37" x14ac:dyDescent="0.3">
      <c r="B477" t="s">
        <v>186</v>
      </c>
      <c r="C477">
        <v>116</v>
      </c>
      <c r="D477">
        <v>20</v>
      </c>
      <c r="E477">
        <v>25</v>
      </c>
      <c r="F477">
        <v>150</v>
      </c>
      <c r="G477">
        <v>11.410005023056907</v>
      </c>
      <c r="H477">
        <v>45</v>
      </c>
      <c r="I477">
        <v>75</v>
      </c>
      <c r="J477">
        <v>10</v>
      </c>
      <c r="K477" s="8">
        <v>6.49</v>
      </c>
      <c r="N477">
        <v>4.1500000000000004</v>
      </c>
      <c r="O477" s="8">
        <v>6.76</v>
      </c>
      <c r="R477" s="8">
        <v>0</v>
      </c>
      <c r="S477" t="s">
        <v>68</v>
      </c>
      <c r="X477">
        <v>1.84</v>
      </c>
      <c r="Y477">
        <v>17</v>
      </c>
      <c r="Z477">
        <v>1</v>
      </c>
      <c r="AC477" t="s">
        <v>128</v>
      </c>
      <c r="AD477" t="s">
        <v>127</v>
      </c>
      <c r="AE477" t="s">
        <v>128</v>
      </c>
      <c r="AF477">
        <v>7</v>
      </c>
      <c r="AG477">
        <v>8</v>
      </c>
      <c r="AH477">
        <v>8</v>
      </c>
      <c r="AI477">
        <v>8</v>
      </c>
      <c r="AJ477">
        <v>8</v>
      </c>
      <c r="AK477">
        <v>8</v>
      </c>
    </row>
    <row r="478" spans="2:37" x14ac:dyDescent="0.3">
      <c r="B478" t="s">
        <v>187</v>
      </c>
      <c r="C478">
        <v>116</v>
      </c>
      <c r="D478">
        <v>20</v>
      </c>
      <c r="E478">
        <v>25</v>
      </c>
      <c r="F478">
        <v>150</v>
      </c>
      <c r="G478">
        <v>11.4100050230569</v>
      </c>
      <c r="H478">
        <v>28</v>
      </c>
      <c r="I478">
        <v>75</v>
      </c>
      <c r="J478">
        <v>10</v>
      </c>
      <c r="K478" s="8">
        <v>6.35</v>
      </c>
      <c r="N478">
        <v>5.63</v>
      </c>
      <c r="O478" s="8">
        <v>7.31666666666667</v>
      </c>
      <c r="R478" s="8">
        <v>0</v>
      </c>
      <c r="S478" t="s">
        <v>68</v>
      </c>
      <c r="T478">
        <v>53.21</v>
      </c>
      <c r="U478">
        <v>6.1</v>
      </c>
      <c r="V478">
        <v>43.516666666666701</v>
      </c>
      <c r="W478">
        <v>69.013333333333307</v>
      </c>
      <c r="X478">
        <v>0</v>
      </c>
      <c r="Y478">
        <v>19.866666666666699</v>
      </c>
      <c r="Z478">
        <v>2.33</v>
      </c>
      <c r="AA478">
        <v>42.46</v>
      </c>
      <c r="AC478" t="s">
        <v>128</v>
      </c>
      <c r="AD478" t="s">
        <v>127</v>
      </c>
      <c r="AE478" t="s">
        <v>128</v>
      </c>
      <c r="AF478">
        <v>8</v>
      </c>
      <c r="AG478">
        <v>9</v>
      </c>
      <c r="AH478">
        <v>9</v>
      </c>
      <c r="AI478">
        <v>9</v>
      </c>
      <c r="AJ478">
        <v>9</v>
      </c>
      <c r="AK478">
        <v>9</v>
      </c>
    </row>
    <row r="479" spans="2:37" x14ac:dyDescent="0.3">
      <c r="B479" t="s">
        <v>187</v>
      </c>
      <c r="C479">
        <v>116</v>
      </c>
      <c r="D479">
        <v>20</v>
      </c>
      <c r="E479">
        <v>25</v>
      </c>
      <c r="F479">
        <v>150</v>
      </c>
      <c r="G479">
        <v>11.4100050230569</v>
      </c>
      <c r="H479">
        <v>28</v>
      </c>
      <c r="I479">
        <v>75</v>
      </c>
      <c r="J479">
        <v>10</v>
      </c>
      <c r="K479" s="8">
        <v>6.3250000000000002</v>
      </c>
      <c r="N479">
        <v>5.2</v>
      </c>
      <c r="O479" s="8">
        <v>7.3116666666666701</v>
      </c>
      <c r="R479" s="8">
        <v>0</v>
      </c>
      <c r="S479" t="s">
        <v>68</v>
      </c>
      <c r="T479">
        <v>53.17</v>
      </c>
      <c r="U479">
        <v>6.11</v>
      </c>
      <c r="V479">
        <v>43.446666666666701</v>
      </c>
      <c r="W479">
        <v>68.938333333333304</v>
      </c>
      <c r="X479">
        <v>0</v>
      </c>
      <c r="Y479">
        <v>19.9166666666667</v>
      </c>
      <c r="Z479">
        <v>1.8333333333333299</v>
      </c>
      <c r="AA479">
        <v>42.46</v>
      </c>
      <c r="AC479" t="s">
        <v>128</v>
      </c>
      <c r="AD479" t="s">
        <v>127</v>
      </c>
      <c r="AE479" t="s">
        <v>128</v>
      </c>
      <c r="AF479">
        <v>8</v>
      </c>
      <c r="AG479">
        <v>8</v>
      </c>
      <c r="AH479">
        <v>8</v>
      </c>
      <c r="AI479">
        <v>8</v>
      </c>
      <c r="AJ479">
        <v>7</v>
      </c>
      <c r="AK479">
        <v>8</v>
      </c>
    </row>
    <row r="480" spans="2:37" x14ac:dyDescent="0.3">
      <c r="B480" t="s">
        <v>187</v>
      </c>
      <c r="C480">
        <v>116</v>
      </c>
      <c r="D480">
        <v>20</v>
      </c>
      <c r="E480">
        <v>25</v>
      </c>
      <c r="F480">
        <v>150</v>
      </c>
      <c r="G480">
        <v>11.4100050230569</v>
      </c>
      <c r="H480">
        <v>28</v>
      </c>
      <c r="I480">
        <v>75</v>
      </c>
      <c r="J480">
        <v>10</v>
      </c>
      <c r="K480" s="8">
        <v>6.3</v>
      </c>
      <c r="N480">
        <v>4.5999999999999996</v>
      </c>
      <c r="O480" s="8">
        <v>7.3066666666666702</v>
      </c>
      <c r="R480" s="8">
        <v>0</v>
      </c>
      <c r="S480" t="s">
        <v>68</v>
      </c>
      <c r="T480">
        <v>53.13</v>
      </c>
      <c r="U480">
        <v>6.12</v>
      </c>
      <c r="V480">
        <v>43.376666666666701</v>
      </c>
      <c r="W480">
        <v>68.863333333333301</v>
      </c>
      <c r="X480">
        <v>0</v>
      </c>
      <c r="Y480">
        <v>19.966666666666701</v>
      </c>
      <c r="Z480">
        <v>1.3333333333333299</v>
      </c>
      <c r="AA480">
        <v>42.46</v>
      </c>
      <c r="AC480" t="s">
        <v>128</v>
      </c>
      <c r="AD480" t="s">
        <v>127</v>
      </c>
      <c r="AE480" t="s">
        <v>128</v>
      </c>
      <c r="AF480">
        <v>7</v>
      </c>
      <c r="AG480">
        <v>9</v>
      </c>
      <c r="AH480">
        <v>8</v>
      </c>
      <c r="AI480">
        <v>9</v>
      </c>
      <c r="AJ480">
        <v>8</v>
      </c>
      <c r="AK480">
        <v>9</v>
      </c>
    </row>
    <row r="481" spans="2:37" x14ac:dyDescent="0.3">
      <c r="B481" t="s">
        <v>187</v>
      </c>
      <c r="C481">
        <v>116</v>
      </c>
      <c r="D481">
        <v>20</v>
      </c>
      <c r="E481">
        <v>25</v>
      </c>
      <c r="F481">
        <v>150</v>
      </c>
      <c r="G481">
        <v>11.468648560758</v>
      </c>
      <c r="H481">
        <v>28</v>
      </c>
      <c r="I481">
        <v>75</v>
      </c>
      <c r="J481">
        <v>13</v>
      </c>
      <c r="K481" s="8">
        <v>6.29</v>
      </c>
      <c r="N481">
        <v>1.0649999999999999</v>
      </c>
      <c r="O481" s="8">
        <v>6.1</v>
      </c>
      <c r="R481" s="8">
        <v>0</v>
      </c>
      <c r="S481" t="s">
        <v>68</v>
      </c>
      <c r="T481">
        <v>53.1</v>
      </c>
      <c r="U481">
        <v>6.14</v>
      </c>
      <c r="V481">
        <v>43.31</v>
      </c>
      <c r="W481">
        <v>68.8</v>
      </c>
      <c r="X481">
        <v>0</v>
      </c>
      <c r="Y481">
        <v>20</v>
      </c>
      <c r="Z481">
        <v>1</v>
      </c>
      <c r="AA481">
        <v>42.46</v>
      </c>
      <c r="AC481" t="s">
        <v>128</v>
      </c>
      <c r="AD481" t="s">
        <v>127</v>
      </c>
      <c r="AE481" t="s">
        <v>128</v>
      </c>
      <c r="AF481">
        <v>8</v>
      </c>
      <c r="AG481">
        <v>8</v>
      </c>
      <c r="AH481">
        <v>9</v>
      </c>
      <c r="AI481">
        <v>8</v>
      </c>
      <c r="AJ481">
        <v>7</v>
      </c>
      <c r="AK481">
        <v>8</v>
      </c>
    </row>
    <row r="482" spans="2:37" x14ac:dyDescent="0.3">
      <c r="B482" t="s">
        <v>187</v>
      </c>
      <c r="C482">
        <v>116</v>
      </c>
      <c r="D482">
        <v>20</v>
      </c>
      <c r="E482">
        <v>25</v>
      </c>
      <c r="F482">
        <v>150</v>
      </c>
      <c r="G482">
        <v>11.468648560758</v>
      </c>
      <c r="H482">
        <v>28</v>
      </c>
      <c r="I482">
        <v>75</v>
      </c>
      <c r="J482">
        <v>13</v>
      </c>
      <c r="K482" s="8">
        <v>6.22</v>
      </c>
      <c r="N482">
        <v>1.86</v>
      </c>
      <c r="O482" s="8">
        <v>5.7</v>
      </c>
      <c r="R482" s="8">
        <v>0</v>
      </c>
      <c r="S482" t="s">
        <v>68</v>
      </c>
      <c r="T482">
        <v>53.03</v>
      </c>
      <c r="U482">
        <v>6.12</v>
      </c>
      <c r="V482">
        <v>43.23</v>
      </c>
      <c r="W482">
        <v>68.69</v>
      </c>
      <c r="X482">
        <v>0</v>
      </c>
      <c r="Y482">
        <v>20.100000000000001</v>
      </c>
      <c r="Z482">
        <v>0</v>
      </c>
      <c r="AA482">
        <v>42.46</v>
      </c>
      <c r="AC482" t="s">
        <v>128</v>
      </c>
      <c r="AD482" t="s">
        <v>127</v>
      </c>
      <c r="AE482" t="s">
        <v>128</v>
      </c>
      <c r="AF482">
        <v>7</v>
      </c>
      <c r="AG482">
        <v>6</v>
      </c>
      <c r="AH482">
        <v>8</v>
      </c>
      <c r="AI482">
        <v>7</v>
      </c>
      <c r="AJ482">
        <v>6</v>
      </c>
      <c r="AK482">
        <v>7</v>
      </c>
    </row>
    <row r="483" spans="2:37" x14ac:dyDescent="0.3">
      <c r="B483" t="s">
        <v>187</v>
      </c>
      <c r="C483">
        <v>116</v>
      </c>
      <c r="D483">
        <v>20</v>
      </c>
      <c r="E483">
        <v>25</v>
      </c>
      <c r="F483">
        <v>150</v>
      </c>
      <c r="G483">
        <v>11.468648560758</v>
      </c>
      <c r="H483">
        <v>28</v>
      </c>
      <c r="I483">
        <v>75</v>
      </c>
      <c r="J483">
        <v>13</v>
      </c>
      <c r="K483" s="8">
        <v>6.24</v>
      </c>
      <c r="N483">
        <v>1.08</v>
      </c>
      <c r="O483" s="8">
        <v>6.09</v>
      </c>
      <c r="R483" s="8">
        <v>0</v>
      </c>
      <c r="S483" t="s">
        <v>68</v>
      </c>
      <c r="T483">
        <v>53.02</v>
      </c>
      <c r="U483">
        <v>6.16</v>
      </c>
      <c r="V483">
        <v>43.17</v>
      </c>
      <c r="W483">
        <v>68.650000000000006</v>
      </c>
      <c r="X483">
        <v>0</v>
      </c>
      <c r="Y483">
        <v>20.100000000000001</v>
      </c>
      <c r="Z483">
        <v>0</v>
      </c>
      <c r="AA483">
        <v>42.46</v>
      </c>
      <c r="AC483" t="s">
        <v>128</v>
      </c>
      <c r="AD483" t="s">
        <v>127</v>
      </c>
      <c r="AE483" t="s">
        <v>128</v>
      </c>
      <c r="AF483">
        <v>7</v>
      </c>
      <c r="AG483">
        <v>7</v>
      </c>
      <c r="AH483">
        <v>7</v>
      </c>
      <c r="AI483">
        <v>8</v>
      </c>
      <c r="AJ483">
        <v>7</v>
      </c>
      <c r="AK483">
        <v>9</v>
      </c>
    </row>
    <row r="484" spans="2:37" x14ac:dyDescent="0.3">
      <c r="B484" t="s">
        <v>188</v>
      </c>
      <c r="C484">
        <v>116</v>
      </c>
      <c r="D484">
        <v>20</v>
      </c>
      <c r="E484">
        <v>25</v>
      </c>
      <c r="F484">
        <v>150</v>
      </c>
      <c r="G484">
        <v>11.410005023056907</v>
      </c>
      <c r="H484">
        <v>55</v>
      </c>
      <c r="I484">
        <v>75</v>
      </c>
      <c r="J484">
        <v>12</v>
      </c>
      <c r="K484" s="8">
        <v>6.13</v>
      </c>
      <c r="N484">
        <v>1.2</v>
      </c>
      <c r="O484" s="8">
        <v>7.81</v>
      </c>
      <c r="R484" s="8">
        <v>0</v>
      </c>
      <c r="S484" t="s">
        <v>68</v>
      </c>
      <c r="AC484" t="s">
        <v>128</v>
      </c>
      <c r="AD484" t="s">
        <v>127</v>
      </c>
      <c r="AE484" t="s">
        <v>128</v>
      </c>
      <c r="AF484">
        <v>8</v>
      </c>
      <c r="AG484">
        <v>8</v>
      </c>
      <c r="AH484">
        <v>8</v>
      </c>
      <c r="AI484">
        <v>9</v>
      </c>
      <c r="AJ484">
        <v>6</v>
      </c>
      <c r="AK484">
        <v>8</v>
      </c>
    </row>
    <row r="485" spans="2:37" x14ac:dyDescent="0.3">
      <c r="B485" t="s">
        <v>188</v>
      </c>
      <c r="C485">
        <v>116</v>
      </c>
      <c r="D485">
        <v>20</v>
      </c>
      <c r="E485">
        <v>25</v>
      </c>
      <c r="F485">
        <v>150</v>
      </c>
      <c r="G485">
        <v>11.410005023056907</v>
      </c>
      <c r="H485">
        <v>55</v>
      </c>
      <c r="I485">
        <v>75</v>
      </c>
      <c r="J485">
        <v>12</v>
      </c>
      <c r="K485" s="8">
        <v>6.15</v>
      </c>
      <c r="N485">
        <v>2.2999999999999998</v>
      </c>
      <c r="O485" s="8">
        <v>8.1199999999999992</v>
      </c>
      <c r="R485" s="8">
        <v>0</v>
      </c>
      <c r="S485" t="s">
        <v>68</v>
      </c>
      <c r="AC485" t="s">
        <v>128</v>
      </c>
      <c r="AD485" t="s">
        <v>127</v>
      </c>
      <c r="AE485" t="s">
        <v>128</v>
      </c>
      <c r="AF485">
        <v>8</v>
      </c>
      <c r="AG485">
        <v>6</v>
      </c>
      <c r="AH485">
        <v>8</v>
      </c>
      <c r="AI485">
        <v>8</v>
      </c>
      <c r="AJ485">
        <v>8</v>
      </c>
      <c r="AK485">
        <v>7</v>
      </c>
    </row>
    <row r="486" spans="2:37" x14ac:dyDescent="0.3">
      <c r="B486" t="s">
        <v>188</v>
      </c>
      <c r="C486">
        <v>116</v>
      </c>
      <c r="D486">
        <v>20</v>
      </c>
      <c r="E486">
        <v>25</v>
      </c>
      <c r="F486">
        <v>150</v>
      </c>
      <c r="G486">
        <v>11.410005023056907</v>
      </c>
      <c r="H486">
        <v>55</v>
      </c>
      <c r="I486">
        <v>75</v>
      </c>
      <c r="J486">
        <v>12</v>
      </c>
      <c r="K486" s="8">
        <v>6.19</v>
      </c>
      <c r="N486">
        <v>2.36</v>
      </c>
      <c r="O486" s="8">
        <v>8.51</v>
      </c>
      <c r="R486" s="8">
        <v>0</v>
      </c>
      <c r="S486" t="s">
        <v>68</v>
      </c>
      <c r="AC486" t="s">
        <v>128</v>
      </c>
      <c r="AD486" t="s">
        <v>127</v>
      </c>
      <c r="AE486" t="s">
        <v>128</v>
      </c>
      <c r="AF486">
        <v>7</v>
      </c>
      <c r="AG486">
        <v>8</v>
      </c>
      <c r="AH486">
        <v>8</v>
      </c>
      <c r="AI486">
        <v>7</v>
      </c>
      <c r="AJ486">
        <v>6</v>
      </c>
      <c r="AK486">
        <v>6</v>
      </c>
    </row>
    <row r="487" spans="2:37" x14ac:dyDescent="0.3">
      <c r="B487" t="s">
        <v>189</v>
      </c>
      <c r="C487">
        <v>116</v>
      </c>
      <c r="D487">
        <v>20</v>
      </c>
      <c r="E487">
        <v>25</v>
      </c>
      <c r="F487">
        <v>150</v>
      </c>
      <c r="G487">
        <v>11.410005023056907</v>
      </c>
      <c r="H487">
        <v>32</v>
      </c>
      <c r="I487">
        <v>75</v>
      </c>
      <c r="J487">
        <v>14</v>
      </c>
      <c r="K487" s="8">
        <v>6.19</v>
      </c>
      <c r="N487">
        <v>3.26</v>
      </c>
      <c r="O487" s="8">
        <v>6.56</v>
      </c>
      <c r="R487" s="8">
        <v>0</v>
      </c>
      <c r="S487" t="s">
        <v>68</v>
      </c>
      <c r="T487">
        <v>51.24</v>
      </c>
      <c r="U487">
        <v>6.66</v>
      </c>
      <c r="V487">
        <v>36.75</v>
      </c>
      <c r="W487">
        <v>63.41</v>
      </c>
      <c r="X487">
        <v>4.2000000000000003E-2</v>
      </c>
      <c r="Y487">
        <v>16.5</v>
      </c>
      <c r="Z487">
        <v>1</v>
      </c>
      <c r="AA487">
        <v>61.98</v>
      </c>
      <c r="AC487" t="s">
        <v>128</v>
      </c>
      <c r="AD487" t="s">
        <v>127</v>
      </c>
      <c r="AE487" t="s">
        <v>128</v>
      </c>
      <c r="AF487">
        <v>8</v>
      </c>
      <c r="AG487">
        <v>7</v>
      </c>
      <c r="AH487">
        <v>9</v>
      </c>
      <c r="AI487">
        <v>9</v>
      </c>
      <c r="AJ487">
        <v>8</v>
      </c>
      <c r="AK487">
        <v>8</v>
      </c>
    </row>
    <row r="488" spans="2:37" x14ac:dyDescent="0.3">
      <c r="B488" t="s">
        <v>189</v>
      </c>
      <c r="C488">
        <v>116</v>
      </c>
      <c r="D488">
        <v>20</v>
      </c>
      <c r="E488">
        <v>25</v>
      </c>
      <c r="F488">
        <v>150</v>
      </c>
      <c r="G488">
        <v>11.410005023056907</v>
      </c>
      <c r="H488">
        <v>32</v>
      </c>
      <c r="I488">
        <v>75</v>
      </c>
      <c r="J488">
        <v>14</v>
      </c>
      <c r="K488" s="8">
        <v>6.23</v>
      </c>
      <c r="N488">
        <v>4.1559999999999997</v>
      </c>
      <c r="O488" s="8">
        <v>6.96</v>
      </c>
      <c r="R488" s="8">
        <v>0</v>
      </c>
      <c r="S488" t="s">
        <v>68</v>
      </c>
      <c r="T488">
        <v>51.27</v>
      </c>
      <c r="U488">
        <v>6.66</v>
      </c>
      <c r="V488">
        <v>36.74</v>
      </c>
      <c r="W488">
        <v>63.42</v>
      </c>
      <c r="X488">
        <v>0.59</v>
      </c>
      <c r="Y488">
        <v>16.2</v>
      </c>
      <c r="Z488">
        <v>1</v>
      </c>
      <c r="AA488">
        <v>62.12</v>
      </c>
      <c r="AC488" t="s">
        <v>128</v>
      </c>
      <c r="AD488" t="s">
        <v>127</v>
      </c>
      <c r="AE488" t="s">
        <v>128</v>
      </c>
      <c r="AF488">
        <v>7</v>
      </c>
      <c r="AG488">
        <v>6</v>
      </c>
      <c r="AH488">
        <v>8</v>
      </c>
      <c r="AI488">
        <v>8</v>
      </c>
      <c r="AJ488">
        <v>7</v>
      </c>
      <c r="AK488">
        <v>7</v>
      </c>
    </row>
    <row r="489" spans="2:37" x14ac:dyDescent="0.3">
      <c r="B489" t="s">
        <v>189</v>
      </c>
      <c r="C489">
        <v>116</v>
      </c>
      <c r="D489">
        <v>20</v>
      </c>
      <c r="E489">
        <v>25</v>
      </c>
      <c r="F489">
        <v>150</v>
      </c>
      <c r="G489">
        <v>11.410005023056907</v>
      </c>
      <c r="H489">
        <v>32</v>
      </c>
      <c r="I489">
        <v>75</v>
      </c>
      <c r="J489">
        <v>14</v>
      </c>
      <c r="K489" s="8">
        <v>6.19</v>
      </c>
      <c r="N489">
        <v>3.25</v>
      </c>
      <c r="O489" s="8">
        <v>6.89</v>
      </c>
      <c r="R489" s="8">
        <v>0</v>
      </c>
      <c r="S489" t="s">
        <v>68</v>
      </c>
      <c r="T489">
        <v>51.28</v>
      </c>
      <c r="U489">
        <v>6.67</v>
      </c>
      <c r="V489">
        <v>36.71</v>
      </c>
      <c r="W489">
        <v>63.41</v>
      </c>
      <c r="X489">
        <v>1.55</v>
      </c>
      <c r="Y489">
        <v>15.5</v>
      </c>
      <c r="Z489">
        <v>0</v>
      </c>
      <c r="AA489">
        <v>61.88</v>
      </c>
      <c r="AC489" t="s">
        <v>128</v>
      </c>
      <c r="AD489" t="s">
        <v>127</v>
      </c>
      <c r="AE489" t="s">
        <v>128</v>
      </c>
      <c r="AF489">
        <v>8</v>
      </c>
      <c r="AG489">
        <v>7</v>
      </c>
      <c r="AH489">
        <v>7</v>
      </c>
      <c r="AI489">
        <v>8</v>
      </c>
      <c r="AJ489">
        <v>8</v>
      </c>
      <c r="AK489">
        <v>6</v>
      </c>
    </row>
    <row r="490" spans="2:37" x14ac:dyDescent="0.3">
      <c r="B490" t="s">
        <v>190</v>
      </c>
      <c r="C490">
        <v>116</v>
      </c>
      <c r="D490">
        <v>20</v>
      </c>
      <c r="E490">
        <v>25</v>
      </c>
      <c r="F490">
        <v>150</v>
      </c>
      <c r="G490">
        <v>11.410005023056907</v>
      </c>
      <c r="H490">
        <v>55</v>
      </c>
      <c r="I490">
        <v>75</v>
      </c>
      <c r="J490">
        <v>15</v>
      </c>
      <c r="K490" s="8">
        <v>5.97</v>
      </c>
      <c r="N490">
        <v>3.95</v>
      </c>
      <c r="O490" s="8">
        <v>9.5399999999999991</v>
      </c>
      <c r="R490" s="8">
        <v>0</v>
      </c>
      <c r="S490" t="s">
        <v>68</v>
      </c>
      <c r="T490">
        <v>57.07</v>
      </c>
      <c r="U490">
        <v>8.31</v>
      </c>
      <c r="V490">
        <v>51.5</v>
      </c>
      <c r="W490">
        <v>77.31</v>
      </c>
      <c r="X490">
        <v>2</v>
      </c>
      <c r="Y490">
        <v>31.9</v>
      </c>
      <c r="Z490">
        <v>0</v>
      </c>
      <c r="AA490">
        <v>63.63</v>
      </c>
      <c r="AC490" t="s">
        <v>128</v>
      </c>
      <c r="AD490" t="s">
        <v>127</v>
      </c>
      <c r="AE490" t="s">
        <v>128</v>
      </c>
      <c r="AF490">
        <v>7</v>
      </c>
      <c r="AG490">
        <v>8</v>
      </c>
      <c r="AH490">
        <v>8</v>
      </c>
      <c r="AI490">
        <v>6</v>
      </c>
      <c r="AJ490">
        <v>7</v>
      </c>
      <c r="AK490">
        <v>8</v>
      </c>
    </row>
    <row r="491" spans="2:37" x14ac:dyDescent="0.3">
      <c r="B491" t="s">
        <v>190</v>
      </c>
      <c r="C491">
        <v>116</v>
      </c>
      <c r="D491">
        <v>20</v>
      </c>
      <c r="E491">
        <v>25</v>
      </c>
      <c r="F491">
        <v>150</v>
      </c>
      <c r="G491">
        <v>11.410005023056907</v>
      </c>
      <c r="H491">
        <v>55</v>
      </c>
      <c r="I491">
        <v>75</v>
      </c>
      <c r="J491">
        <v>15</v>
      </c>
      <c r="K491" s="8">
        <v>6.02</v>
      </c>
      <c r="N491">
        <v>3.26</v>
      </c>
      <c r="O491" s="8">
        <v>9.76</v>
      </c>
      <c r="R491" s="8">
        <v>0</v>
      </c>
      <c r="S491" t="s">
        <v>68</v>
      </c>
      <c r="T491">
        <v>56.91</v>
      </c>
      <c r="U491">
        <v>8.31</v>
      </c>
      <c r="V491">
        <v>51.21</v>
      </c>
      <c r="W491">
        <v>77.010000000000005</v>
      </c>
      <c r="X491">
        <v>3.97</v>
      </c>
      <c r="Y491">
        <v>28.4</v>
      </c>
      <c r="Z491">
        <v>-1</v>
      </c>
      <c r="AA491">
        <v>63.66</v>
      </c>
      <c r="AC491" t="s">
        <v>128</v>
      </c>
      <c r="AD491" t="s">
        <v>127</v>
      </c>
      <c r="AE491" t="s">
        <v>128</v>
      </c>
      <c r="AF491">
        <v>8</v>
      </c>
      <c r="AG491">
        <v>7</v>
      </c>
      <c r="AH491">
        <v>9</v>
      </c>
      <c r="AI491">
        <v>7</v>
      </c>
      <c r="AJ491">
        <v>8</v>
      </c>
      <c r="AK491">
        <v>7</v>
      </c>
    </row>
    <row r="492" spans="2:37" x14ac:dyDescent="0.3">
      <c r="B492" t="s">
        <v>190</v>
      </c>
      <c r="C492">
        <v>116</v>
      </c>
      <c r="D492">
        <v>20</v>
      </c>
      <c r="E492">
        <v>25</v>
      </c>
      <c r="F492">
        <v>150</v>
      </c>
      <c r="G492">
        <v>11.410005023056907</v>
      </c>
      <c r="H492">
        <v>55</v>
      </c>
      <c r="I492">
        <v>75</v>
      </c>
      <c r="J492">
        <v>15</v>
      </c>
      <c r="K492" s="8">
        <v>6.03</v>
      </c>
      <c r="N492">
        <v>3.15</v>
      </c>
      <c r="O492" s="8">
        <v>9.81</v>
      </c>
      <c r="R492" s="8">
        <v>0</v>
      </c>
      <c r="S492" t="s">
        <v>68</v>
      </c>
      <c r="T492">
        <v>56.88</v>
      </c>
      <c r="U492">
        <v>8.32</v>
      </c>
      <c r="V492">
        <v>51.21</v>
      </c>
      <c r="W492">
        <v>76.989999999999995</v>
      </c>
      <c r="X492">
        <v>3.92</v>
      </c>
      <c r="Y492">
        <v>28</v>
      </c>
      <c r="Z492">
        <v>-1</v>
      </c>
      <c r="AA492">
        <v>63.55</v>
      </c>
      <c r="AC492" t="s">
        <v>128</v>
      </c>
      <c r="AD492" t="s">
        <v>127</v>
      </c>
      <c r="AE492" t="s">
        <v>128</v>
      </c>
      <c r="AF492">
        <v>7</v>
      </c>
      <c r="AG492">
        <v>6</v>
      </c>
      <c r="AH492">
        <v>8</v>
      </c>
      <c r="AI492">
        <v>8</v>
      </c>
      <c r="AJ492">
        <v>7</v>
      </c>
      <c r="AK492">
        <v>8</v>
      </c>
    </row>
    <row r="493" spans="2:37" x14ac:dyDescent="0.3">
      <c r="B493" t="s">
        <v>191</v>
      </c>
      <c r="C493">
        <v>116</v>
      </c>
      <c r="D493">
        <v>20</v>
      </c>
      <c r="E493">
        <v>25</v>
      </c>
      <c r="F493">
        <v>150</v>
      </c>
      <c r="G493">
        <v>11.410005023056907</v>
      </c>
      <c r="H493">
        <v>45</v>
      </c>
      <c r="I493">
        <v>75</v>
      </c>
      <c r="J493">
        <v>15</v>
      </c>
      <c r="K493" s="8">
        <v>6.48</v>
      </c>
      <c r="N493">
        <v>4.25</v>
      </c>
      <c r="O493" s="8">
        <v>8.56</v>
      </c>
      <c r="R493" s="8">
        <v>0</v>
      </c>
      <c r="S493" t="s">
        <v>68</v>
      </c>
      <c r="T493">
        <v>54.86</v>
      </c>
      <c r="U493">
        <v>7.09</v>
      </c>
      <c r="V493">
        <v>45.95</v>
      </c>
      <c r="W493">
        <v>71.91</v>
      </c>
      <c r="X493">
        <v>2</v>
      </c>
      <c r="Y493">
        <v>31.9</v>
      </c>
      <c r="Z493">
        <v>0</v>
      </c>
      <c r="AA493">
        <v>55.45</v>
      </c>
      <c r="AC493" t="s">
        <v>128</v>
      </c>
      <c r="AD493" t="s">
        <v>127</v>
      </c>
      <c r="AE493" t="s">
        <v>128</v>
      </c>
      <c r="AF493">
        <v>7</v>
      </c>
      <c r="AG493">
        <v>8</v>
      </c>
      <c r="AH493">
        <v>7</v>
      </c>
      <c r="AI493">
        <v>5</v>
      </c>
      <c r="AJ493">
        <v>8</v>
      </c>
      <c r="AK493">
        <v>7</v>
      </c>
    </row>
    <row r="494" spans="2:37" x14ac:dyDescent="0.3">
      <c r="B494" t="s">
        <v>191</v>
      </c>
      <c r="C494">
        <v>116</v>
      </c>
      <c r="D494">
        <v>20</v>
      </c>
      <c r="E494">
        <v>25</v>
      </c>
      <c r="F494">
        <v>150</v>
      </c>
      <c r="G494">
        <v>11.410005023056907</v>
      </c>
      <c r="H494">
        <v>45</v>
      </c>
      <c r="I494">
        <v>75</v>
      </c>
      <c r="J494">
        <v>15</v>
      </c>
      <c r="K494" s="8">
        <v>6.34</v>
      </c>
      <c r="N494">
        <v>1.2</v>
      </c>
      <c r="O494" s="8">
        <v>8.91</v>
      </c>
      <c r="R494" s="8">
        <v>0</v>
      </c>
      <c r="S494" t="s">
        <v>68</v>
      </c>
      <c r="T494">
        <v>54.84</v>
      </c>
      <c r="U494">
        <v>7.06</v>
      </c>
      <c r="V494">
        <v>45.94</v>
      </c>
      <c r="W494">
        <v>71.89</v>
      </c>
      <c r="X494">
        <v>3.97</v>
      </c>
      <c r="Y494">
        <v>28.4</v>
      </c>
      <c r="Z494">
        <v>-1</v>
      </c>
      <c r="AA494">
        <v>61.87</v>
      </c>
      <c r="AC494" t="s">
        <v>128</v>
      </c>
      <c r="AD494" t="s">
        <v>127</v>
      </c>
      <c r="AE494" t="s">
        <v>128</v>
      </c>
      <c r="AF494">
        <v>8</v>
      </c>
      <c r="AG494">
        <v>7</v>
      </c>
      <c r="AH494">
        <v>8</v>
      </c>
      <c r="AI494">
        <v>8</v>
      </c>
      <c r="AJ494">
        <v>8</v>
      </c>
      <c r="AK494">
        <v>8</v>
      </c>
    </row>
    <row r="495" spans="2:37" x14ac:dyDescent="0.3">
      <c r="B495" t="s">
        <v>191</v>
      </c>
      <c r="C495">
        <v>116</v>
      </c>
      <c r="D495">
        <v>20</v>
      </c>
      <c r="E495">
        <v>25</v>
      </c>
      <c r="F495">
        <v>150</v>
      </c>
      <c r="G495">
        <v>11.410005023056907</v>
      </c>
      <c r="H495">
        <v>45</v>
      </c>
      <c r="I495">
        <v>75</v>
      </c>
      <c r="J495">
        <v>15</v>
      </c>
      <c r="K495" s="8">
        <v>6.21</v>
      </c>
      <c r="N495">
        <v>2.1579999999999999</v>
      </c>
      <c r="O495" s="8">
        <v>8.43</v>
      </c>
      <c r="R495" s="8">
        <v>0</v>
      </c>
      <c r="S495" t="s">
        <v>68</v>
      </c>
      <c r="T495">
        <v>54.81</v>
      </c>
      <c r="U495">
        <v>7.07</v>
      </c>
      <c r="V495">
        <v>45.93</v>
      </c>
      <c r="W495">
        <v>71.86</v>
      </c>
      <c r="X495">
        <v>3.92</v>
      </c>
      <c r="Y495">
        <v>28</v>
      </c>
      <c r="Z495">
        <v>-1</v>
      </c>
      <c r="AA495">
        <v>55.7</v>
      </c>
      <c r="AC495" t="s">
        <v>128</v>
      </c>
      <c r="AD495" t="s">
        <v>127</v>
      </c>
      <c r="AE495" t="s">
        <v>128</v>
      </c>
      <c r="AF495">
        <v>7</v>
      </c>
      <c r="AG495">
        <v>9</v>
      </c>
      <c r="AH495">
        <v>9</v>
      </c>
      <c r="AI495">
        <v>7</v>
      </c>
      <c r="AJ495">
        <v>7</v>
      </c>
      <c r="AK495">
        <v>7</v>
      </c>
    </row>
    <row r="496" spans="2:37" x14ac:dyDescent="0.3">
      <c r="B496" t="s">
        <v>168</v>
      </c>
      <c r="C496">
        <v>116</v>
      </c>
      <c r="D496">
        <v>20</v>
      </c>
      <c r="E496">
        <v>25</v>
      </c>
      <c r="F496">
        <v>150</v>
      </c>
      <c r="G496">
        <v>11.410005023056907</v>
      </c>
      <c r="H496">
        <v>55</v>
      </c>
      <c r="I496">
        <v>75</v>
      </c>
      <c r="J496">
        <v>18</v>
      </c>
      <c r="K496" s="8">
        <v>6.29</v>
      </c>
      <c r="N496">
        <v>2.56</v>
      </c>
      <c r="O496" s="10">
        <v>11.12</v>
      </c>
      <c r="R496" s="8">
        <v>0</v>
      </c>
      <c r="S496" t="s">
        <v>68</v>
      </c>
      <c r="T496">
        <v>58.46</v>
      </c>
      <c r="U496">
        <v>8.82</v>
      </c>
      <c r="V496">
        <v>51.61</v>
      </c>
      <c r="W496">
        <v>78.47</v>
      </c>
      <c r="X496">
        <v>0.01</v>
      </c>
      <c r="Y496">
        <v>16.600000000000001</v>
      </c>
      <c r="Z496">
        <v>1</v>
      </c>
      <c r="AA496">
        <v>51.36</v>
      </c>
      <c r="AC496" t="s">
        <v>128</v>
      </c>
      <c r="AD496" t="s">
        <v>208</v>
      </c>
      <c r="AE496" t="s">
        <v>218</v>
      </c>
      <c r="AF496">
        <v>8</v>
      </c>
      <c r="AG496">
        <v>8</v>
      </c>
      <c r="AH496">
        <v>8</v>
      </c>
      <c r="AI496" t="s">
        <v>213</v>
      </c>
      <c r="AJ496">
        <v>8</v>
      </c>
      <c r="AK496">
        <v>6</v>
      </c>
    </row>
    <row r="497" spans="2:37" x14ac:dyDescent="0.3">
      <c r="B497" t="s">
        <v>168</v>
      </c>
      <c r="C497">
        <v>116</v>
      </c>
      <c r="D497">
        <v>20</v>
      </c>
      <c r="E497">
        <v>25</v>
      </c>
      <c r="F497">
        <v>150</v>
      </c>
      <c r="G497">
        <v>11.410005023056907</v>
      </c>
      <c r="H497">
        <v>55</v>
      </c>
      <c r="I497">
        <v>75</v>
      </c>
      <c r="J497">
        <v>18</v>
      </c>
      <c r="K497" s="8">
        <v>6.25</v>
      </c>
      <c r="N497">
        <v>3.24</v>
      </c>
      <c r="O497" s="10">
        <v>11.78</v>
      </c>
      <c r="R497" s="8">
        <v>0</v>
      </c>
      <c r="S497" t="s">
        <v>68</v>
      </c>
      <c r="T497">
        <v>58.44</v>
      </c>
      <c r="U497">
        <v>8.81</v>
      </c>
      <c r="V497">
        <v>51.66</v>
      </c>
      <c r="W497">
        <v>78.489999999999995</v>
      </c>
      <c r="X497">
        <v>0.02</v>
      </c>
      <c r="Y497">
        <v>16.5</v>
      </c>
      <c r="Z497">
        <v>1</v>
      </c>
      <c r="AA497">
        <v>51.39</v>
      </c>
      <c r="AC497" t="s">
        <v>128</v>
      </c>
      <c r="AD497" t="s">
        <v>208</v>
      </c>
      <c r="AE497" t="s">
        <v>218</v>
      </c>
      <c r="AF497">
        <v>7</v>
      </c>
      <c r="AG497">
        <v>6</v>
      </c>
      <c r="AH497">
        <v>7</v>
      </c>
      <c r="AI497" t="s">
        <v>213</v>
      </c>
      <c r="AJ497">
        <v>7</v>
      </c>
      <c r="AK497">
        <v>6</v>
      </c>
    </row>
    <row r="498" spans="2:37" x14ac:dyDescent="0.3">
      <c r="B498" t="s">
        <v>168</v>
      </c>
      <c r="C498">
        <v>116</v>
      </c>
      <c r="D498">
        <v>20</v>
      </c>
      <c r="E498">
        <v>25</v>
      </c>
      <c r="F498">
        <v>150</v>
      </c>
      <c r="G498">
        <v>11.410005023056907</v>
      </c>
      <c r="H498">
        <v>55</v>
      </c>
      <c r="I498">
        <v>75</v>
      </c>
      <c r="J498">
        <v>18</v>
      </c>
      <c r="K498" s="8">
        <v>6.2889999999999997</v>
      </c>
      <c r="N498">
        <v>3.65</v>
      </c>
      <c r="O498" s="10">
        <v>10.050000000000001</v>
      </c>
      <c r="R498" s="8">
        <v>0</v>
      </c>
      <c r="S498" t="s">
        <v>68</v>
      </c>
      <c r="T498">
        <v>58.43</v>
      </c>
      <c r="U498">
        <v>8.8000000000000007</v>
      </c>
      <c r="V498">
        <v>51.6</v>
      </c>
      <c r="W498">
        <v>78.45</v>
      </c>
      <c r="X498">
        <v>0.01</v>
      </c>
      <c r="Y498">
        <v>16.399999999999999</v>
      </c>
      <c r="Z498">
        <v>1</v>
      </c>
      <c r="AA498">
        <v>51.5</v>
      </c>
      <c r="AC498" t="s">
        <v>128</v>
      </c>
      <c r="AD498" t="s">
        <v>208</v>
      </c>
      <c r="AE498" t="s">
        <v>218</v>
      </c>
      <c r="AF498">
        <v>6</v>
      </c>
      <c r="AG498">
        <v>7</v>
      </c>
      <c r="AH498">
        <v>6</v>
      </c>
      <c r="AI498" t="s">
        <v>213</v>
      </c>
      <c r="AJ498">
        <v>8</v>
      </c>
      <c r="AK498">
        <v>7</v>
      </c>
    </row>
    <row r="499" spans="2:37" x14ac:dyDescent="0.3">
      <c r="B499" t="s">
        <v>169</v>
      </c>
      <c r="C499">
        <v>116</v>
      </c>
      <c r="D499">
        <v>20</v>
      </c>
      <c r="E499">
        <v>25</v>
      </c>
      <c r="F499">
        <v>150</v>
      </c>
      <c r="G499">
        <v>11.410005023056907</v>
      </c>
      <c r="H499">
        <v>45</v>
      </c>
      <c r="I499">
        <v>75</v>
      </c>
      <c r="J499">
        <v>20</v>
      </c>
      <c r="K499" s="8">
        <v>5.98</v>
      </c>
      <c r="N499">
        <v>6.46</v>
      </c>
      <c r="O499" s="10">
        <v>10.5</v>
      </c>
      <c r="R499" s="8">
        <v>0</v>
      </c>
      <c r="S499" t="s">
        <v>68</v>
      </c>
      <c r="X499">
        <v>0.16400000000000001</v>
      </c>
      <c r="Y499">
        <v>20.6</v>
      </c>
      <c r="Z499">
        <v>1</v>
      </c>
      <c r="AC499" t="s">
        <v>128</v>
      </c>
      <c r="AD499" t="s">
        <v>208</v>
      </c>
      <c r="AE499" t="s">
        <v>218</v>
      </c>
      <c r="AF499">
        <v>6</v>
      </c>
      <c r="AG499">
        <v>6</v>
      </c>
      <c r="AH499">
        <v>8</v>
      </c>
      <c r="AI499" t="s">
        <v>213</v>
      </c>
      <c r="AJ499">
        <v>8</v>
      </c>
      <c r="AK499">
        <v>7</v>
      </c>
    </row>
    <row r="500" spans="2:37" x14ac:dyDescent="0.3">
      <c r="B500" t="s">
        <v>169</v>
      </c>
      <c r="C500">
        <v>116</v>
      </c>
      <c r="D500">
        <v>20</v>
      </c>
      <c r="E500">
        <v>25</v>
      </c>
      <c r="F500">
        <v>150</v>
      </c>
      <c r="G500">
        <v>11.410005023056907</v>
      </c>
      <c r="H500">
        <v>45</v>
      </c>
      <c r="I500">
        <v>75</v>
      </c>
      <c r="J500">
        <v>20</v>
      </c>
      <c r="K500" s="8">
        <v>6.03</v>
      </c>
      <c r="N500">
        <v>2.56</v>
      </c>
      <c r="O500" s="8">
        <v>9.84</v>
      </c>
      <c r="R500" s="8">
        <v>0</v>
      </c>
      <c r="S500" t="s">
        <v>68</v>
      </c>
      <c r="X500">
        <v>0.70399999999999996</v>
      </c>
      <c r="Y500">
        <v>20.100000000000001</v>
      </c>
      <c r="Z500">
        <v>1</v>
      </c>
      <c r="AC500" t="s">
        <v>128</v>
      </c>
      <c r="AD500" t="s">
        <v>127</v>
      </c>
      <c r="AE500" t="s">
        <v>128</v>
      </c>
      <c r="AF500">
        <v>6</v>
      </c>
      <c r="AG500">
        <v>6</v>
      </c>
      <c r="AH500">
        <v>7</v>
      </c>
      <c r="AI500">
        <v>6</v>
      </c>
      <c r="AJ500">
        <v>7</v>
      </c>
      <c r="AK500">
        <v>8</v>
      </c>
    </row>
    <row r="501" spans="2:37" x14ac:dyDescent="0.3">
      <c r="B501" t="s">
        <v>169</v>
      </c>
      <c r="C501">
        <v>116</v>
      </c>
      <c r="D501">
        <v>20</v>
      </c>
      <c r="E501">
        <v>25</v>
      </c>
      <c r="F501">
        <v>150</v>
      </c>
      <c r="G501">
        <v>11.410005023056907</v>
      </c>
      <c r="H501">
        <v>45</v>
      </c>
      <c r="I501">
        <v>75</v>
      </c>
      <c r="J501">
        <v>20</v>
      </c>
      <c r="K501" s="8">
        <v>6.12</v>
      </c>
      <c r="N501">
        <v>1.63</v>
      </c>
      <c r="O501" s="8">
        <v>9.99</v>
      </c>
      <c r="R501" s="8">
        <v>0</v>
      </c>
      <c r="S501" t="s">
        <v>68</v>
      </c>
      <c r="X501">
        <v>1.32</v>
      </c>
      <c r="Y501">
        <v>19.399999999999999</v>
      </c>
      <c r="Z501">
        <v>0</v>
      </c>
      <c r="AC501" t="s">
        <v>128</v>
      </c>
      <c r="AD501" t="s">
        <v>127</v>
      </c>
      <c r="AE501" t="s">
        <v>128</v>
      </c>
      <c r="AF501">
        <v>7</v>
      </c>
      <c r="AG501">
        <v>5</v>
      </c>
      <c r="AH501">
        <v>7</v>
      </c>
      <c r="AI501">
        <v>5</v>
      </c>
      <c r="AJ501">
        <v>8</v>
      </c>
      <c r="AK501">
        <v>7</v>
      </c>
    </row>
    <row r="502" spans="2:37" x14ac:dyDescent="0.3">
      <c r="B502" t="s">
        <v>170</v>
      </c>
      <c r="C502">
        <v>116</v>
      </c>
      <c r="D502">
        <v>20</v>
      </c>
      <c r="E502">
        <v>25</v>
      </c>
      <c r="F502">
        <v>150</v>
      </c>
      <c r="G502">
        <v>11.410005023056907</v>
      </c>
      <c r="H502">
        <v>28</v>
      </c>
      <c r="I502">
        <v>75</v>
      </c>
      <c r="J502">
        <v>20</v>
      </c>
      <c r="K502" s="8">
        <v>6.12</v>
      </c>
      <c r="N502">
        <v>1.7</v>
      </c>
      <c r="O502" s="8">
        <v>8.9</v>
      </c>
      <c r="R502" s="8">
        <v>0</v>
      </c>
      <c r="S502" t="s">
        <v>68</v>
      </c>
      <c r="X502">
        <v>0.81799999999999995</v>
      </c>
      <c r="Y502">
        <v>16.2</v>
      </c>
      <c r="Z502">
        <v>0</v>
      </c>
      <c r="AC502" t="s">
        <v>128</v>
      </c>
      <c r="AD502" t="s">
        <v>127</v>
      </c>
      <c r="AE502" t="s">
        <v>128</v>
      </c>
      <c r="AF502">
        <v>6</v>
      </c>
      <c r="AG502">
        <v>6</v>
      </c>
      <c r="AH502">
        <v>7</v>
      </c>
      <c r="AI502">
        <v>6</v>
      </c>
      <c r="AJ502">
        <v>6</v>
      </c>
      <c r="AK502">
        <v>6</v>
      </c>
    </row>
    <row r="503" spans="2:37" x14ac:dyDescent="0.3">
      <c r="B503" t="s">
        <v>170</v>
      </c>
      <c r="C503">
        <v>116</v>
      </c>
      <c r="D503">
        <v>20</v>
      </c>
      <c r="E503">
        <v>25</v>
      </c>
      <c r="F503">
        <v>150</v>
      </c>
      <c r="G503">
        <v>11.410005023056907</v>
      </c>
      <c r="H503">
        <v>28</v>
      </c>
      <c r="I503">
        <v>75</v>
      </c>
      <c r="J503">
        <v>20</v>
      </c>
      <c r="K503" s="8">
        <v>6.14</v>
      </c>
      <c r="N503">
        <v>1.81</v>
      </c>
      <c r="O503" s="8">
        <v>8.65</v>
      </c>
      <c r="R503" s="8">
        <v>0</v>
      </c>
      <c r="S503" t="s">
        <v>68</v>
      </c>
      <c r="X503">
        <v>0.88900000000000001</v>
      </c>
      <c r="Y503">
        <v>17.2</v>
      </c>
      <c r="Z503">
        <v>0</v>
      </c>
      <c r="AC503" t="s">
        <v>128</v>
      </c>
      <c r="AD503" t="s">
        <v>127</v>
      </c>
      <c r="AE503" t="s">
        <v>128</v>
      </c>
      <c r="AF503">
        <v>6</v>
      </c>
      <c r="AG503">
        <v>6</v>
      </c>
      <c r="AH503">
        <v>8</v>
      </c>
      <c r="AI503">
        <v>7</v>
      </c>
      <c r="AJ503">
        <v>6</v>
      </c>
      <c r="AK503">
        <v>6</v>
      </c>
    </row>
    <row r="504" spans="2:37" x14ac:dyDescent="0.3">
      <c r="B504" t="s">
        <v>170</v>
      </c>
      <c r="C504">
        <v>116</v>
      </c>
      <c r="D504">
        <v>20</v>
      </c>
      <c r="E504">
        <v>25</v>
      </c>
      <c r="F504">
        <v>150</v>
      </c>
      <c r="G504">
        <v>11.410005023056907</v>
      </c>
      <c r="H504">
        <v>28</v>
      </c>
      <c r="I504">
        <v>75</v>
      </c>
      <c r="J504">
        <v>20</v>
      </c>
      <c r="K504" s="8">
        <v>6.16</v>
      </c>
      <c r="N504">
        <v>1.69</v>
      </c>
      <c r="O504" s="8">
        <v>8.76</v>
      </c>
      <c r="R504" s="8">
        <v>0</v>
      </c>
      <c r="S504" t="s">
        <v>68</v>
      </c>
      <c r="X504">
        <v>0.88800000000000001</v>
      </c>
      <c r="Y504">
        <v>16.899999999999999</v>
      </c>
      <c r="Z504">
        <v>0</v>
      </c>
      <c r="AC504" t="s">
        <v>128</v>
      </c>
      <c r="AD504" t="s">
        <v>127</v>
      </c>
      <c r="AE504" t="s">
        <v>128</v>
      </c>
      <c r="AF504">
        <v>7</v>
      </c>
      <c r="AG504">
        <v>6</v>
      </c>
      <c r="AH504">
        <v>8</v>
      </c>
      <c r="AI504">
        <v>6</v>
      </c>
      <c r="AJ504">
        <v>6</v>
      </c>
      <c r="AK504">
        <v>8</v>
      </c>
    </row>
    <row r="505" spans="2:37" x14ac:dyDescent="0.3">
      <c r="B505" t="s">
        <v>170</v>
      </c>
      <c r="C505">
        <v>116</v>
      </c>
      <c r="D505">
        <v>20</v>
      </c>
      <c r="E505">
        <v>25</v>
      </c>
      <c r="F505">
        <v>150</v>
      </c>
      <c r="G505">
        <v>11.410005023056907</v>
      </c>
      <c r="H505">
        <v>28</v>
      </c>
      <c r="I505">
        <v>75</v>
      </c>
      <c r="J505">
        <v>20</v>
      </c>
      <c r="K505" s="8">
        <v>6.18</v>
      </c>
      <c r="N505">
        <v>1.69</v>
      </c>
      <c r="O505" s="8">
        <v>9.85</v>
      </c>
      <c r="R505" s="8">
        <v>0</v>
      </c>
      <c r="S505" t="s">
        <v>68</v>
      </c>
      <c r="X505">
        <v>0.66100000000000003</v>
      </c>
      <c r="Y505">
        <v>17.2</v>
      </c>
      <c r="Z505">
        <v>0</v>
      </c>
      <c r="AC505" t="s">
        <v>128</v>
      </c>
      <c r="AD505" t="s">
        <v>127</v>
      </c>
      <c r="AE505" t="s">
        <v>128</v>
      </c>
      <c r="AF505">
        <v>6</v>
      </c>
      <c r="AG505">
        <v>7</v>
      </c>
      <c r="AH505">
        <v>8</v>
      </c>
      <c r="AI505">
        <v>5</v>
      </c>
      <c r="AJ505">
        <v>7</v>
      </c>
      <c r="AK505">
        <v>7</v>
      </c>
    </row>
    <row r="506" spans="2:37" x14ac:dyDescent="0.3">
      <c r="B506" t="s">
        <v>170</v>
      </c>
      <c r="C506">
        <v>116</v>
      </c>
      <c r="D506">
        <v>20</v>
      </c>
      <c r="E506">
        <v>25</v>
      </c>
      <c r="F506">
        <v>150</v>
      </c>
      <c r="G506">
        <v>11.410005023056907</v>
      </c>
      <c r="H506">
        <v>28</v>
      </c>
      <c r="I506">
        <v>75</v>
      </c>
      <c r="J506">
        <v>20</v>
      </c>
      <c r="K506" s="8">
        <v>6.14</v>
      </c>
      <c r="N506">
        <v>1.72</v>
      </c>
      <c r="O506" s="8">
        <v>8.7100000000000009</v>
      </c>
      <c r="R506" s="8">
        <v>0</v>
      </c>
      <c r="S506" t="s">
        <v>68</v>
      </c>
      <c r="X506">
        <v>5.0199999999999996</v>
      </c>
      <c r="Y506">
        <v>14.9</v>
      </c>
      <c r="Z506">
        <v>0</v>
      </c>
      <c r="AC506" t="s">
        <v>128</v>
      </c>
      <c r="AD506" t="s">
        <v>127</v>
      </c>
      <c r="AE506" t="s">
        <v>128</v>
      </c>
      <c r="AF506">
        <v>7</v>
      </c>
      <c r="AG506">
        <v>5</v>
      </c>
      <c r="AH506">
        <v>8</v>
      </c>
      <c r="AI506">
        <v>7</v>
      </c>
      <c r="AJ506">
        <v>6</v>
      </c>
      <c r="AK506">
        <v>7</v>
      </c>
    </row>
    <row r="507" spans="2:37" x14ac:dyDescent="0.3">
      <c r="B507" t="s">
        <v>170</v>
      </c>
      <c r="C507">
        <v>116</v>
      </c>
      <c r="D507">
        <v>20</v>
      </c>
      <c r="E507">
        <v>25</v>
      </c>
      <c r="F507">
        <v>150</v>
      </c>
      <c r="G507">
        <v>11.410005023056907</v>
      </c>
      <c r="H507">
        <v>28</v>
      </c>
      <c r="I507">
        <v>75</v>
      </c>
      <c r="J507">
        <v>20</v>
      </c>
      <c r="K507" s="8">
        <v>6.1890000000000001</v>
      </c>
      <c r="N507">
        <v>1.7</v>
      </c>
      <c r="O507" s="10">
        <v>10.95</v>
      </c>
      <c r="R507" s="8">
        <v>0</v>
      </c>
      <c r="S507" t="s">
        <v>68</v>
      </c>
      <c r="X507">
        <v>6.63</v>
      </c>
      <c r="Y507">
        <v>12.2</v>
      </c>
      <c r="Z507">
        <v>0</v>
      </c>
      <c r="AC507" t="s">
        <v>128</v>
      </c>
      <c r="AD507" t="s">
        <v>208</v>
      </c>
      <c r="AE507" t="s">
        <v>218</v>
      </c>
      <c r="AF507">
        <v>6</v>
      </c>
      <c r="AG507">
        <v>6</v>
      </c>
      <c r="AH507">
        <v>7</v>
      </c>
      <c r="AI507" t="s">
        <v>213</v>
      </c>
      <c r="AJ507">
        <v>7</v>
      </c>
      <c r="AK507">
        <v>8</v>
      </c>
    </row>
    <row r="508" spans="2:37" x14ac:dyDescent="0.3">
      <c r="B508" t="s">
        <v>171</v>
      </c>
      <c r="C508">
        <v>116</v>
      </c>
      <c r="D508">
        <v>20</v>
      </c>
      <c r="E508">
        <v>25</v>
      </c>
      <c r="F508">
        <v>150</v>
      </c>
      <c r="G508">
        <v>11.410005023056907</v>
      </c>
      <c r="H508">
        <v>55</v>
      </c>
      <c r="I508">
        <v>75</v>
      </c>
      <c r="J508">
        <v>21</v>
      </c>
      <c r="K508" s="8">
        <v>6.14</v>
      </c>
      <c r="N508">
        <v>1</v>
      </c>
      <c r="O508" s="10">
        <v>34.56</v>
      </c>
      <c r="R508" s="8">
        <v>0</v>
      </c>
      <c r="S508" t="s">
        <v>68</v>
      </c>
      <c r="X508">
        <v>0</v>
      </c>
      <c r="Y508">
        <v>23.2</v>
      </c>
      <c r="Z508">
        <v>0</v>
      </c>
      <c r="AC508" t="s">
        <v>128</v>
      </c>
      <c r="AD508" t="s">
        <v>208</v>
      </c>
      <c r="AE508" t="s">
        <v>218</v>
      </c>
      <c r="AF508">
        <v>5</v>
      </c>
      <c r="AG508">
        <v>7</v>
      </c>
      <c r="AH508">
        <v>4</v>
      </c>
      <c r="AI508" t="s">
        <v>213</v>
      </c>
      <c r="AJ508">
        <v>6</v>
      </c>
      <c r="AK508">
        <v>7</v>
      </c>
    </row>
    <row r="509" spans="2:37" x14ac:dyDescent="0.3">
      <c r="B509" t="s">
        <v>171</v>
      </c>
      <c r="C509">
        <v>116</v>
      </c>
      <c r="D509">
        <v>20</v>
      </c>
      <c r="E509">
        <v>25</v>
      </c>
      <c r="F509">
        <v>150</v>
      </c>
      <c r="G509">
        <v>11.410005023056907</v>
      </c>
      <c r="H509">
        <v>55</v>
      </c>
      <c r="I509">
        <v>75</v>
      </c>
      <c r="J509">
        <v>21</v>
      </c>
      <c r="K509" s="8">
        <v>6.12</v>
      </c>
      <c r="N509">
        <v>1.2</v>
      </c>
      <c r="O509" s="10">
        <v>34.89</v>
      </c>
      <c r="R509" s="8">
        <v>0</v>
      </c>
      <c r="S509" t="s">
        <v>68</v>
      </c>
      <c r="X509">
        <v>0</v>
      </c>
      <c r="Y509">
        <v>23.1</v>
      </c>
      <c r="Z509">
        <v>0</v>
      </c>
      <c r="AC509" t="s">
        <v>128</v>
      </c>
      <c r="AD509" t="s">
        <v>208</v>
      </c>
      <c r="AE509" t="s">
        <v>218</v>
      </c>
      <c r="AF509">
        <v>4</v>
      </c>
      <c r="AG509">
        <v>6</v>
      </c>
      <c r="AH509">
        <v>4</v>
      </c>
      <c r="AI509" t="s">
        <v>213</v>
      </c>
      <c r="AJ509">
        <v>7</v>
      </c>
      <c r="AK509">
        <v>8</v>
      </c>
    </row>
    <row r="510" spans="2:37" x14ac:dyDescent="0.3">
      <c r="B510" t="s">
        <v>171</v>
      </c>
      <c r="C510">
        <v>116</v>
      </c>
      <c r="D510">
        <v>20</v>
      </c>
      <c r="E510">
        <v>25</v>
      </c>
      <c r="F510">
        <v>150</v>
      </c>
      <c r="G510">
        <v>11.410005023056907</v>
      </c>
      <c r="H510">
        <v>55</v>
      </c>
      <c r="I510">
        <v>75</v>
      </c>
      <c r="J510">
        <v>21</v>
      </c>
      <c r="K510" s="8">
        <v>6.13</v>
      </c>
      <c r="N510">
        <v>1.1000000000000001</v>
      </c>
      <c r="O510" s="10">
        <v>34.18</v>
      </c>
      <c r="R510" s="8">
        <v>0</v>
      </c>
      <c r="S510" t="s">
        <v>68</v>
      </c>
      <c r="X510">
        <v>0</v>
      </c>
      <c r="Y510">
        <v>23.1</v>
      </c>
      <c r="Z510">
        <v>0</v>
      </c>
      <c r="AC510" t="s">
        <v>128</v>
      </c>
      <c r="AD510" t="s">
        <v>208</v>
      </c>
      <c r="AE510" t="s">
        <v>218</v>
      </c>
      <c r="AF510">
        <v>5</v>
      </c>
      <c r="AG510">
        <v>5</v>
      </c>
      <c r="AH510">
        <v>4</v>
      </c>
      <c r="AI510" t="s">
        <v>213</v>
      </c>
      <c r="AJ510">
        <v>8</v>
      </c>
      <c r="AK510">
        <v>7</v>
      </c>
    </row>
    <row r="511" spans="2:37" x14ac:dyDescent="0.3">
      <c r="B511" t="s">
        <v>172</v>
      </c>
      <c r="C511">
        <v>116</v>
      </c>
      <c r="D511">
        <v>20</v>
      </c>
      <c r="E511">
        <v>25</v>
      </c>
      <c r="F511">
        <v>150</v>
      </c>
      <c r="G511">
        <v>11.410005023056907</v>
      </c>
      <c r="H511">
        <v>32</v>
      </c>
      <c r="I511">
        <v>75</v>
      </c>
      <c r="J511">
        <v>21</v>
      </c>
      <c r="K511" s="8">
        <v>6.11</v>
      </c>
      <c r="N511">
        <v>3.7</v>
      </c>
      <c r="O511" s="10">
        <v>12.12</v>
      </c>
      <c r="R511" s="8">
        <v>0</v>
      </c>
      <c r="S511" t="s">
        <v>68</v>
      </c>
      <c r="X511">
        <v>0</v>
      </c>
      <c r="Y511">
        <v>4</v>
      </c>
      <c r="Z511">
        <v>19.899999999999999</v>
      </c>
      <c r="AC511" t="s">
        <v>128</v>
      </c>
      <c r="AD511" t="s">
        <v>208</v>
      </c>
      <c r="AE511" t="s">
        <v>218</v>
      </c>
      <c r="AF511">
        <v>5</v>
      </c>
      <c r="AG511">
        <v>7</v>
      </c>
      <c r="AH511">
        <v>7</v>
      </c>
      <c r="AI511" t="s">
        <v>213</v>
      </c>
      <c r="AJ511">
        <v>7</v>
      </c>
      <c r="AK511">
        <v>7</v>
      </c>
    </row>
    <row r="512" spans="2:37" x14ac:dyDescent="0.3">
      <c r="B512" t="s">
        <v>172</v>
      </c>
      <c r="C512">
        <v>116</v>
      </c>
      <c r="D512">
        <v>20</v>
      </c>
      <c r="E512">
        <v>25</v>
      </c>
      <c r="F512">
        <v>150</v>
      </c>
      <c r="G512">
        <v>11.410005023056907</v>
      </c>
      <c r="H512">
        <v>32</v>
      </c>
      <c r="I512">
        <v>75</v>
      </c>
      <c r="J512">
        <v>21</v>
      </c>
      <c r="K512" s="8">
        <v>6.19</v>
      </c>
      <c r="N512">
        <v>3.67</v>
      </c>
      <c r="O512" s="10">
        <v>11.48</v>
      </c>
      <c r="R512" s="8">
        <v>0</v>
      </c>
      <c r="S512" t="s">
        <v>68</v>
      </c>
      <c r="X512">
        <v>0</v>
      </c>
      <c r="Y512">
        <v>20</v>
      </c>
      <c r="Z512">
        <v>0</v>
      </c>
      <c r="AC512" t="s">
        <v>128</v>
      </c>
      <c r="AD512" t="s">
        <v>208</v>
      </c>
      <c r="AE512" t="s">
        <v>218</v>
      </c>
      <c r="AF512">
        <v>8</v>
      </c>
      <c r="AG512">
        <v>6</v>
      </c>
      <c r="AH512">
        <v>7</v>
      </c>
      <c r="AI512" t="s">
        <v>213</v>
      </c>
      <c r="AJ512">
        <v>8</v>
      </c>
      <c r="AK512">
        <v>6</v>
      </c>
    </row>
    <row r="513" spans="2:37" x14ac:dyDescent="0.3">
      <c r="B513" t="s">
        <v>172</v>
      </c>
      <c r="C513">
        <v>116</v>
      </c>
      <c r="D513">
        <v>20</v>
      </c>
      <c r="E513">
        <v>25</v>
      </c>
      <c r="F513">
        <v>150</v>
      </c>
      <c r="G513">
        <v>11.410005023056907</v>
      </c>
      <c r="H513">
        <v>32</v>
      </c>
      <c r="I513">
        <v>75</v>
      </c>
      <c r="J513">
        <v>21</v>
      </c>
      <c r="K513" s="8">
        <v>6.15</v>
      </c>
      <c r="N513">
        <v>3.57</v>
      </c>
      <c r="O513" s="10">
        <v>12.08</v>
      </c>
      <c r="R513" s="8">
        <v>0</v>
      </c>
      <c r="S513" t="s">
        <v>68</v>
      </c>
      <c r="X513">
        <v>0</v>
      </c>
      <c r="Y513">
        <v>2</v>
      </c>
      <c r="Z513">
        <v>0</v>
      </c>
      <c r="AC513" t="s">
        <v>128</v>
      </c>
      <c r="AD513" t="s">
        <v>208</v>
      </c>
      <c r="AE513" t="s">
        <v>218</v>
      </c>
      <c r="AF513">
        <v>4</v>
      </c>
      <c r="AG513">
        <v>5</v>
      </c>
      <c r="AH513">
        <v>7</v>
      </c>
      <c r="AI513" t="s">
        <v>213</v>
      </c>
      <c r="AJ513">
        <v>7</v>
      </c>
      <c r="AK513">
        <v>6</v>
      </c>
    </row>
    <row r="514" spans="2:37" x14ac:dyDescent="0.3">
      <c r="B514" t="s">
        <v>173</v>
      </c>
      <c r="C514">
        <v>116</v>
      </c>
      <c r="D514">
        <v>20</v>
      </c>
      <c r="E514">
        <v>25</v>
      </c>
      <c r="F514">
        <v>150</v>
      </c>
      <c r="G514">
        <v>11.410005023056907</v>
      </c>
      <c r="H514">
        <v>55</v>
      </c>
      <c r="I514">
        <v>75</v>
      </c>
      <c r="J514">
        <v>24</v>
      </c>
      <c r="K514" s="8">
        <v>6.05</v>
      </c>
      <c r="N514">
        <v>5.3</v>
      </c>
      <c r="O514" s="10">
        <v>44.55</v>
      </c>
      <c r="R514" s="8">
        <v>0</v>
      </c>
      <c r="S514" t="s">
        <v>68</v>
      </c>
      <c r="X514">
        <v>0</v>
      </c>
      <c r="Y514">
        <v>34.4</v>
      </c>
      <c r="Z514">
        <v>1</v>
      </c>
      <c r="AC514" t="s">
        <v>128</v>
      </c>
      <c r="AD514" t="s">
        <v>208</v>
      </c>
      <c r="AE514" t="s">
        <v>218</v>
      </c>
      <c r="AF514">
        <v>7</v>
      </c>
      <c r="AG514">
        <v>6</v>
      </c>
      <c r="AH514">
        <v>3</v>
      </c>
      <c r="AI514" t="s">
        <v>213</v>
      </c>
      <c r="AJ514">
        <v>6</v>
      </c>
      <c r="AK514">
        <v>4</v>
      </c>
    </row>
    <row r="515" spans="2:37" x14ac:dyDescent="0.3">
      <c r="B515" t="s">
        <v>173</v>
      </c>
      <c r="C515">
        <v>116</v>
      </c>
      <c r="D515">
        <v>20</v>
      </c>
      <c r="E515">
        <v>25</v>
      </c>
      <c r="F515">
        <v>150</v>
      </c>
      <c r="G515">
        <v>11.410005023056907</v>
      </c>
      <c r="H515">
        <v>55</v>
      </c>
      <c r="I515">
        <v>75</v>
      </c>
      <c r="J515">
        <v>24</v>
      </c>
      <c r="K515" s="8">
        <v>6.07</v>
      </c>
      <c r="N515">
        <v>3.4</v>
      </c>
      <c r="O515" s="10">
        <v>45.03</v>
      </c>
      <c r="R515" s="8">
        <v>0</v>
      </c>
      <c r="S515" t="s">
        <v>68</v>
      </c>
      <c r="X515">
        <v>0</v>
      </c>
      <c r="Y515">
        <v>34.5</v>
      </c>
      <c r="Z515">
        <v>0</v>
      </c>
      <c r="AC515" t="s">
        <v>128</v>
      </c>
      <c r="AD515" t="s">
        <v>208</v>
      </c>
      <c r="AE515" t="s">
        <v>218</v>
      </c>
      <c r="AF515">
        <v>6</v>
      </c>
      <c r="AG515">
        <v>5</v>
      </c>
      <c r="AH515">
        <v>3</v>
      </c>
      <c r="AI515" t="s">
        <v>213</v>
      </c>
      <c r="AJ515">
        <v>5</v>
      </c>
      <c r="AK515">
        <v>4</v>
      </c>
    </row>
    <row r="516" spans="2:37" x14ac:dyDescent="0.3">
      <c r="B516" t="s">
        <v>173</v>
      </c>
      <c r="C516">
        <v>116</v>
      </c>
      <c r="D516">
        <v>20</v>
      </c>
      <c r="E516">
        <v>25</v>
      </c>
      <c r="F516">
        <v>150</v>
      </c>
      <c r="G516">
        <v>11.410005023056907</v>
      </c>
      <c r="H516">
        <v>55</v>
      </c>
      <c r="I516">
        <v>75</v>
      </c>
      <c r="J516">
        <v>24</v>
      </c>
      <c r="K516" s="8">
        <v>6.06</v>
      </c>
      <c r="N516">
        <v>6.8</v>
      </c>
      <c r="O516" s="10">
        <v>44.78</v>
      </c>
      <c r="R516" s="8">
        <v>0</v>
      </c>
      <c r="S516" t="s">
        <v>68</v>
      </c>
      <c r="X516">
        <v>0</v>
      </c>
      <c r="Y516">
        <v>30.4</v>
      </c>
      <c r="Z516">
        <v>1</v>
      </c>
      <c r="AC516" t="s">
        <v>128</v>
      </c>
      <c r="AD516" t="s">
        <v>208</v>
      </c>
      <c r="AE516" t="s">
        <v>218</v>
      </c>
      <c r="AF516">
        <v>9</v>
      </c>
      <c r="AG516">
        <v>6</v>
      </c>
      <c r="AH516">
        <v>4</v>
      </c>
      <c r="AI516" t="s">
        <v>213</v>
      </c>
      <c r="AJ516">
        <v>6</v>
      </c>
      <c r="AK516">
        <v>3</v>
      </c>
    </row>
    <row r="517" spans="2:37" x14ac:dyDescent="0.3">
      <c r="B517" t="s">
        <v>174</v>
      </c>
      <c r="C517">
        <v>116</v>
      </c>
      <c r="D517">
        <v>20</v>
      </c>
      <c r="E517">
        <v>25</v>
      </c>
      <c r="F517">
        <v>150</v>
      </c>
      <c r="G517">
        <v>11.410005023056907</v>
      </c>
      <c r="H517">
        <v>45</v>
      </c>
      <c r="I517">
        <v>75</v>
      </c>
      <c r="J517">
        <v>25</v>
      </c>
      <c r="K517" s="8">
        <v>5.75</v>
      </c>
      <c r="N517">
        <v>3.45</v>
      </c>
      <c r="O517" s="10">
        <v>26.39</v>
      </c>
      <c r="R517" s="8">
        <v>0</v>
      </c>
      <c r="S517" t="s">
        <v>68</v>
      </c>
      <c r="X517">
        <v>0</v>
      </c>
      <c r="Y517">
        <v>18.100000000000001</v>
      </c>
      <c r="Z517">
        <v>0</v>
      </c>
      <c r="AC517" t="s">
        <v>128</v>
      </c>
      <c r="AD517" t="s">
        <v>208</v>
      </c>
      <c r="AE517" t="s">
        <v>218</v>
      </c>
      <c r="AF517">
        <v>8</v>
      </c>
      <c r="AG517">
        <v>7</v>
      </c>
      <c r="AH517">
        <v>5</v>
      </c>
      <c r="AI517" t="s">
        <v>213</v>
      </c>
      <c r="AJ517">
        <v>5</v>
      </c>
      <c r="AK517">
        <v>5</v>
      </c>
    </row>
    <row r="518" spans="2:37" x14ac:dyDescent="0.3">
      <c r="B518" t="s">
        <v>174</v>
      </c>
      <c r="C518">
        <v>116</v>
      </c>
      <c r="D518">
        <v>20</v>
      </c>
      <c r="E518">
        <v>25</v>
      </c>
      <c r="F518">
        <v>150</v>
      </c>
      <c r="G518">
        <v>11.410005023056907</v>
      </c>
      <c r="H518">
        <v>45</v>
      </c>
      <c r="I518">
        <v>75</v>
      </c>
      <c r="J518">
        <v>25</v>
      </c>
      <c r="K518" s="8">
        <v>5.65</v>
      </c>
      <c r="N518">
        <v>5.89</v>
      </c>
      <c r="O518" s="10">
        <v>25.22</v>
      </c>
      <c r="R518" s="8">
        <v>0</v>
      </c>
      <c r="S518" t="s">
        <v>68</v>
      </c>
      <c r="X518">
        <v>0</v>
      </c>
      <c r="Y518">
        <v>18.100000000000001</v>
      </c>
      <c r="Z518">
        <v>0</v>
      </c>
      <c r="AC518" t="s">
        <v>128</v>
      </c>
      <c r="AD518" t="s">
        <v>208</v>
      </c>
      <c r="AE518" t="s">
        <v>218</v>
      </c>
      <c r="AF518">
        <v>6</v>
      </c>
      <c r="AG518">
        <v>5</v>
      </c>
      <c r="AH518">
        <v>5</v>
      </c>
      <c r="AI518" t="s">
        <v>213</v>
      </c>
      <c r="AJ518">
        <v>4</v>
      </c>
      <c r="AK518">
        <v>5</v>
      </c>
    </row>
    <row r="519" spans="2:37" x14ac:dyDescent="0.3">
      <c r="B519" t="s">
        <v>174</v>
      </c>
      <c r="C519">
        <v>116</v>
      </c>
      <c r="D519">
        <v>20</v>
      </c>
      <c r="E519">
        <v>25</v>
      </c>
      <c r="F519">
        <v>150</v>
      </c>
      <c r="G519">
        <v>11.410005023056907</v>
      </c>
      <c r="H519">
        <v>45</v>
      </c>
      <c r="I519">
        <v>75</v>
      </c>
      <c r="J519">
        <v>25</v>
      </c>
      <c r="K519" s="8">
        <v>5.78</v>
      </c>
      <c r="N519">
        <v>6.45</v>
      </c>
      <c r="O519" s="10">
        <v>25.56</v>
      </c>
      <c r="R519" s="8">
        <v>0</v>
      </c>
      <c r="S519" t="s">
        <v>68</v>
      </c>
      <c r="X519">
        <v>0</v>
      </c>
      <c r="Y519">
        <v>18.100000000000001</v>
      </c>
      <c r="Z519">
        <v>0</v>
      </c>
      <c r="AC519" t="s">
        <v>128</v>
      </c>
      <c r="AD519" t="s">
        <v>208</v>
      </c>
      <c r="AE519" t="s">
        <v>218</v>
      </c>
      <c r="AF519">
        <v>8</v>
      </c>
      <c r="AG519">
        <v>6</v>
      </c>
      <c r="AH519">
        <v>5</v>
      </c>
      <c r="AI519" t="s">
        <v>213</v>
      </c>
      <c r="AJ519">
        <v>5</v>
      </c>
      <c r="AK519">
        <v>5</v>
      </c>
    </row>
    <row r="520" spans="2:37" x14ac:dyDescent="0.3">
      <c r="B520" t="s">
        <v>175</v>
      </c>
      <c r="C520">
        <v>116</v>
      </c>
      <c r="D520">
        <v>20</v>
      </c>
      <c r="E520">
        <v>25</v>
      </c>
      <c r="F520">
        <v>150</v>
      </c>
      <c r="G520">
        <v>11.410005023056907</v>
      </c>
      <c r="H520">
        <v>55</v>
      </c>
      <c r="I520">
        <v>75</v>
      </c>
      <c r="J520">
        <v>27</v>
      </c>
      <c r="K520" s="8">
        <v>5.9</v>
      </c>
      <c r="N520">
        <v>6.32</v>
      </c>
      <c r="O520" s="10">
        <v>52.48</v>
      </c>
      <c r="R520" s="8">
        <v>0</v>
      </c>
      <c r="S520" t="s">
        <v>68</v>
      </c>
      <c r="X520">
        <v>0</v>
      </c>
      <c r="Y520">
        <v>15.2</v>
      </c>
      <c r="Z520">
        <v>0</v>
      </c>
      <c r="AA520">
        <v>65.55</v>
      </c>
      <c r="AC520" t="s">
        <v>128</v>
      </c>
      <c r="AD520" t="s">
        <v>208</v>
      </c>
      <c r="AE520" t="s">
        <v>218</v>
      </c>
      <c r="AF520">
        <v>8</v>
      </c>
      <c r="AG520">
        <v>5</v>
      </c>
      <c r="AH520">
        <v>2</v>
      </c>
      <c r="AI520" t="s">
        <v>213</v>
      </c>
      <c r="AJ520">
        <v>4</v>
      </c>
      <c r="AK520">
        <v>3</v>
      </c>
    </row>
    <row r="521" spans="2:37" x14ac:dyDescent="0.3">
      <c r="B521" t="s">
        <v>175</v>
      </c>
      <c r="C521">
        <v>116</v>
      </c>
      <c r="D521">
        <v>20</v>
      </c>
      <c r="E521">
        <v>25</v>
      </c>
      <c r="F521">
        <v>150</v>
      </c>
      <c r="G521">
        <v>11.410005023056907</v>
      </c>
      <c r="H521">
        <v>55</v>
      </c>
      <c r="I521">
        <v>75</v>
      </c>
      <c r="J521">
        <v>27</v>
      </c>
      <c r="K521" s="8">
        <v>5.98</v>
      </c>
      <c r="N521">
        <v>2.56</v>
      </c>
      <c r="O521" s="10">
        <v>51.89</v>
      </c>
      <c r="R521" s="8">
        <v>0</v>
      </c>
      <c r="S521" t="s">
        <v>68</v>
      </c>
      <c r="X521">
        <v>0</v>
      </c>
      <c r="Y521">
        <v>16.8</v>
      </c>
      <c r="Z521">
        <v>0</v>
      </c>
      <c r="AA521">
        <v>65.55</v>
      </c>
      <c r="AC521" t="s">
        <v>128</v>
      </c>
      <c r="AD521" t="s">
        <v>208</v>
      </c>
      <c r="AE521" t="s">
        <v>218</v>
      </c>
      <c r="AF521">
        <v>7</v>
      </c>
      <c r="AG521">
        <v>7</v>
      </c>
      <c r="AH521">
        <v>2</v>
      </c>
      <c r="AI521" t="s">
        <v>213</v>
      </c>
      <c r="AJ521">
        <v>4</v>
      </c>
      <c r="AK521">
        <v>2</v>
      </c>
    </row>
    <row r="522" spans="2:37" x14ac:dyDescent="0.3">
      <c r="B522" t="s">
        <v>175</v>
      </c>
      <c r="C522">
        <v>116</v>
      </c>
      <c r="D522">
        <v>20</v>
      </c>
      <c r="E522">
        <v>25</v>
      </c>
      <c r="F522">
        <v>150</v>
      </c>
      <c r="G522">
        <v>11.410005023056907</v>
      </c>
      <c r="H522">
        <v>55</v>
      </c>
      <c r="I522">
        <v>75</v>
      </c>
      <c r="J522">
        <v>27</v>
      </c>
      <c r="K522" s="8">
        <v>5.97</v>
      </c>
      <c r="N522">
        <v>2.56</v>
      </c>
      <c r="O522" s="10">
        <v>52.79</v>
      </c>
      <c r="R522" s="8">
        <v>0</v>
      </c>
      <c r="S522" t="s">
        <v>68</v>
      </c>
      <c r="X522">
        <v>2.44</v>
      </c>
      <c r="Y522">
        <v>19.7</v>
      </c>
      <c r="Z522">
        <v>0</v>
      </c>
      <c r="AA522">
        <v>65.55</v>
      </c>
      <c r="AC522" t="s">
        <v>128</v>
      </c>
      <c r="AD522" t="s">
        <v>208</v>
      </c>
      <c r="AE522" t="s">
        <v>218</v>
      </c>
      <c r="AF522">
        <v>7</v>
      </c>
      <c r="AG522">
        <v>6</v>
      </c>
      <c r="AH522">
        <v>2</v>
      </c>
      <c r="AI522" t="s">
        <v>213</v>
      </c>
      <c r="AJ522">
        <v>4</v>
      </c>
      <c r="AK522">
        <v>3</v>
      </c>
    </row>
    <row r="523" spans="2:37" x14ac:dyDescent="0.3">
      <c r="B523" t="s">
        <v>176</v>
      </c>
      <c r="C523">
        <v>116</v>
      </c>
      <c r="D523">
        <v>20</v>
      </c>
      <c r="E523">
        <v>25</v>
      </c>
      <c r="F523">
        <v>150</v>
      </c>
      <c r="G523">
        <v>11.410005023056907</v>
      </c>
      <c r="H523">
        <v>32</v>
      </c>
      <c r="I523">
        <v>75</v>
      </c>
      <c r="J523">
        <v>28</v>
      </c>
      <c r="K523" s="8">
        <v>6.63</v>
      </c>
      <c r="N523">
        <v>1.38</v>
      </c>
      <c r="O523" s="10">
        <v>24.78</v>
      </c>
      <c r="R523" s="8">
        <v>0</v>
      </c>
      <c r="S523" t="s">
        <v>68</v>
      </c>
      <c r="X523">
        <v>0</v>
      </c>
      <c r="Y523">
        <v>16.7</v>
      </c>
      <c r="Z523">
        <v>1</v>
      </c>
      <c r="AA523">
        <v>55.93</v>
      </c>
      <c r="AC523" t="s">
        <v>128</v>
      </c>
      <c r="AD523" t="s">
        <v>208</v>
      </c>
      <c r="AE523" t="s">
        <v>218</v>
      </c>
      <c r="AF523">
        <v>8</v>
      </c>
      <c r="AG523">
        <v>5</v>
      </c>
      <c r="AH523">
        <v>5</v>
      </c>
      <c r="AI523" t="s">
        <v>213</v>
      </c>
      <c r="AJ523">
        <v>5</v>
      </c>
      <c r="AK523">
        <v>5</v>
      </c>
    </row>
    <row r="524" spans="2:37" x14ac:dyDescent="0.3">
      <c r="B524" t="s">
        <v>176</v>
      </c>
      <c r="C524">
        <v>116</v>
      </c>
      <c r="D524">
        <v>20</v>
      </c>
      <c r="E524">
        <v>25</v>
      </c>
      <c r="F524">
        <v>150</v>
      </c>
      <c r="G524">
        <v>11.410005023056907</v>
      </c>
      <c r="H524">
        <v>32</v>
      </c>
      <c r="I524">
        <v>75</v>
      </c>
      <c r="J524">
        <v>28</v>
      </c>
      <c r="K524" s="8">
        <v>6.64</v>
      </c>
      <c r="N524">
        <v>1.48</v>
      </c>
      <c r="O524" s="10">
        <v>24.55</v>
      </c>
      <c r="R524" s="8">
        <v>0</v>
      </c>
      <c r="S524" t="s">
        <v>68</v>
      </c>
      <c r="X524">
        <v>0</v>
      </c>
      <c r="Y524">
        <v>16.600000000000001</v>
      </c>
      <c r="Z524">
        <v>1</v>
      </c>
      <c r="AA524">
        <v>55.55</v>
      </c>
      <c r="AC524" t="s">
        <v>128</v>
      </c>
      <c r="AD524" t="s">
        <v>208</v>
      </c>
      <c r="AE524" t="s">
        <v>218</v>
      </c>
      <c r="AF524">
        <v>8</v>
      </c>
      <c r="AG524">
        <v>4</v>
      </c>
      <c r="AH524">
        <v>5</v>
      </c>
      <c r="AI524" t="s">
        <v>213</v>
      </c>
      <c r="AJ524">
        <v>6</v>
      </c>
      <c r="AK524">
        <v>5</v>
      </c>
    </row>
    <row r="525" spans="2:37" x14ac:dyDescent="0.3">
      <c r="B525" t="s">
        <v>176</v>
      </c>
      <c r="C525">
        <v>116</v>
      </c>
      <c r="D525">
        <v>20</v>
      </c>
      <c r="E525">
        <v>25</v>
      </c>
      <c r="F525">
        <v>150</v>
      </c>
      <c r="G525">
        <v>11.410005023056907</v>
      </c>
      <c r="H525">
        <v>32</v>
      </c>
      <c r="I525">
        <v>75</v>
      </c>
      <c r="J525">
        <v>28</v>
      </c>
      <c r="K525" s="8">
        <v>6.61</v>
      </c>
      <c r="N525">
        <v>1.35</v>
      </c>
      <c r="O525" s="10">
        <v>23.52</v>
      </c>
      <c r="R525" s="8">
        <v>0</v>
      </c>
      <c r="S525" t="s">
        <v>68</v>
      </c>
      <c r="X525">
        <v>0</v>
      </c>
      <c r="Y525">
        <v>15</v>
      </c>
      <c r="Z525">
        <v>0</v>
      </c>
      <c r="AA525">
        <v>55.12</v>
      </c>
      <c r="AC525" t="s">
        <v>128</v>
      </c>
      <c r="AD525" t="s">
        <v>208</v>
      </c>
      <c r="AE525" t="s">
        <v>218</v>
      </c>
      <c r="AF525">
        <v>6</v>
      </c>
      <c r="AG525">
        <v>5</v>
      </c>
      <c r="AH525">
        <v>5</v>
      </c>
      <c r="AI525" t="s">
        <v>213</v>
      </c>
      <c r="AJ525">
        <v>5</v>
      </c>
      <c r="AK525">
        <v>6</v>
      </c>
    </row>
    <row r="526" spans="2:37" x14ac:dyDescent="0.3">
      <c r="B526" t="s">
        <v>177</v>
      </c>
      <c r="C526">
        <v>116</v>
      </c>
      <c r="D526">
        <v>20</v>
      </c>
      <c r="E526">
        <v>25</v>
      </c>
      <c r="F526">
        <v>150</v>
      </c>
      <c r="G526">
        <v>11.410005023056907</v>
      </c>
      <c r="H526">
        <v>55</v>
      </c>
      <c r="I526">
        <v>75</v>
      </c>
      <c r="J526">
        <v>30</v>
      </c>
      <c r="K526" s="8">
        <v>4.8</v>
      </c>
      <c r="N526">
        <v>1.34</v>
      </c>
      <c r="O526" s="10">
        <v>60.36</v>
      </c>
      <c r="R526" s="8">
        <v>0</v>
      </c>
      <c r="S526" t="s">
        <v>68</v>
      </c>
      <c r="X526">
        <v>0</v>
      </c>
      <c r="Y526">
        <v>17.3</v>
      </c>
      <c r="Z526">
        <v>0</v>
      </c>
      <c r="AA526">
        <v>66.56</v>
      </c>
      <c r="AC526" t="s">
        <v>128</v>
      </c>
      <c r="AD526" t="s">
        <v>208</v>
      </c>
      <c r="AE526" t="s">
        <v>218</v>
      </c>
      <c r="AF526">
        <v>8</v>
      </c>
      <c r="AG526">
        <v>5</v>
      </c>
      <c r="AH526">
        <v>1</v>
      </c>
      <c r="AI526" t="s">
        <v>213</v>
      </c>
      <c r="AJ526">
        <v>4</v>
      </c>
      <c r="AK526">
        <v>2</v>
      </c>
    </row>
    <row r="527" spans="2:37" x14ac:dyDescent="0.3">
      <c r="B527" t="s">
        <v>177</v>
      </c>
      <c r="C527">
        <v>116</v>
      </c>
      <c r="D527">
        <v>20</v>
      </c>
      <c r="E527">
        <v>25</v>
      </c>
      <c r="F527">
        <v>150</v>
      </c>
      <c r="G527">
        <v>11.410005023056907</v>
      </c>
      <c r="H527">
        <v>55</v>
      </c>
      <c r="I527">
        <v>75</v>
      </c>
      <c r="J527">
        <v>30</v>
      </c>
      <c r="K527" s="8">
        <v>4.87</v>
      </c>
      <c r="N527">
        <v>1.45</v>
      </c>
      <c r="O527" s="10">
        <v>59.59</v>
      </c>
      <c r="R527" s="8">
        <v>0</v>
      </c>
      <c r="S527" t="s">
        <v>68</v>
      </c>
      <c r="X527">
        <v>0</v>
      </c>
      <c r="Y527">
        <v>17.2</v>
      </c>
      <c r="Z527">
        <v>0</v>
      </c>
      <c r="AA527">
        <v>66.459999999999994</v>
      </c>
      <c r="AC527" t="s">
        <v>128</v>
      </c>
      <c r="AD527" t="s">
        <v>208</v>
      </c>
      <c r="AE527" t="s">
        <v>218</v>
      </c>
      <c r="AF527">
        <v>7</v>
      </c>
      <c r="AG527">
        <v>5</v>
      </c>
      <c r="AH527">
        <v>1</v>
      </c>
      <c r="AI527" t="s">
        <v>213</v>
      </c>
      <c r="AJ527">
        <v>3</v>
      </c>
      <c r="AK527">
        <v>1</v>
      </c>
    </row>
    <row r="528" spans="2:37" x14ac:dyDescent="0.3">
      <c r="B528" t="s">
        <v>177</v>
      </c>
      <c r="C528">
        <v>116</v>
      </c>
      <c r="D528">
        <v>20</v>
      </c>
      <c r="E528">
        <v>25</v>
      </c>
      <c r="F528">
        <v>150</v>
      </c>
      <c r="G528">
        <v>11.410005023056907</v>
      </c>
      <c r="H528">
        <v>55</v>
      </c>
      <c r="I528">
        <v>75</v>
      </c>
      <c r="J528">
        <v>30</v>
      </c>
      <c r="K528" s="8">
        <v>4.92</v>
      </c>
      <c r="N528">
        <v>4.26</v>
      </c>
      <c r="O528" s="10">
        <v>60.33</v>
      </c>
      <c r="R528" s="8">
        <v>0</v>
      </c>
      <c r="S528" t="s">
        <v>68</v>
      </c>
      <c r="X528">
        <v>2.44</v>
      </c>
      <c r="Y528">
        <v>20.8</v>
      </c>
      <c r="Z528">
        <v>0</v>
      </c>
      <c r="AA528">
        <v>66.760000000000005</v>
      </c>
      <c r="AC528" t="s">
        <v>128</v>
      </c>
      <c r="AD528" t="s">
        <v>208</v>
      </c>
      <c r="AE528" t="s">
        <v>218</v>
      </c>
      <c r="AF528">
        <v>8</v>
      </c>
      <c r="AG528">
        <v>5</v>
      </c>
      <c r="AH528">
        <v>1</v>
      </c>
      <c r="AI528" t="s">
        <v>213</v>
      </c>
      <c r="AJ528">
        <v>6</v>
      </c>
      <c r="AK528">
        <v>2</v>
      </c>
    </row>
    <row r="529" spans="2:37" x14ac:dyDescent="0.3">
      <c r="B529" t="s">
        <v>178</v>
      </c>
      <c r="C529">
        <v>116</v>
      </c>
      <c r="D529">
        <v>20</v>
      </c>
      <c r="E529">
        <v>25</v>
      </c>
      <c r="F529">
        <v>150</v>
      </c>
      <c r="G529">
        <v>11.410005023056907</v>
      </c>
      <c r="H529">
        <v>45</v>
      </c>
      <c r="I529">
        <v>75</v>
      </c>
      <c r="J529">
        <v>30</v>
      </c>
      <c r="K529" s="8">
        <v>4.79</v>
      </c>
      <c r="N529">
        <v>1.76</v>
      </c>
      <c r="O529" s="10">
        <v>35.89</v>
      </c>
      <c r="R529" s="8">
        <v>0</v>
      </c>
      <c r="S529" t="s">
        <v>68</v>
      </c>
      <c r="X529">
        <v>0</v>
      </c>
      <c r="Y529">
        <v>14.5</v>
      </c>
      <c r="Z529">
        <v>0</v>
      </c>
      <c r="AC529" t="s">
        <v>128</v>
      </c>
      <c r="AD529" t="s">
        <v>208</v>
      </c>
      <c r="AE529" t="s">
        <v>218</v>
      </c>
      <c r="AF529">
        <v>6</v>
      </c>
      <c r="AG529">
        <v>6</v>
      </c>
      <c r="AH529">
        <v>4</v>
      </c>
      <c r="AI529" t="s">
        <v>213</v>
      </c>
      <c r="AJ529">
        <v>6</v>
      </c>
      <c r="AK529">
        <v>4</v>
      </c>
    </row>
    <row r="530" spans="2:37" x14ac:dyDescent="0.3">
      <c r="B530" t="s">
        <v>178</v>
      </c>
      <c r="C530">
        <v>116</v>
      </c>
      <c r="D530">
        <v>20</v>
      </c>
      <c r="E530">
        <v>25</v>
      </c>
      <c r="F530">
        <v>150</v>
      </c>
      <c r="G530">
        <v>11.410005023056907</v>
      </c>
      <c r="H530">
        <v>45</v>
      </c>
      <c r="I530">
        <v>75</v>
      </c>
      <c r="J530">
        <v>30</v>
      </c>
      <c r="K530" s="8">
        <v>4.7830000000000004</v>
      </c>
      <c r="N530">
        <v>1.88</v>
      </c>
      <c r="O530" s="10">
        <v>32.979999999999997</v>
      </c>
      <c r="R530" s="8">
        <v>0</v>
      </c>
      <c r="S530" t="s">
        <v>68</v>
      </c>
      <c r="X530">
        <v>0</v>
      </c>
      <c r="Y530">
        <v>14.3</v>
      </c>
      <c r="Z530">
        <v>0</v>
      </c>
      <c r="AC530" t="s">
        <v>128</v>
      </c>
      <c r="AD530" t="s">
        <v>208</v>
      </c>
      <c r="AE530" t="s">
        <v>218</v>
      </c>
      <c r="AF530">
        <v>8</v>
      </c>
      <c r="AG530">
        <v>5</v>
      </c>
      <c r="AH530">
        <v>4</v>
      </c>
      <c r="AI530" t="s">
        <v>213</v>
      </c>
      <c r="AJ530">
        <v>6</v>
      </c>
      <c r="AK530">
        <v>4</v>
      </c>
    </row>
    <row r="531" spans="2:37" x14ac:dyDescent="0.3">
      <c r="B531" t="s">
        <v>178</v>
      </c>
      <c r="C531">
        <v>116</v>
      </c>
      <c r="D531">
        <v>20</v>
      </c>
      <c r="E531">
        <v>25</v>
      </c>
      <c r="F531">
        <v>150</v>
      </c>
      <c r="G531">
        <v>11.410005023056907</v>
      </c>
      <c r="H531">
        <v>45</v>
      </c>
      <c r="I531">
        <v>75</v>
      </c>
      <c r="J531">
        <v>30</v>
      </c>
      <c r="K531" s="8">
        <v>4.8899999999999997</v>
      </c>
      <c r="N531">
        <v>1.7</v>
      </c>
      <c r="O531" s="10">
        <v>32.950000000000003</v>
      </c>
      <c r="R531" s="8">
        <v>0</v>
      </c>
      <c r="S531" t="s">
        <v>68</v>
      </c>
      <c r="X531">
        <v>0</v>
      </c>
      <c r="Y531">
        <v>14.5</v>
      </c>
      <c r="Z531">
        <v>0</v>
      </c>
      <c r="AC531" t="s">
        <v>128</v>
      </c>
      <c r="AD531" t="s">
        <v>208</v>
      </c>
      <c r="AE531" t="s">
        <v>218</v>
      </c>
      <c r="AF531">
        <v>7</v>
      </c>
      <c r="AG531">
        <v>4</v>
      </c>
      <c r="AH531">
        <v>4</v>
      </c>
      <c r="AI531" t="s">
        <v>213</v>
      </c>
      <c r="AJ531">
        <v>4</v>
      </c>
      <c r="AK531">
        <v>4</v>
      </c>
    </row>
    <row r="532" spans="2:37" x14ac:dyDescent="0.3">
      <c r="B532" t="s">
        <v>179</v>
      </c>
      <c r="C532">
        <v>116</v>
      </c>
      <c r="D532">
        <v>20</v>
      </c>
      <c r="E532">
        <v>25</v>
      </c>
      <c r="F532">
        <v>150</v>
      </c>
      <c r="G532">
        <v>11.410005023056907</v>
      </c>
      <c r="H532">
        <v>28</v>
      </c>
      <c r="I532">
        <v>75</v>
      </c>
      <c r="J532">
        <v>30</v>
      </c>
      <c r="K532" s="8">
        <v>6.21</v>
      </c>
      <c r="N532">
        <v>4.0599999999999996</v>
      </c>
      <c r="O532" s="10">
        <v>21.46</v>
      </c>
      <c r="R532" s="8">
        <v>0</v>
      </c>
      <c r="S532" t="s">
        <v>68</v>
      </c>
      <c r="T532">
        <v>55.42</v>
      </c>
      <c r="U532">
        <v>9.02</v>
      </c>
      <c r="V532">
        <v>51.53</v>
      </c>
      <c r="W532">
        <v>76.209999999999994</v>
      </c>
      <c r="X532">
        <v>0</v>
      </c>
      <c r="Y532">
        <v>17.399999999999999</v>
      </c>
      <c r="Z532">
        <v>0</v>
      </c>
      <c r="AC532" t="s">
        <v>128</v>
      </c>
      <c r="AD532" t="s">
        <v>208</v>
      </c>
      <c r="AE532" t="s">
        <v>218</v>
      </c>
      <c r="AF532">
        <v>8</v>
      </c>
      <c r="AG532">
        <v>4</v>
      </c>
      <c r="AH532">
        <v>5</v>
      </c>
      <c r="AI532" t="s">
        <v>213</v>
      </c>
      <c r="AJ532">
        <v>5</v>
      </c>
      <c r="AK532">
        <v>5</v>
      </c>
    </row>
    <row r="533" spans="2:37" x14ac:dyDescent="0.3">
      <c r="B533" t="s">
        <v>179</v>
      </c>
      <c r="C533">
        <v>116</v>
      </c>
      <c r="D533">
        <v>20</v>
      </c>
      <c r="E533">
        <v>25</v>
      </c>
      <c r="F533">
        <v>150</v>
      </c>
      <c r="G533">
        <v>11.410005023056907</v>
      </c>
      <c r="H533">
        <v>28</v>
      </c>
      <c r="I533">
        <v>75</v>
      </c>
      <c r="J533">
        <v>30</v>
      </c>
      <c r="K533" s="8">
        <v>6.18</v>
      </c>
      <c r="N533">
        <v>4.55</v>
      </c>
      <c r="O533" s="10">
        <v>22.38</v>
      </c>
      <c r="R533" s="8">
        <v>0</v>
      </c>
      <c r="S533" t="s">
        <v>68</v>
      </c>
      <c r="T533">
        <v>55.59</v>
      </c>
      <c r="U533">
        <v>9.06</v>
      </c>
      <c r="V533">
        <v>51.69</v>
      </c>
      <c r="W533">
        <v>76.45</v>
      </c>
      <c r="X533">
        <v>0</v>
      </c>
      <c r="Y533">
        <v>17.3</v>
      </c>
      <c r="Z533">
        <v>1</v>
      </c>
      <c r="AC533" t="s">
        <v>128</v>
      </c>
      <c r="AD533" t="s">
        <v>208</v>
      </c>
      <c r="AE533" t="s">
        <v>218</v>
      </c>
      <c r="AF533">
        <v>6</v>
      </c>
      <c r="AG533">
        <v>4</v>
      </c>
      <c r="AH533">
        <v>5</v>
      </c>
      <c r="AI533" t="s">
        <v>213</v>
      </c>
      <c r="AJ533">
        <v>6</v>
      </c>
      <c r="AK533">
        <v>5</v>
      </c>
    </row>
    <row r="534" spans="2:37" x14ac:dyDescent="0.3">
      <c r="B534" t="s">
        <v>179</v>
      </c>
      <c r="C534">
        <v>116</v>
      </c>
      <c r="D534">
        <v>20</v>
      </c>
      <c r="E534">
        <v>25</v>
      </c>
      <c r="F534">
        <v>150</v>
      </c>
      <c r="G534">
        <v>11.410005023056907</v>
      </c>
      <c r="H534">
        <v>28</v>
      </c>
      <c r="I534">
        <v>75</v>
      </c>
      <c r="J534">
        <v>30</v>
      </c>
      <c r="K534" s="8">
        <v>6.01</v>
      </c>
      <c r="N534">
        <v>4.12</v>
      </c>
      <c r="O534" s="10">
        <v>21.4</v>
      </c>
      <c r="R534" s="8">
        <v>0</v>
      </c>
      <c r="S534" t="s">
        <v>68</v>
      </c>
      <c r="T534">
        <v>55.75</v>
      </c>
      <c r="U534">
        <v>9.08</v>
      </c>
      <c r="V534">
        <v>51.88</v>
      </c>
      <c r="W534">
        <v>76.69</v>
      </c>
      <c r="X534">
        <v>0</v>
      </c>
      <c r="Y534">
        <v>14.3</v>
      </c>
      <c r="Z534">
        <v>0</v>
      </c>
      <c r="AC534" t="s">
        <v>128</v>
      </c>
      <c r="AD534" t="s">
        <v>208</v>
      </c>
      <c r="AE534" t="s">
        <v>218</v>
      </c>
      <c r="AF534">
        <v>8</v>
      </c>
      <c r="AG534">
        <v>5</v>
      </c>
      <c r="AH534">
        <v>5</v>
      </c>
      <c r="AI534" t="s">
        <v>213</v>
      </c>
      <c r="AJ534">
        <v>7</v>
      </c>
      <c r="AK534">
        <v>4</v>
      </c>
    </row>
    <row r="535" spans="2:37" x14ac:dyDescent="0.3">
      <c r="B535" t="s">
        <v>180</v>
      </c>
      <c r="C535">
        <v>116</v>
      </c>
      <c r="D535">
        <v>20</v>
      </c>
      <c r="E535">
        <v>25</v>
      </c>
      <c r="F535">
        <v>150</v>
      </c>
      <c r="G535">
        <v>11.410005023056907</v>
      </c>
      <c r="H535">
        <v>55</v>
      </c>
      <c r="I535">
        <v>75</v>
      </c>
      <c r="J535">
        <v>33</v>
      </c>
      <c r="K535" s="8">
        <v>4.8600000000000003</v>
      </c>
      <c r="N535">
        <v>5.31</v>
      </c>
      <c r="O535" s="10">
        <v>62.48</v>
      </c>
      <c r="Q535" s="8">
        <v>4.12</v>
      </c>
      <c r="R535" s="8">
        <v>0</v>
      </c>
      <c r="S535" t="s">
        <v>68</v>
      </c>
      <c r="AC535" t="s">
        <v>128</v>
      </c>
      <c r="AD535" t="s">
        <v>208</v>
      </c>
      <c r="AE535" t="s">
        <v>218</v>
      </c>
      <c r="AF535">
        <v>7</v>
      </c>
      <c r="AG535">
        <v>5</v>
      </c>
      <c r="AH535">
        <v>2</v>
      </c>
      <c r="AI535" t="s">
        <v>213</v>
      </c>
      <c r="AJ535">
        <v>5</v>
      </c>
      <c r="AK535">
        <v>2</v>
      </c>
    </row>
    <row r="536" spans="2:37" x14ac:dyDescent="0.3">
      <c r="B536" t="s">
        <v>180</v>
      </c>
      <c r="C536">
        <v>116</v>
      </c>
      <c r="D536">
        <v>20</v>
      </c>
      <c r="E536">
        <v>25</v>
      </c>
      <c r="F536">
        <v>150</v>
      </c>
      <c r="G536">
        <v>11.410005023056907</v>
      </c>
      <c r="H536">
        <v>55</v>
      </c>
      <c r="I536">
        <v>75</v>
      </c>
      <c r="J536">
        <v>33</v>
      </c>
      <c r="K536" s="8">
        <v>4.78</v>
      </c>
      <c r="N536">
        <v>5.3</v>
      </c>
      <c r="O536" s="10">
        <v>62.49</v>
      </c>
      <c r="Q536" s="8">
        <v>3.2559999999999998</v>
      </c>
      <c r="R536" s="8">
        <v>0</v>
      </c>
      <c r="S536" t="s">
        <v>68</v>
      </c>
      <c r="AC536" t="s">
        <v>128</v>
      </c>
      <c r="AD536" t="s">
        <v>208</v>
      </c>
      <c r="AE536" t="s">
        <v>218</v>
      </c>
      <c r="AF536">
        <v>8</v>
      </c>
      <c r="AG536">
        <v>4</v>
      </c>
      <c r="AH536">
        <v>1</v>
      </c>
      <c r="AI536" t="s">
        <v>213</v>
      </c>
      <c r="AJ536">
        <v>4</v>
      </c>
      <c r="AK536">
        <v>2</v>
      </c>
    </row>
    <row r="537" spans="2:37" x14ac:dyDescent="0.3">
      <c r="B537" t="s">
        <v>180</v>
      </c>
      <c r="C537">
        <v>116</v>
      </c>
      <c r="D537">
        <v>20</v>
      </c>
      <c r="E537">
        <v>25</v>
      </c>
      <c r="F537">
        <v>150</v>
      </c>
      <c r="G537">
        <v>11.410005023056907</v>
      </c>
      <c r="H537">
        <v>55</v>
      </c>
      <c r="I537">
        <v>75</v>
      </c>
      <c r="J537">
        <v>33</v>
      </c>
      <c r="K537" s="8">
        <v>4.92</v>
      </c>
      <c r="N537">
        <v>6.3</v>
      </c>
      <c r="O537" s="10">
        <v>62.37</v>
      </c>
      <c r="P537" s="8">
        <v>0.95099999999999996</v>
      </c>
      <c r="Q537" s="8">
        <v>2.2559999999999998</v>
      </c>
      <c r="R537" s="8">
        <v>0</v>
      </c>
      <c r="S537" t="s">
        <v>68</v>
      </c>
      <c r="AC537" t="s">
        <v>128</v>
      </c>
      <c r="AD537" t="s">
        <v>208</v>
      </c>
      <c r="AE537" t="s">
        <v>218</v>
      </c>
      <c r="AF537">
        <v>6</v>
      </c>
      <c r="AG537">
        <v>5</v>
      </c>
      <c r="AH537">
        <v>2</v>
      </c>
      <c r="AI537" t="s">
        <v>213</v>
      </c>
      <c r="AJ537">
        <v>6</v>
      </c>
      <c r="AK537">
        <v>2</v>
      </c>
    </row>
    <row r="538" spans="2:37" x14ac:dyDescent="0.3">
      <c r="B538" t="s">
        <v>192</v>
      </c>
      <c r="C538">
        <v>116</v>
      </c>
      <c r="D538">
        <v>20</v>
      </c>
      <c r="E538">
        <v>25</v>
      </c>
      <c r="F538">
        <v>150</v>
      </c>
      <c r="G538">
        <v>11.410005023056907</v>
      </c>
      <c r="H538">
        <v>45</v>
      </c>
      <c r="I538">
        <v>75</v>
      </c>
      <c r="J538">
        <v>35</v>
      </c>
      <c r="K538" s="8">
        <v>4.8899999999999997</v>
      </c>
      <c r="L538">
        <v>4.9585999999999997</v>
      </c>
      <c r="M538">
        <f t="shared" ref="M538:M562" si="7">100-(AA538+L538+N538+P538+Q538)</f>
        <v>18.722199999999987</v>
      </c>
      <c r="N538">
        <v>8.9</v>
      </c>
      <c r="O538" s="10">
        <v>44.8</v>
      </c>
      <c r="P538" s="8">
        <v>2.0131999999999999</v>
      </c>
      <c r="Q538" s="8">
        <v>2.1560000000000001</v>
      </c>
      <c r="R538" s="8">
        <v>0</v>
      </c>
      <c r="S538" t="s">
        <v>68</v>
      </c>
      <c r="T538">
        <v>56.332000000000001</v>
      </c>
      <c r="U538">
        <v>8.86</v>
      </c>
      <c r="V538">
        <v>46.26</v>
      </c>
      <c r="W538">
        <v>73.78</v>
      </c>
      <c r="AA538">
        <v>63.25</v>
      </c>
      <c r="AC538" t="s">
        <v>128</v>
      </c>
      <c r="AD538" t="s">
        <v>208</v>
      </c>
      <c r="AE538" t="s">
        <v>218</v>
      </c>
      <c r="AF538">
        <v>8</v>
      </c>
      <c r="AG538">
        <v>4</v>
      </c>
      <c r="AH538">
        <v>3</v>
      </c>
      <c r="AI538" t="s">
        <v>213</v>
      </c>
      <c r="AJ538">
        <v>6</v>
      </c>
      <c r="AK538">
        <v>3</v>
      </c>
    </row>
    <row r="539" spans="2:37" x14ac:dyDescent="0.3">
      <c r="B539" t="s">
        <v>192</v>
      </c>
      <c r="C539">
        <v>116</v>
      </c>
      <c r="D539">
        <v>20</v>
      </c>
      <c r="E539">
        <v>25</v>
      </c>
      <c r="F539">
        <v>150</v>
      </c>
      <c r="G539">
        <v>11.410005023056907</v>
      </c>
      <c r="H539">
        <v>45</v>
      </c>
      <c r="I539">
        <v>75</v>
      </c>
      <c r="J539">
        <v>35</v>
      </c>
      <c r="K539" s="8">
        <v>4.8499999999999996</v>
      </c>
      <c r="L539">
        <v>8.6523000000000003</v>
      </c>
      <c r="M539">
        <f t="shared" si="7"/>
        <v>21.898700000000019</v>
      </c>
      <c r="N539">
        <v>4.5999999999999996</v>
      </c>
      <c r="O539" s="10">
        <v>45.12</v>
      </c>
      <c r="P539" s="8">
        <v>0.32</v>
      </c>
      <c r="Q539" s="8">
        <v>1.369</v>
      </c>
      <c r="R539" s="8">
        <v>0</v>
      </c>
      <c r="S539" t="s">
        <v>68</v>
      </c>
      <c r="T539">
        <v>58.100999999999999</v>
      </c>
      <c r="U539">
        <v>7.2320000000000002</v>
      </c>
      <c r="V539">
        <v>47.768999999999998</v>
      </c>
      <c r="W539">
        <v>75.55</v>
      </c>
      <c r="AA539">
        <v>63.16</v>
      </c>
      <c r="AC539" t="s">
        <v>128</v>
      </c>
      <c r="AD539" t="s">
        <v>208</v>
      </c>
      <c r="AE539" t="s">
        <v>218</v>
      </c>
      <c r="AF539">
        <v>7</v>
      </c>
      <c r="AG539">
        <v>4</v>
      </c>
      <c r="AH539">
        <v>3</v>
      </c>
      <c r="AI539" t="s">
        <v>213</v>
      </c>
      <c r="AJ539">
        <v>5</v>
      </c>
      <c r="AK539">
        <v>3</v>
      </c>
    </row>
    <row r="540" spans="2:37" x14ac:dyDescent="0.3">
      <c r="B540" t="s">
        <v>192</v>
      </c>
      <c r="C540">
        <v>116</v>
      </c>
      <c r="D540">
        <v>20</v>
      </c>
      <c r="E540">
        <v>25</v>
      </c>
      <c r="F540">
        <v>150</v>
      </c>
      <c r="G540">
        <v>11.410005023056907</v>
      </c>
      <c r="H540">
        <v>45</v>
      </c>
      <c r="I540">
        <v>75</v>
      </c>
      <c r="J540">
        <v>35</v>
      </c>
      <c r="K540" s="8">
        <v>4.8600000000000003</v>
      </c>
      <c r="L540">
        <v>9.5646000000000004</v>
      </c>
      <c r="M540">
        <f t="shared" si="7"/>
        <v>15.932199999999995</v>
      </c>
      <c r="N540">
        <v>8.1999999999999993</v>
      </c>
      <c r="O540" s="10">
        <v>44.86</v>
      </c>
      <c r="P540" s="8">
        <v>1.0132000000000001</v>
      </c>
      <c r="Q540" s="8">
        <v>1.45</v>
      </c>
      <c r="R540" s="8">
        <v>0</v>
      </c>
      <c r="S540" t="s">
        <v>68</v>
      </c>
      <c r="T540">
        <v>58.11</v>
      </c>
      <c r="U540">
        <v>7.31</v>
      </c>
      <c r="V540">
        <v>47.93</v>
      </c>
      <c r="W540">
        <v>75.680000000000007</v>
      </c>
      <c r="AA540">
        <v>63.84</v>
      </c>
      <c r="AC540" t="s">
        <v>128</v>
      </c>
      <c r="AD540" t="s">
        <v>208</v>
      </c>
      <c r="AE540" t="s">
        <v>218</v>
      </c>
      <c r="AF540">
        <v>8</v>
      </c>
      <c r="AG540">
        <v>4</v>
      </c>
      <c r="AH540">
        <v>2</v>
      </c>
      <c r="AI540" t="s">
        <v>213</v>
      </c>
      <c r="AJ540">
        <v>5</v>
      </c>
      <c r="AK540">
        <v>4</v>
      </c>
    </row>
    <row r="541" spans="2:37" x14ac:dyDescent="0.3">
      <c r="B541" t="s">
        <v>201</v>
      </c>
      <c r="C541">
        <v>116</v>
      </c>
      <c r="D541">
        <v>20</v>
      </c>
      <c r="E541">
        <v>25</v>
      </c>
      <c r="F541">
        <v>150</v>
      </c>
      <c r="G541">
        <v>11.410005023056907</v>
      </c>
      <c r="H541">
        <v>32</v>
      </c>
      <c r="I541">
        <v>75</v>
      </c>
      <c r="J541">
        <v>35</v>
      </c>
      <c r="K541" s="8">
        <v>5.56</v>
      </c>
      <c r="L541">
        <v>8.4587000000000003</v>
      </c>
      <c r="M541">
        <f t="shared" si="7"/>
        <v>14.509299999999996</v>
      </c>
      <c r="N541">
        <v>11.6</v>
      </c>
      <c r="O541" s="10">
        <v>29.67</v>
      </c>
      <c r="P541" s="8">
        <v>1.589</v>
      </c>
      <c r="Q541" s="8">
        <v>2.0129999999999999</v>
      </c>
      <c r="R541" s="8">
        <v>0</v>
      </c>
      <c r="S541" t="s">
        <v>68</v>
      </c>
      <c r="T541">
        <v>54.04</v>
      </c>
      <c r="U541">
        <v>10.37</v>
      </c>
      <c r="V541">
        <v>51.67</v>
      </c>
      <c r="W541">
        <v>75.489999999999995</v>
      </c>
      <c r="AA541">
        <v>61.83</v>
      </c>
      <c r="AC541" t="s">
        <v>128</v>
      </c>
      <c r="AD541" t="s">
        <v>208</v>
      </c>
      <c r="AE541" t="s">
        <v>218</v>
      </c>
      <c r="AF541">
        <v>7</v>
      </c>
      <c r="AG541">
        <v>4</v>
      </c>
      <c r="AH541">
        <v>5</v>
      </c>
      <c r="AI541" t="s">
        <v>213</v>
      </c>
      <c r="AJ541">
        <v>5</v>
      </c>
      <c r="AK541">
        <v>5</v>
      </c>
    </row>
    <row r="542" spans="2:37" x14ac:dyDescent="0.3">
      <c r="B542" t="s">
        <v>201</v>
      </c>
      <c r="C542">
        <v>116</v>
      </c>
      <c r="D542">
        <v>20</v>
      </c>
      <c r="E542">
        <v>25</v>
      </c>
      <c r="F542">
        <v>150</v>
      </c>
      <c r="G542">
        <v>11.410005023056907</v>
      </c>
      <c r="H542">
        <v>32</v>
      </c>
      <c r="I542">
        <v>75</v>
      </c>
      <c r="J542">
        <v>35</v>
      </c>
      <c r="K542" s="8">
        <v>5.46</v>
      </c>
      <c r="L542">
        <v>7.6254</v>
      </c>
      <c r="M542">
        <f t="shared" si="7"/>
        <v>27.650599999999997</v>
      </c>
      <c r="N542">
        <v>1.2</v>
      </c>
      <c r="O542" s="10">
        <v>29.01</v>
      </c>
      <c r="P542" s="8">
        <v>1.3240000000000001</v>
      </c>
      <c r="Q542" s="8">
        <v>0.98699999999999999</v>
      </c>
      <c r="R542" s="8">
        <v>0</v>
      </c>
      <c r="S542" t="s">
        <v>68</v>
      </c>
      <c r="T542">
        <v>53.93</v>
      </c>
      <c r="U542">
        <v>10.35</v>
      </c>
      <c r="V542">
        <v>51.61</v>
      </c>
      <c r="W542">
        <v>75.36</v>
      </c>
      <c r="AA542">
        <v>61.213000000000001</v>
      </c>
      <c r="AC542" t="s">
        <v>128</v>
      </c>
      <c r="AD542" t="s">
        <v>208</v>
      </c>
      <c r="AE542" t="s">
        <v>218</v>
      </c>
      <c r="AF542">
        <v>8</v>
      </c>
      <c r="AG542">
        <v>5</v>
      </c>
      <c r="AH542">
        <v>4</v>
      </c>
      <c r="AI542" t="s">
        <v>213</v>
      </c>
      <c r="AJ542">
        <v>6</v>
      </c>
      <c r="AK542">
        <v>4</v>
      </c>
    </row>
    <row r="543" spans="2:37" x14ac:dyDescent="0.3">
      <c r="B543" t="s">
        <v>201</v>
      </c>
      <c r="C543">
        <v>116</v>
      </c>
      <c r="D543">
        <v>20</v>
      </c>
      <c r="E543">
        <v>25</v>
      </c>
      <c r="F543">
        <v>150</v>
      </c>
      <c r="G543">
        <v>11.410005023056907</v>
      </c>
      <c r="H543">
        <v>32</v>
      </c>
      <c r="I543">
        <v>75</v>
      </c>
      <c r="J543">
        <v>35</v>
      </c>
      <c r="K543" s="8">
        <v>5.66</v>
      </c>
      <c r="L543">
        <v>9.3622999999999994</v>
      </c>
      <c r="M543">
        <f t="shared" si="7"/>
        <v>10.162000000000006</v>
      </c>
      <c r="N543">
        <v>15.3</v>
      </c>
      <c r="O543" s="10">
        <v>28.86</v>
      </c>
      <c r="P543" s="8">
        <v>2.0131999999999999</v>
      </c>
      <c r="Q543" s="8">
        <v>1.3779999999999999</v>
      </c>
      <c r="R543" s="8">
        <v>0</v>
      </c>
      <c r="S543" t="s">
        <v>68</v>
      </c>
      <c r="T543">
        <v>53.89</v>
      </c>
      <c r="U543">
        <v>10.34</v>
      </c>
      <c r="V543">
        <v>51.52</v>
      </c>
      <c r="W543">
        <v>75.260000000000005</v>
      </c>
      <c r="AA543">
        <v>61.784500000000001</v>
      </c>
      <c r="AC543" t="s">
        <v>128</v>
      </c>
      <c r="AD543" t="s">
        <v>208</v>
      </c>
      <c r="AE543" t="s">
        <v>218</v>
      </c>
      <c r="AF543">
        <v>7</v>
      </c>
      <c r="AG543">
        <v>4</v>
      </c>
      <c r="AH543">
        <v>5</v>
      </c>
      <c r="AI543" t="s">
        <v>213</v>
      </c>
      <c r="AJ543">
        <v>5</v>
      </c>
      <c r="AK543">
        <v>5</v>
      </c>
    </row>
    <row r="544" spans="2:37" x14ac:dyDescent="0.3">
      <c r="B544" t="s">
        <v>217</v>
      </c>
      <c r="C544">
        <v>116</v>
      </c>
      <c r="D544">
        <v>20</v>
      </c>
      <c r="E544">
        <v>25</v>
      </c>
      <c r="F544">
        <v>150</v>
      </c>
      <c r="G544">
        <v>11.410005023056907</v>
      </c>
      <c r="H544">
        <v>55</v>
      </c>
      <c r="I544">
        <v>75</v>
      </c>
      <c r="J544">
        <v>36</v>
      </c>
      <c r="K544" s="8">
        <v>4.8899999999999997</v>
      </c>
      <c r="L544">
        <v>8.3985000000000003</v>
      </c>
      <c r="M544">
        <f t="shared" si="7"/>
        <v>12.936499999999995</v>
      </c>
      <c r="N544">
        <v>7.62</v>
      </c>
      <c r="O544" s="10">
        <v>67.266000000000005</v>
      </c>
      <c r="P544" s="8">
        <v>1.589</v>
      </c>
      <c r="Q544" s="8">
        <v>2.956</v>
      </c>
      <c r="R544" s="8">
        <v>0</v>
      </c>
      <c r="S544" t="s">
        <v>68</v>
      </c>
      <c r="T544">
        <v>51.73</v>
      </c>
      <c r="U544">
        <v>8.2100000000000009</v>
      </c>
      <c r="V544">
        <v>33.61</v>
      </c>
      <c r="W544">
        <v>62.28</v>
      </c>
      <c r="AA544">
        <v>66.5</v>
      </c>
      <c r="AC544" t="s">
        <v>128</v>
      </c>
      <c r="AD544" t="s">
        <v>208</v>
      </c>
      <c r="AE544" t="s">
        <v>218</v>
      </c>
      <c r="AF544">
        <v>8</v>
      </c>
      <c r="AG544">
        <v>4</v>
      </c>
      <c r="AH544">
        <v>1</v>
      </c>
      <c r="AI544" t="s">
        <v>213</v>
      </c>
      <c r="AJ544">
        <v>3</v>
      </c>
      <c r="AK544">
        <v>1</v>
      </c>
    </row>
    <row r="545" spans="1:37" x14ac:dyDescent="0.3">
      <c r="B545" t="s">
        <v>217</v>
      </c>
      <c r="C545">
        <v>116</v>
      </c>
      <c r="D545">
        <v>20</v>
      </c>
      <c r="E545">
        <v>25</v>
      </c>
      <c r="F545">
        <v>150</v>
      </c>
      <c r="G545">
        <v>11.410005023056907</v>
      </c>
      <c r="H545">
        <v>55</v>
      </c>
      <c r="I545">
        <v>75</v>
      </c>
      <c r="J545">
        <v>36</v>
      </c>
      <c r="K545" s="8">
        <v>4.7300000000000004</v>
      </c>
      <c r="L545">
        <v>8.4586000000000006</v>
      </c>
      <c r="M545">
        <f t="shared" si="7"/>
        <v>19.121399999999994</v>
      </c>
      <c r="N545">
        <v>1.8</v>
      </c>
      <c r="O545" s="10">
        <v>67.456000000000003</v>
      </c>
      <c r="P545" s="8">
        <v>1.3240000000000001</v>
      </c>
      <c r="Q545" s="8">
        <v>2.8959999999999999</v>
      </c>
      <c r="R545" s="8">
        <v>0</v>
      </c>
      <c r="S545" t="s">
        <v>68</v>
      </c>
      <c r="T545">
        <v>51.62</v>
      </c>
      <c r="U545">
        <v>8.02</v>
      </c>
      <c r="V545">
        <v>33.35</v>
      </c>
      <c r="W545">
        <v>62.143000000000001</v>
      </c>
      <c r="AA545">
        <v>66.400000000000006</v>
      </c>
      <c r="AC545" t="s">
        <v>128</v>
      </c>
      <c r="AD545" t="s">
        <v>208</v>
      </c>
      <c r="AE545" t="s">
        <v>218</v>
      </c>
      <c r="AF545">
        <v>7</v>
      </c>
      <c r="AG545">
        <v>4</v>
      </c>
      <c r="AH545">
        <v>1</v>
      </c>
      <c r="AI545" t="s">
        <v>213</v>
      </c>
      <c r="AJ545">
        <v>3</v>
      </c>
      <c r="AK545">
        <v>2</v>
      </c>
    </row>
    <row r="546" spans="1:37" x14ac:dyDescent="0.3">
      <c r="B546" t="s">
        <v>217</v>
      </c>
      <c r="C546">
        <v>116</v>
      </c>
      <c r="D546">
        <v>20</v>
      </c>
      <c r="E546">
        <v>25</v>
      </c>
      <c r="F546">
        <v>150</v>
      </c>
      <c r="G546">
        <v>11.410005023056907</v>
      </c>
      <c r="H546">
        <v>55</v>
      </c>
      <c r="I546">
        <v>75</v>
      </c>
      <c r="J546">
        <v>36</v>
      </c>
      <c r="K546" s="8">
        <v>4.78</v>
      </c>
      <c r="L546">
        <v>9.5783000000000005</v>
      </c>
      <c r="M546">
        <f t="shared" si="7"/>
        <v>13.432500000000005</v>
      </c>
      <c r="N546">
        <v>5.2</v>
      </c>
      <c r="O546" s="10">
        <v>68.16</v>
      </c>
      <c r="P546" s="8">
        <v>2.0131999999999999</v>
      </c>
      <c r="Q546" s="8">
        <v>3.056</v>
      </c>
      <c r="R546" s="8">
        <v>0</v>
      </c>
      <c r="S546" t="s">
        <v>68</v>
      </c>
      <c r="T546">
        <v>51.283999999999999</v>
      </c>
      <c r="U546">
        <v>8.1020000000000003</v>
      </c>
      <c r="V546">
        <v>33.159999999999997</v>
      </c>
      <c r="W546">
        <v>62.75</v>
      </c>
      <c r="AA546">
        <v>66.72</v>
      </c>
      <c r="AC546" t="s">
        <v>128</v>
      </c>
      <c r="AD546" t="s">
        <v>208</v>
      </c>
      <c r="AE546" t="s">
        <v>218</v>
      </c>
      <c r="AF546">
        <v>8</v>
      </c>
      <c r="AG546">
        <v>4</v>
      </c>
      <c r="AH546">
        <v>1</v>
      </c>
      <c r="AI546" t="s">
        <v>213</v>
      </c>
      <c r="AJ546">
        <v>3</v>
      </c>
      <c r="AK546">
        <v>1</v>
      </c>
    </row>
    <row r="548" spans="1:37" x14ac:dyDescent="0.3">
      <c r="A548" s="2" t="s">
        <v>199</v>
      </c>
      <c r="B548" t="s">
        <v>102</v>
      </c>
      <c r="C548">
        <v>121</v>
      </c>
      <c r="D548">
        <v>20</v>
      </c>
      <c r="E548">
        <v>10</v>
      </c>
      <c r="F548">
        <v>150</v>
      </c>
      <c r="G548">
        <v>15.543519167316846</v>
      </c>
      <c r="H548">
        <v>32</v>
      </c>
      <c r="I548">
        <v>75</v>
      </c>
      <c r="J548">
        <v>0</v>
      </c>
      <c r="K548" s="8">
        <v>6.48</v>
      </c>
      <c r="L548">
        <v>9.5719999999999992</v>
      </c>
      <c r="M548">
        <f t="shared" si="7"/>
        <v>17.151999999999987</v>
      </c>
      <c r="N548">
        <v>1.1200000000000001</v>
      </c>
      <c r="O548" s="8">
        <v>4.0469999999999997</v>
      </c>
      <c r="P548" s="8">
        <v>1.256</v>
      </c>
      <c r="Q548" s="8">
        <v>2.89</v>
      </c>
      <c r="R548" s="8">
        <v>0</v>
      </c>
      <c r="S548" t="s">
        <v>68</v>
      </c>
      <c r="T548">
        <v>52.9</v>
      </c>
      <c r="U548">
        <v>6.17</v>
      </c>
      <c r="V548">
        <v>40.54</v>
      </c>
      <c r="W548">
        <v>66.95</v>
      </c>
      <c r="X548">
        <v>0.30669999999999997</v>
      </c>
      <c r="Y548">
        <v>21.947619047619</v>
      </c>
      <c r="Z548">
        <v>0</v>
      </c>
      <c r="AA548">
        <v>68.010000000000005</v>
      </c>
      <c r="AC548" t="s">
        <v>128</v>
      </c>
      <c r="AD548" t="s">
        <v>125</v>
      </c>
      <c r="AE548" t="s">
        <v>128</v>
      </c>
      <c r="AF548">
        <v>7</v>
      </c>
      <c r="AG548">
        <v>7</v>
      </c>
      <c r="AH548">
        <v>8</v>
      </c>
      <c r="AI548">
        <v>8</v>
      </c>
      <c r="AJ548">
        <v>7</v>
      </c>
      <c r="AK548">
        <v>7</v>
      </c>
    </row>
    <row r="549" spans="1:37" x14ac:dyDescent="0.3">
      <c r="B549" t="s">
        <v>102</v>
      </c>
      <c r="C549">
        <v>121</v>
      </c>
      <c r="D549">
        <v>20</v>
      </c>
      <c r="E549">
        <v>10</v>
      </c>
      <c r="F549">
        <v>150</v>
      </c>
      <c r="G549">
        <v>15.543519167316846</v>
      </c>
      <c r="H549">
        <v>32</v>
      </c>
      <c r="I549">
        <v>75</v>
      </c>
      <c r="J549">
        <v>0</v>
      </c>
      <c r="K549" s="8">
        <v>6.5</v>
      </c>
      <c r="L549">
        <v>9.4268999999999998</v>
      </c>
      <c r="M549">
        <f t="shared" si="7"/>
        <v>15.986100000000008</v>
      </c>
      <c r="N549">
        <v>2.4</v>
      </c>
      <c r="O549" s="8">
        <v>5.87</v>
      </c>
      <c r="P549" s="8">
        <v>0.96299999999999997</v>
      </c>
      <c r="Q549" s="8">
        <v>2.9630000000000001</v>
      </c>
      <c r="R549" s="8">
        <v>0</v>
      </c>
      <c r="S549" t="s">
        <v>68</v>
      </c>
      <c r="T549">
        <v>52.92</v>
      </c>
      <c r="U549">
        <v>6.16</v>
      </c>
      <c r="V549">
        <v>40.54</v>
      </c>
      <c r="W549">
        <v>66.95</v>
      </c>
      <c r="X549">
        <v>0.20489523809523799</v>
      </c>
      <c r="Y549">
        <v>20.290476190476198</v>
      </c>
      <c r="Z549">
        <v>0</v>
      </c>
      <c r="AA549">
        <v>68.260999999999996</v>
      </c>
      <c r="AC549" t="s">
        <v>128</v>
      </c>
      <c r="AD549" t="s">
        <v>125</v>
      </c>
      <c r="AE549" t="s">
        <v>128</v>
      </c>
      <c r="AF549">
        <v>8</v>
      </c>
      <c r="AG549">
        <v>8</v>
      </c>
      <c r="AH549">
        <v>9</v>
      </c>
      <c r="AI549">
        <v>7</v>
      </c>
      <c r="AJ549">
        <v>8</v>
      </c>
      <c r="AK549">
        <v>8</v>
      </c>
    </row>
    <row r="550" spans="1:37" x14ac:dyDescent="0.3">
      <c r="B550" t="s">
        <v>102</v>
      </c>
      <c r="C550">
        <v>121</v>
      </c>
      <c r="D550">
        <v>20</v>
      </c>
      <c r="E550">
        <v>10</v>
      </c>
      <c r="F550">
        <v>150</v>
      </c>
      <c r="G550">
        <v>15.543519167316846</v>
      </c>
      <c r="H550">
        <v>32</v>
      </c>
      <c r="I550">
        <v>75</v>
      </c>
      <c r="J550">
        <v>0</v>
      </c>
      <c r="K550" s="8">
        <v>6.51</v>
      </c>
      <c r="L550">
        <v>4.6816000000000004</v>
      </c>
      <c r="M550">
        <f t="shared" si="7"/>
        <v>20.9435</v>
      </c>
      <c r="N550">
        <v>1.3</v>
      </c>
      <c r="O550" s="8">
        <v>4.07</v>
      </c>
      <c r="P550" s="8">
        <v>2.0449999999999999</v>
      </c>
      <c r="Q550" s="8">
        <v>2.7898999999999998</v>
      </c>
      <c r="R550" s="8">
        <v>0</v>
      </c>
      <c r="S550" t="s">
        <v>68</v>
      </c>
      <c r="T550">
        <v>52.91</v>
      </c>
      <c r="U550">
        <v>6.17</v>
      </c>
      <c r="V550">
        <v>40.53</v>
      </c>
      <c r="W550">
        <v>66.930000000000007</v>
      </c>
      <c r="X550">
        <v>0.103066666666666</v>
      </c>
      <c r="Y550">
        <v>18.633333333333301</v>
      </c>
      <c r="Z550">
        <v>0</v>
      </c>
      <c r="AA550">
        <v>68.239999999999995</v>
      </c>
      <c r="AC550" t="s">
        <v>128</v>
      </c>
      <c r="AD550" t="s">
        <v>125</v>
      </c>
      <c r="AE550" t="s">
        <v>128</v>
      </c>
      <c r="AF550">
        <v>7</v>
      </c>
      <c r="AG550">
        <v>9</v>
      </c>
      <c r="AH550">
        <v>5</v>
      </c>
      <c r="AI550">
        <v>5</v>
      </c>
      <c r="AJ550">
        <v>8</v>
      </c>
      <c r="AK550">
        <v>7</v>
      </c>
    </row>
    <row r="551" spans="1:37" x14ac:dyDescent="0.3">
      <c r="B551" t="s">
        <v>103</v>
      </c>
      <c r="C551">
        <v>121</v>
      </c>
      <c r="D551">
        <v>20</v>
      </c>
      <c r="E551">
        <v>10</v>
      </c>
      <c r="F551">
        <v>150</v>
      </c>
      <c r="G551">
        <v>15.543519167316846</v>
      </c>
      <c r="H551">
        <v>32</v>
      </c>
      <c r="I551">
        <v>75</v>
      </c>
      <c r="J551">
        <v>0</v>
      </c>
      <c r="K551" s="8">
        <v>7.19</v>
      </c>
      <c r="L551">
        <v>8.1152999999999995</v>
      </c>
      <c r="M551">
        <f t="shared" si="7"/>
        <v>16.485699999999994</v>
      </c>
      <c r="N551">
        <v>1.8</v>
      </c>
      <c r="O551" s="8">
        <v>5.73</v>
      </c>
      <c r="P551" s="8">
        <v>1.679</v>
      </c>
      <c r="Q551" s="8">
        <v>3.56</v>
      </c>
      <c r="R551" s="8">
        <v>0</v>
      </c>
      <c r="S551" t="s">
        <v>68</v>
      </c>
      <c r="T551">
        <v>52.92</v>
      </c>
      <c r="U551">
        <v>6.1666666666666696</v>
      </c>
      <c r="V551">
        <v>40.526666666666699</v>
      </c>
      <c r="W551">
        <v>66.923333333333403</v>
      </c>
      <c r="X551">
        <v>5.0000000000000001E-3</v>
      </c>
      <c r="Y551">
        <v>15.9</v>
      </c>
      <c r="Z551">
        <v>0</v>
      </c>
      <c r="AA551">
        <v>68.36</v>
      </c>
      <c r="AC551" t="s">
        <v>128</v>
      </c>
      <c r="AD551" t="s">
        <v>125</v>
      </c>
      <c r="AE551" t="s">
        <v>128</v>
      </c>
      <c r="AF551">
        <v>8</v>
      </c>
      <c r="AG551">
        <v>8</v>
      </c>
      <c r="AH551">
        <v>6</v>
      </c>
      <c r="AI551">
        <v>8</v>
      </c>
      <c r="AJ551">
        <v>5</v>
      </c>
      <c r="AK551">
        <v>8</v>
      </c>
    </row>
    <row r="552" spans="1:37" x14ac:dyDescent="0.3">
      <c r="B552" t="s">
        <v>103</v>
      </c>
      <c r="C552">
        <v>121</v>
      </c>
      <c r="D552">
        <v>20</v>
      </c>
      <c r="E552">
        <v>10</v>
      </c>
      <c r="F552">
        <v>150</v>
      </c>
      <c r="G552">
        <v>15.543519167316846</v>
      </c>
      <c r="H552">
        <v>32</v>
      </c>
      <c r="I552">
        <v>75</v>
      </c>
      <c r="J552">
        <v>0</v>
      </c>
      <c r="K552" s="8">
        <v>6.99</v>
      </c>
      <c r="L552">
        <v>8.2154000000000007</v>
      </c>
      <c r="M552">
        <f t="shared" si="7"/>
        <v>14.371600000000001</v>
      </c>
      <c r="N552">
        <v>3.8</v>
      </c>
      <c r="O552" s="8">
        <v>5.55</v>
      </c>
      <c r="P552" s="8">
        <v>1.2130000000000001</v>
      </c>
      <c r="Q552" s="8">
        <v>4.1589999999999998</v>
      </c>
      <c r="R552" s="8">
        <v>0</v>
      </c>
      <c r="S552" t="s">
        <v>68</v>
      </c>
      <c r="T552">
        <v>52.924999999999997</v>
      </c>
      <c r="U552">
        <v>6.1666666666666696</v>
      </c>
      <c r="V552">
        <v>40.521666666666697</v>
      </c>
      <c r="W552">
        <v>66.913333333333398</v>
      </c>
      <c r="X552">
        <v>5.0000000000000001E-3</v>
      </c>
      <c r="Y552">
        <v>16.2</v>
      </c>
      <c r="Z552">
        <v>-2</v>
      </c>
      <c r="AA552">
        <v>68.241</v>
      </c>
      <c r="AC552" t="s">
        <v>128</v>
      </c>
      <c r="AD552" t="s">
        <v>125</v>
      </c>
      <c r="AE552" t="s">
        <v>128</v>
      </c>
      <c r="AF552">
        <v>7</v>
      </c>
      <c r="AG552">
        <v>5</v>
      </c>
      <c r="AH552">
        <v>8</v>
      </c>
      <c r="AI552">
        <v>5</v>
      </c>
      <c r="AJ552">
        <v>6</v>
      </c>
      <c r="AK552">
        <v>5</v>
      </c>
    </row>
    <row r="553" spans="1:37" x14ac:dyDescent="0.3">
      <c r="B553" t="s">
        <v>103</v>
      </c>
      <c r="C553">
        <v>121</v>
      </c>
      <c r="D553">
        <v>20</v>
      </c>
      <c r="E553">
        <v>10</v>
      </c>
      <c r="F553">
        <v>150</v>
      </c>
      <c r="G553">
        <v>15.543519167316846</v>
      </c>
      <c r="H553">
        <v>32</v>
      </c>
      <c r="I553">
        <v>75</v>
      </c>
      <c r="J553">
        <v>0</v>
      </c>
      <c r="K553" s="8">
        <v>6.97</v>
      </c>
      <c r="L553">
        <v>8.0163200000000003</v>
      </c>
      <c r="M553">
        <f t="shared" si="7"/>
        <v>17.58908000000001</v>
      </c>
      <c r="N553">
        <v>1.2</v>
      </c>
      <c r="O553" s="8">
        <v>4.87</v>
      </c>
      <c r="P553" s="8">
        <v>1.0546</v>
      </c>
      <c r="Q553" s="8">
        <v>3.7850000000000001</v>
      </c>
      <c r="R553" s="8">
        <v>0</v>
      </c>
      <c r="S553" t="s">
        <v>68</v>
      </c>
      <c r="T553">
        <v>52.93</v>
      </c>
      <c r="U553">
        <v>6.1666666666666696</v>
      </c>
      <c r="V553">
        <v>40.516666666666701</v>
      </c>
      <c r="W553">
        <v>66.903333333333407</v>
      </c>
      <c r="X553">
        <v>0.01</v>
      </c>
      <c r="Y553">
        <v>16.2</v>
      </c>
      <c r="Z553">
        <v>-2</v>
      </c>
      <c r="AA553">
        <v>68.355000000000004</v>
      </c>
      <c r="AC553" t="s">
        <v>128</v>
      </c>
      <c r="AD553" t="s">
        <v>125</v>
      </c>
      <c r="AE553" t="s">
        <v>128</v>
      </c>
      <c r="AF553">
        <v>8</v>
      </c>
      <c r="AG553">
        <v>8</v>
      </c>
      <c r="AH553">
        <v>5</v>
      </c>
      <c r="AI553">
        <v>8</v>
      </c>
      <c r="AJ553">
        <v>5</v>
      </c>
      <c r="AK553">
        <v>6</v>
      </c>
    </row>
    <row r="554" spans="1:37" x14ac:dyDescent="0.3">
      <c r="B554" t="s">
        <v>104</v>
      </c>
      <c r="C554">
        <v>121</v>
      </c>
      <c r="D554">
        <v>20</v>
      </c>
      <c r="E554">
        <v>10</v>
      </c>
      <c r="F554">
        <v>150</v>
      </c>
      <c r="G554">
        <v>15.543519167316846</v>
      </c>
      <c r="H554">
        <v>32</v>
      </c>
      <c r="I554">
        <v>75</v>
      </c>
      <c r="J554">
        <v>0</v>
      </c>
      <c r="K554" s="8">
        <v>6.69</v>
      </c>
      <c r="L554">
        <v>4.5609000000000002</v>
      </c>
      <c r="M554">
        <f t="shared" si="7"/>
        <v>24.039099999999991</v>
      </c>
      <c r="N554">
        <v>1.5</v>
      </c>
      <c r="O554" s="8">
        <v>5.89</v>
      </c>
      <c r="P554" s="8">
        <v>1.78</v>
      </c>
      <c r="R554" s="8">
        <v>0</v>
      </c>
      <c r="S554" t="s">
        <v>68</v>
      </c>
      <c r="T554">
        <v>52.935000000000002</v>
      </c>
      <c r="U554">
        <v>6.1666666666666696</v>
      </c>
      <c r="V554">
        <v>40.511666666666699</v>
      </c>
      <c r="W554">
        <v>66.893333333333402</v>
      </c>
      <c r="X554">
        <v>0.747</v>
      </c>
      <c r="Y554">
        <v>9.5</v>
      </c>
      <c r="Z554">
        <v>-2</v>
      </c>
      <c r="AA554">
        <v>68.12</v>
      </c>
      <c r="AC554" t="s">
        <v>128</v>
      </c>
      <c r="AD554" t="s">
        <v>125</v>
      </c>
      <c r="AE554" t="s">
        <v>128</v>
      </c>
      <c r="AF554">
        <v>7</v>
      </c>
      <c r="AG554">
        <v>6</v>
      </c>
      <c r="AH554">
        <v>6</v>
      </c>
      <c r="AI554">
        <v>6</v>
      </c>
      <c r="AJ554">
        <v>5</v>
      </c>
      <c r="AK554">
        <v>6</v>
      </c>
    </row>
    <row r="555" spans="1:37" x14ac:dyDescent="0.3">
      <c r="B555" t="s">
        <v>104</v>
      </c>
      <c r="C555">
        <v>121</v>
      </c>
      <c r="D555">
        <v>20</v>
      </c>
      <c r="E555">
        <v>10</v>
      </c>
      <c r="F555">
        <v>150</v>
      </c>
      <c r="G555">
        <v>15.543519167316846</v>
      </c>
      <c r="H555">
        <v>32</v>
      </c>
      <c r="I555">
        <v>75</v>
      </c>
      <c r="J555">
        <v>0</v>
      </c>
      <c r="K555" s="8">
        <v>6.45</v>
      </c>
      <c r="L555">
        <v>4.0948000000000002</v>
      </c>
      <c r="M555">
        <f t="shared" si="7"/>
        <v>24.395199999999988</v>
      </c>
      <c r="N555">
        <v>2.5</v>
      </c>
      <c r="O555" s="8">
        <v>4.79</v>
      </c>
      <c r="P555" s="8">
        <v>1</v>
      </c>
      <c r="R555" s="8">
        <v>0</v>
      </c>
      <c r="S555" t="s">
        <v>68</v>
      </c>
      <c r="T555">
        <v>52.94</v>
      </c>
      <c r="U555">
        <v>6.1666666666666696</v>
      </c>
      <c r="V555">
        <v>40.506666666666703</v>
      </c>
      <c r="W555">
        <v>66.883333333333397</v>
      </c>
      <c r="X555">
        <v>0.44900000000000001</v>
      </c>
      <c r="Y555">
        <v>9.6</v>
      </c>
      <c r="Z555">
        <v>-5</v>
      </c>
      <c r="AA555">
        <v>68.010000000000005</v>
      </c>
      <c r="AC555" t="s">
        <v>128</v>
      </c>
      <c r="AD555" t="s">
        <v>125</v>
      </c>
      <c r="AE555" t="s">
        <v>128</v>
      </c>
      <c r="AF555">
        <v>5</v>
      </c>
      <c r="AG555">
        <v>5</v>
      </c>
      <c r="AH555">
        <v>9</v>
      </c>
      <c r="AI555">
        <v>5</v>
      </c>
      <c r="AJ555">
        <v>8</v>
      </c>
      <c r="AK555">
        <v>5</v>
      </c>
    </row>
    <row r="556" spans="1:37" x14ac:dyDescent="0.3">
      <c r="B556" t="s">
        <v>104</v>
      </c>
      <c r="C556">
        <v>121</v>
      </c>
      <c r="D556">
        <v>20</v>
      </c>
      <c r="E556">
        <v>10</v>
      </c>
      <c r="F556">
        <v>150</v>
      </c>
      <c r="G556">
        <v>15.543519167316846</v>
      </c>
      <c r="H556">
        <v>32</v>
      </c>
      <c r="I556">
        <v>75</v>
      </c>
      <c r="J556">
        <v>0</v>
      </c>
      <c r="K556" s="8">
        <v>6.47</v>
      </c>
      <c r="L556">
        <v>4.0537000000000001</v>
      </c>
      <c r="M556">
        <f t="shared" si="7"/>
        <v>24.326299999999989</v>
      </c>
      <c r="N556">
        <v>2.6</v>
      </c>
      <c r="O556" s="8">
        <v>4.79</v>
      </c>
      <c r="P556" s="8">
        <v>1.01</v>
      </c>
      <c r="R556" s="8">
        <v>0</v>
      </c>
      <c r="S556" t="s">
        <v>68</v>
      </c>
      <c r="T556">
        <v>52.945</v>
      </c>
      <c r="U556">
        <v>6.1666666666666696</v>
      </c>
      <c r="V556">
        <v>40.501666666666701</v>
      </c>
      <c r="W556">
        <v>66.873333333333406</v>
      </c>
      <c r="X556">
        <v>0.30399999999999999</v>
      </c>
      <c r="Y556">
        <v>9.6</v>
      </c>
      <c r="Z556">
        <v>-5</v>
      </c>
      <c r="AA556">
        <v>68.010000000000005</v>
      </c>
      <c r="AC556" t="s">
        <v>128</v>
      </c>
      <c r="AD556" t="s">
        <v>125</v>
      </c>
      <c r="AE556" t="s">
        <v>128</v>
      </c>
      <c r="AF556">
        <v>8</v>
      </c>
      <c r="AG556">
        <v>8</v>
      </c>
      <c r="AH556">
        <v>5</v>
      </c>
      <c r="AI556">
        <v>8</v>
      </c>
      <c r="AJ556">
        <v>7</v>
      </c>
      <c r="AK556">
        <v>6</v>
      </c>
    </row>
    <row r="557" spans="1:37" x14ac:dyDescent="0.3">
      <c r="B557" t="s">
        <v>105</v>
      </c>
      <c r="C557">
        <v>0</v>
      </c>
      <c r="D557">
        <v>0</v>
      </c>
      <c r="E557">
        <v>0</v>
      </c>
      <c r="F557">
        <v>150</v>
      </c>
      <c r="G557">
        <v>0</v>
      </c>
      <c r="H557">
        <v>32</v>
      </c>
      <c r="I557">
        <v>75</v>
      </c>
      <c r="J557">
        <v>0</v>
      </c>
      <c r="K557" s="8">
        <v>6.77</v>
      </c>
      <c r="L557">
        <v>8.7406000000000006</v>
      </c>
      <c r="M557">
        <f t="shared" si="7"/>
        <v>17.558799999999991</v>
      </c>
      <c r="N557">
        <v>2.2000000000000002</v>
      </c>
      <c r="O557" s="8">
        <v>3.78</v>
      </c>
      <c r="P557" s="8">
        <v>0.45500000000000002</v>
      </c>
      <c r="Q557" s="8">
        <v>2.8456000000000001</v>
      </c>
      <c r="R557" s="8">
        <v>0</v>
      </c>
      <c r="S557" t="s">
        <v>127</v>
      </c>
      <c r="T557">
        <v>54.08</v>
      </c>
      <c r="U557">
        <v>7.58</v>
      </c>
      <c r="V557">
        <v>51.06</v>
      </c>
      <c r="W557">
        <v>74.760000000000005</v>
      </c>
      <c r="X557">
        <v>19.100000000000001</v>
      </c>
      <c r="Y557">
        <v>0.5</v>
      </c>
      <c r="Z557">
        <v>0</v>
      </c>
      <c r="AA557">
        <v>68.2</v>
      </c>
      <c r="AC557" t="s">
        <v>128</v>
      </c>
      <c r="AD557" t="s">
        <v>125</v>
      </c>
      <c r="AE557" t="s">
        <v>128</v>
      </c>
      <c r="AF557">
        <v>8</v>
      </c>
      <c r="AG557">
        <v>8</v>
      </c>
      <c r="AH557">
        <v>8</v>
      </c>
      <c r="AI557">
        <v>8</v>
      </c>
      <c r="AJ557">
        <v>8</v>
      </c>
      <c r="AK557">
        <v>8</v>
      </c>
    </row>
    <row r="558" spans="1:37" x14ac:dyDescent="0.3">
      <c r="B558" t="s">
        <v>105</v>
      </c>
      <c r="C558">
        <v>0</v>
      </c>
      <c r="D558">
        <v>0</v>
      </c>
      <c r="E558">
        <v>0</v>
      </c>
      <c r="F558">
        <v>150</v>
      </c>
      <c r="G558">
        <v>0</v>
      </c>
      <c r="H558">
        <v>32</v>
      </c>
      <c r="I558">
        <v>75</v>
      </c>
      <c r="J558">
        <v>0</v>
      </c>
      <c r="K558" s="8">
        <v>6.92</v>
      </c>
      <c r="L558">
        <v>8.6580999999999992</v>
      </c>
      <c r="M558">
        <f t="shared" si="7"/>
        <v>14.570939999999993</v>
      </c>
      <c r="N558">
        <v>4.3</v>
      </c>
      <c r="O558" s="8">
        <v>4.72</v>
      </c>
      <c r="P558" s="8">
        <v>8.8959999999999997E-2</v>
      </c>
      <c r="Q558" s="8">
        <v>4.1559999999999997</v>
      </c>
      <c r="R558" s="8">
        <f>LOG10(248*(10^2))</f>
        <v>4.394451680826216</v>
      </c>
      <c r="S558" t="s">
        <v>127</v>
      </c>
      <c r="T558">
        <v>54.07</v>
      </c>
      <c r="U558">
        <v>7.57</v>
      </c>
      <c r="V558">
        <v>51.12</v>
      </c>
      <c r="W558">
        <v>74.790000000000006</v>
      </c>
      <c r="X558">
        <v>19</v>
      </c>
      <c r="Y558">
        <v>0.3</v>
      </c>
      <c r="Z558">
        <v>0</v>
      </c>
      <c r="AA558">
        <v>68.225999999999999</v>
      </c>
      <c r="AC558" t="s">
        <v>128</v>
      </c>
      <c r="AD558" t="s">
        <v>125</v>
      </c>
      <c r="AE558" t="s">
        <v>128</v>
      </c>
      <c r="AF558">
        <v>7</v>
      </c>
      <c r="AG558">
        <v>9</v>
      </c>
      <c r="AH558">
        <v>9</v>
      </c>
      <c r="AI558">
        <v>9</v>
      </c>
      <c r="AJ558">
        <v>9</v>
      </c>
      <c r="AK558">
        <v>9</v>
      </c>
    </row>
    <row r="559" spans="1:37" x14ac:dyDescent="0.3">
      <c r="B559" t="s">
        <v>105</v>
      </c>
      <c r="C559">
        <v>0</v>
      </c>
      <c r="D559">
        <v>0</v>
      </c>
      <c r="E559">
        <v>0</v>
      </c>
      <c r="F559">
        <v>150</v>
      </c>
      <c r="G559">
        <v>0</v>
      </c>
      <c r="H559">
        <v>32</v>
      </c>
      <c r="I559">
        <v>75</v>
      </c>
      <c r="J559">
        <v>0</v>
      </c>
      <c r="K559" s="8">
        <v>7.11</v>
      </c>
      <c r="L559">
        <v>8.8691999999999993</v>
      </c>
      <c r="M559">
        <f t="shared" si="7"/>
        <v>16.020800000000008</v>
      </c>
      <c r="N559">
        <v>3.8</v>
      </c>
      <c r="O559" s="8">
        <v>3.12</v>
      </c>
      <c r="P559" s="8">
        <v>0.89</v>
      </c>
      <c r="Q559" s="8">
        <v>2.16</v>
      </c>
      <c r="R559" s="8">
        <f>LOG10(257*(10^2))</f>
        <v>4.4099331233312942</v>
      </c>
      <c r="S559" t="s">
        <v>127</v>
      </c>
      <c r="T559">
        <v>54.09</v>
      </c>
      <c r="U559">
        <v>7.56</v>
      </c>
      <c r="V559">
        <v>51.12</v>
      </c>
      <c r="W559">
        <v>74.81</v>
      </c>
      <c r="X559">
        <v>19</v>
      </c>
      <c r="Y559">
        <v>0.3</v>
      </c>
      <c r="Z559">
        <v>-1</v>
      </c>
      <c r="AA559">
        <v>68.260000000000005</v>
      </c>
      <c r="AC559" t="s">
        <v>128</v>
      </c>
      <c r="AD559" t="s">
        <v>125</v>
      </c>
      <c r="AE559" t="s">
        <v>128</v>
      </c>
      <c r="AF559">
        <v>9</v>
      </c>
      <c r="AG559">
        <v>8</v>
      </c>
      <c r="AH559">
        <v>8</v>
      </c>
      <c r="AI559">
        <v>8</v>
      </c>
      <c r="AJ559">
        <v>8</v>
      </c>
      <c r="AK559">
        <v>8</v>
      </c>
    </row>
    <row r="560" spans="1:37" x14ac:dyDescent="0.3">
      <c r="B560" t="s">
        <v>105</v>
      </c>
      <c r="C560">
        <v>0</v>
      </c>
      <c r="D560">
        <v>0</v>
      </c>
      <c r="E560">
        <v>0</v>
      </c>
      <c r="F560">
        <v>150</v>
      </c>
      <c r="G560">
        <v>0</v>
      </c>
      <c r="H560">
        <v>32</v>
      </c>
      <c r="I560">
        <v>75</v>
      </c>
      <c r="J560">
        <v>0</v>
      </c>
      <c r="K560" s="8">
        <v>7.17</v>
      </c>
      <c r="L560">
        <v>16.113800000000001</v>
      </c>
      <c r="M560">
        <f t="shared" si="7"/>
        <v>17.906199999999984</v>
      </c>
      <c r="N560">
        <v>2.4</v>
      </c>
      <c r="O560" s="8">
        <v>3.5</v>
      </c>
      <c r="P560" s="8">
        <v>0.59</v>
      </c>
      <c r="R560" s="8">
        <f>LOG10(147*(10^2))</f>
        <v>4.1673173347481764</v>
      </c>
      <c r="S560" t="s">
        <v>127</v>
      </c>
      <c r="T560">
        <v>54.09</v>
      </c>
      <c r="U560">
        <v>7.55</v>
      </c>
      <c r="V560">
        <v>51.16</v>
      </c>
      <c r="W560">
        <v>74.836666666666702</v>
      </c>
      <c r="X560">
        <v>19.100000000000001</v>
      </c>
      <c r="Y560">
        <v>0.5</v>
      </c>
      <c r="Z560">
        <v>0</v>
      </c>
      <c r="AA560">
        <v>62.99</v>
      </c>
      <c r="AC560" t="s">
        <v>128</v>
      </c>
      <c r="AD560" t="s">
        <v>125</v>
      </c>
      <c r="AE560" t="s">
        <v>128</v>
      </c>
      <c r="AF560">
        <v>9</v>
      </c>
      <c r="AG560">
        <v>7</v>
      </c>
      <c r="AH560">
        <v>9</v>
      </c>
      <c r="AI560">
        <v>9</v>
      </c>
      <c r="AJ560">
        <v>7</v>
      </c>
      <c r="AK560">
        <v>7</v>
      </c>
    </row>
    <row r="561" spans="2:37" x14ac:dyDescent="0.3">
      <c r="B561" t="s">
        <v>105</v>
      </c>
      <c r="C561">
        <v>0</v>
      </c>
      <c r="D561">
        <v>0</v>
      </c>
      <c r="E561">
        <v>0</v>
      </c>
      <c r="F561">
        <v>150</v>
      </c>
      <c r="G561">
        <v>0</v>
      </c>
      <c r="H561">
        <v>32</v>
      </c>
      <c r="I561">
        <v>75</v>
      </c>
      <c r="J561">
        <v>0</v>
      </c>
      <c r="K561" s="8">
        <v>6.82</v>
      </c>
      <c r="L561">
        <v>15.2849</v>
      </c>
      <c r="M561">
        <f t="shared" si="7"/>
        <v>19.621100000000013</v>
      </c>
      <c r="N561">
        <v>2.1</v>
      </c>
      <c r="O561" s="8">
        <v>3.3</v>
      </c>
      <c r="P561" s="8">
        <v>0.69499999999999995</v>
      </c>
      <c r="R561" s="8">
        <f>LOG10(125*(10^2))</f>
        <v>4.0969100130080562</v>
      </c>
      <c r="S561" t="s">
        <v>127</v>
      </c>
      <c r="T561">
        <v>54.094999999999999</v>
      </c>
      <c r="U561">
        <v>7.54</v>
      </c>
      <c r="V561">
        <v>51.19</v>
      </c>
      <c r="W561">
        <v>74.861666666666693</v>
      </c>
      <c r="X561">
        <v>19</v>
      </c>
      <c r="Y561">
        <v>0.3</v>
      </c>
      <c r="Z561">
        <v>0</v>
      </c>
      <c r="AA561">
        <v>62.298999999999999</v>
      </c>
      <c r="AC561" t="s">
        <v>128</v>
      </c>
      <c r="AD561" t="s">
        <v>125</v>
      </c>
      <c r="AE561" t="s">
        <v>128</v>
      </c>
      <c r="AF561">
        <v>9</v>
      </c>
      <c r="AG561">
        <v>8</v>
      </c>
      <c r="AH561">
        <v>8</v>
      </c>
      <c r="AI561">
        <v>7</v>
      </c>
      <c r="AJ561">
        <v>8</v>
      </c>
      <c r="AK561">
        <v>8</v>
      </c>
    </row>
    <row r="562" spans="2:37" x14ac:dyDescent="0.3">
      <c r="B562" t="s">
        <v>105</v>
      </c>
      <c r="C562">
        <v>0</v>
      </c>
      <c r="D562">
        <v>0</v>
      </c>
      <c r="E562">
        <v>0</v>
      </c>
      <c r="F562">
        <v>150</v>
      </c>
      <c r="G562">
        <v>0</v>
      </c>
      <c r="H562">
        <v>32</v>
      </c>
      <c r="I562">
        <v>75</v>
      </c>
      <c r="J562">
        <v>0</v>
      </c>
      <c r="K562" s="8">
        <v>6.71</v>
      </c>
      <c r="L562">
        <v>16.638400000000001</v>
      </c>
      <c r="M562">
        <f t="shared" si="7"/>
        <v>17.572599999999994</v>
      </c>
      <c r="N562">
        <v>2.4</v>
      </c>
      <c r="O562" s="8">
        <v>3.2</v>
      </c>
      <c r="P562" s="8">
        <v>0.99</v>
      </c>
      <c r="R562" s="8">
        <f>LOG10(50*(10^2))</f>
        <v>3.6989700043360187</v>
      </c>
      <c r="S562" t="s">
        <v>127</v>
      </c>
      <c r="T562">
        <v>54.1</v>
      </c>
      <c r="U562">
        <v>7.53</v>
      </c>
      <c r="V562">
        <v>51.22</v>
      </c>
      <c r="W562">
        <v>74.886666666666699</v>
      </c>
      <c r="X562">
        <v>19</v>
      </c>
      <c r="Y562">
        <v>0.3</v>
      </c>
      <c r="Z562">
        <v>-1</v>
      </c>
      <c r="AA562">
        <v>62.399000000000001</v>
      </c>
      <c r="AC562" t="s">
        <v>128</v>
      </c>
      <c r="AD562" t="s">
        <v>125</v>
      </c>
      <c r="AE562" t="s">
        <v>128</v>
      </c>
      <c r="AF562">
        <v>9</v>
      </c>
      <c r="AG562">
        <v>9</v>
      </c>
      <c r="AH562">
        <v>7</v>
      </c>
      <c r="AI562">
        <v>8</v>
      </c>
      <c r="AJ562">
        <v>9</v>
      </c>
      <c r="AK562">
        <v>9</v>
      </c>
    </row>
    <row r="563" spans="2:37" x14ac:dyDescent="0.3">
      <c r="B563" t="s">
        <v>135</v>
      </c>
      <c r="C563">
        <v>121</v>
      </c>
      <c r="D563">
        <v>20</v>
      </c>
      <c r="E563">
        <v>10</v>
      </c>
      <c r="F563">
        <v>150</v>
      </c>
      <c r="G563">
        <v>15.543519167316846</v>
      </c>
      <c r="H563">
        <v>32</v>
      </c>
      <c r="I563">
        <v>75</v>
      </c>
      <c r="J563">
        <v>10</v>
      </c>
      <c r="K563" s="8">
        <v>6.6322857142857101</v>
      </c>
      <c r="N563">
        <v>1.33</v>
      </c>
      <c r="O563" s="8">
        <v>6.5</v>
      </c>
      <c r="R563" s="8">
        <v>0</v>
      </c>
      <c r="S563" t="s">
        <v>68</v>
      </c>
      <c r="AA563">
        <v>54.335714285714303</v>
      </c>
      <c r="AC563" t="s">
        <v>128</v>
      </c>
      <c r="AD563" t="s">
        <v>127</v>
      </c>
      <c r="AE563" t="s">
        <v>128</v>
      </c>
      <c r="AF563">
        <v>5</v>
      </c>
      <c r="AG563">
        <v>7</v>
      </c>
      <c r="AH563">
        <v>7</v>
      </c>
      <c r="AI563">
        <v>8</v>
      </c>
      <c r="AJ563">
        <v>7</v>
      </c>
      <c r="AK563">
        <v>7</v>
      </c>
    </row>
    <row r="564" spans="2:37" x14ac:dyDescent="0.3">
      <c r="B564" t="s">
        <v>135</v>
      </c>
      <c r="C564">
        <v>121</v>
      </c>
      <c r="D564">
        <v>20</v>
      </c>
      <c r="E564">
        <v>10</v>
      </c>
      <c r="F564">
        <v>150</v>
      </c>
      <c r="G564">
        <v>15.543519167316846</v>
      </c>
      <c r="H564">
        <v>32</v>
      </c>
      <c r="I564">
        <v>75</v>
      </c>
      <c r="J564">
        <v>10</v>
      </c>
      <c r="K564" s="8">
        <v>6.9775714285714301</v>
      </c>
      <c r="N564">
        <v>1.56</v>
      </c>
      <c r="O564" s="8">
        <v>6.9</v>
      </c>
      <c r="R564" s="8">
        <v>0</v>
      </c>
      <c r="S564" t="s">
        <v>68</v>
      </c>
      <c r="AA564">
        <v>54.362857142857102</v>
      </c>
      <c r="AC564" t="s">
        <v>128</v>
      </c>
      <c r="AD564" t="s">
        <v>127</v>
      </c>
      <c r="AE564" t="s">
        <v>128</v>
      </c>
      <c r="AF564">
        <v>8</v>
      </c>
      <c r="AG564">
        <v>8</v>
      </c>
      <c r="AH564">
        <v>8</v>
      </c>
      <c r="AI564">
        <v>7</v>
      </c>
      <c r="AJ564">
        <v>8</v>
      </c>
      <c r="AK564">
        <v>8</v>
      </c>
    </row>
    <row r="565" spans="2:37" x14ac:dyDescent="0.3">
      <c r="B565" t="s">
        <v>135</v>
      </c>
      <c r="C565">
        <v>121</v>
      </c>
      <c r="D565">
        <v>20</v>
      </c>
      <c r="E565">
        <v>10</v>
      </c>
      <c r="F565">
        <v>150</v>
      </c>
      <c r="G565">
        <v>15.543519167316846</v>
      </c>
      <c r="H565">
        <v>32</v>
      </c>
      <c r="I565">
        <v>75</v>
      </c>
      <c r="J565">
        <v>10</v>
      </c>
      <c r="K565" s="8">
        <v>6.9228571428571399</v>
      </c>
      <c r="N565">
        <v>1.27</v>
      </c>
      <c r="O565" s="8">
        <v>6.11</v>
      </c>
      <c r="R565" s="8">
        <v>0</v>
      </c>
      <c r="S565" t="s">
        <v>68</v>
      </c>
      <c r="AA565">
        <v>54.39</v>
      </c>
      <c r="AC565" t="s">
        <v>128</v>
      </c>
      <c r="AD565" t="s">
        <v>127</v>
      </c>
      <c r="AE565" t="s">
        <v>128</v>
      </c>
      <c r="AF565">
        <v>6</v>
      </c>
      <c r="AG565">
        <v>7</v>
      </c>
      <c r="AH565">
        <v>6</v>
      </c>
      <c r="AI565">
        <v>7</v>
      </c>
      <c r="AJ565">
        <v>7</v>
      </c>
      <c r="AK565">
        <v>7</v>
      </c>
    </row>
    <row r="566" spans="2:37" x14ac:dyDescent="0.3">
      <c r="B566" t="s">
        <v>139</v>
      </c>
      <c r="C566">
        <v>0</v>
      </c>
      <c r="D566">
        <v>0</v>
      </c>
      <c r="E566">
        <v>0</v>
      </c>
      <c r="F566">
        <v>150</v>
      </c>
      <c r="G566">
        <v>0</v>
      </c>
      <c r="H566">
        <v>32</v>
      </c>
      <c r="I566">
        <v>75</v>
      </c>
      <c r="J566">
        <v>10</v>
      </c>
      <c r="K566" s="8">
        <v>4.59</v>
      </c>
      <c r="N566">
        <v>1.89</v>
      </c>
      <c r="O566" s="8">
        <v>0.3</v>
      </c>
      <c r="R566" s="10">
        <f>LOG10(195*(10^7))</f>
        <v>9.2900346113625183</v>
      </c>
      <c r="S566" s="10" t="s">
        <v>97</v>
      </c>
      <c r="T566">
        <v>58.505000000000003</v>
      </c>
      <c r="U566">
        <v>6.8883333333333301</v>
      </c>
      <c r="V566">
        <v>52.928333333333299</v>
      </c>
      <c r="W566">
        <v>79.191666666666706</v>
      </c>
      <c r="X566">
        <v>0</v>
      </c>
      <c r="Y566">
        <v>38.3333333333333</v>
      </c>
      <c r="Z566">
        <v>2.6666666666666701</v>
      </c>
      <c r="AA566">
        <v>54.8</v>
      </c>
      <c r="AC566" t="s">
        <v>143</v>
      </c>
      <c r="AD566" t="s">
        <v>69</v>
      </c>
      <c r="AE566" t="s">
        <v>203</v>
      </c>
      <c r="AF566">
        <v>1</v>
      </c>
      <c r="AG566">
        <v>1</v>
      </c>
      <c r="AH566">
        <v>1</v>
      </c>
      <c r="AI566" t="s">
        <v>213</v>
      </c>
      <c r="AJ566">
        <v>4</v>
      </c>
      <c r="AK566">
        <v>1</v>
      </c>
    </row>
    <row r="567" spans="2:37" x14ac:dyDescent="0.3">
      <c r="B567" t="s">
        <v>139</v>
      </c>
      <c r="C567">
        <v>0</v>
      </c>
      <c r="D567">
        <v>0</v>
      </c>
      <c r="E567">
        <v>0</v>
      </c>
      <c r="F567">
        <v>150</v>
      </c>
      <c r="G567">
        <v>0</v>
      </c>
      <c r="H567">
        <v>32</v>
      </c>
      <c r="I567">
        <v>75</v>
      </c>
      <c r="J567">
        <v>10</v>
      </c>
      <c r="K567" s="8">
        <v>4.5999999999999996</v>
      </c>
      <c r="N567">
        <v>1.78</v>
      </c>
      <c r="O567" s="8">
        <v>16.3</v>
      </c>
      <c r="R567" s="10">
        <f>LOG10(298*(10^7))</f>
        <v>9.4742162640762544</v>
      </c>
      <c r="S567" s="10" t="s">
        <v>97</v>
      </c>
      <c r="T567">
        <v>58.52</v>
      </c>
      <c r="U567">
        <v>6.89333333333333</v>
      </c>
      <c r="V567">
        <v>52.853333333333303</v>
      </c>
      <c r="W567">
        <v>79.156666666666695</v>
      </c>
      <c r="X567">
        <v>0</v>
      </c>
      <c r="Y567">
        <v>38.483333333333299</v>
      </c>
      <c r="Z567">
        <v>2.1666666666666701</v>
      </c>
      <c r="AA567">
        <v>54.55</v>
      </c>
      <c r="AC567" t="s">
        <v>143</v>
      </c>
      <c r="AD567" t="s">
        <v>69</v>
      </c>
      <c r="AE567" t="s">
        <v>203</v>
      </c>
      <c r="AF567">
        <v>2</v>
      </c>
      <c r="AG567">
        <v>2</v>
      </c>
      <c r="AH567">
        <v>2</v>
      </c>
      <c r="AI567" t="s">
        <v>213</v>
      </c>
      <c r="AJ567">
        <v>2</v>
      </c>
      <c r="AK567">
        <v>2</v>
      </c>
    </row>
    <row r="568" spans="2:37" x14ac:dyDescent="0.3">
      <c r="B568" t="s">
        <v>139</v>
      </c>
      <c r="C568">
        <v>0</v>
      </c>
      <c r="D568">
        <v>0</v>
      </c>
      <c r="E568">
        <v>0</v>
      </c>
      <c r="F568">
        <v>150</v>
      </c>
      <c r="G568">
        <v>0</v>
      </c>
      <c r="H568">
        <v>32</v>
      </c>
      <c r="I568">
        <v>75</v>
      </c>
      <c r="J568">
        <v>10</v>
      </c>
      <c r="K568" s="8">
        <v>4.6100000000000003</v>
      </c>
      <c r="N568">
        <v>1.56</v>
      </c>
      <c r="O568" s="8">
        <v>15.8</v>
      </c>
      <c r="R568" s="10">
        <f>LOG10(295*(10^7))</f>
        <v>9.4698220159781634</v>
      </c>
      <c r="S568" s="10" t="s">
        <v>97</v>
      </c>
      <c r="T568">
        <v>58.534999999999997</v>
      </c>
      <c r="U568">
        <v>6.8983333333333299</v>
      </c>
      <c r="V568">
        <v>52.7783333333333</v>
      </c>
      <c r="W568">
        <v>79.121666666666698</v>
      </c>
      <c r="X568">
        <v>0</v>
      </c>
      <c r="Y568">
        <v>38.633333333333297</v>
      </c>
      <c r="Z568">
        <v>1.6666666666666701</v>
      </c>
      <c r="AA568">
        <v>53.45</v>
      </c>
      <c r="AC568" t="s">
        <v>143</v>
      </c>
      <c r="AD568" t="s">
        <v>69</v>
      </c>
      <c r="AE568" t="s">
        <v>203</v>
      </c>
      <c r="AF568">
        <v>1</v>
      </c>
      <c r="AG568">
        <v>1</v>
      </c>
      <c r="AH568">
        <v>1</v>
      </c>
      <c r="AI568" t="s">
        <v>213</v>
      </c>
      <c r="AJ568">
        <v>1</v>
      </c>
      <c r="AK568">
        <v>3</v>
      </c>
    </row>
    <row r="569" spans="2:37" x14ac:dyDescent="0.3">
      <c r="B569" t="s">
        <v>139</v>
      </c>
      <c r="C569">
        <v>0</v>
      </c>
      <c r="D569">
        <v>0</v>
      </c>
      <c r="E569">
        <v>0</v>
      </c>
      <c r="F569">
        <v>150</v>
      </c>
      <c r="G569">
        <v>0</v>
      </c>
      <c r="H569">
        <v>32</v>
      </c>
      <c r="I569">
        <v>75</v>
      </c>
      <c r="J569">
        <v>10</v>
      </c>
      <c r="K569" s="8">
        <v>4.62</v>
      </c>
      <c r="N569">
        <v>5.6</v>
      </c>
      <c r="O569" s="8">
        <v>6.9</v>
      </c>
      <c r="R569" s="10">
        <f>LOG10(87*(10^7))</f>
        <v>8.9395192526186182</v>
      </c>
      <c r="S569" s="10" t="s">
        <v>97</v>
      </c>
      <c r="T569">
        <v>58.55</v>
      </c>
      <c r="U569">
        <v>6.9033333333333298</v>
      </c>
      <c r="V569">
        <v>52.703333333333298</v>
      </c>
      <c r="W569">
        <v>79.086666666666702</v>
      </c>
      <c r="X569">
        <v>0</v>
      </c>
      <c r="Y569">
        <v>38.700000000000003</v>
      </c>
      <c r="Z569">
        <v>1</v>
      </c>
      <c r="AA569">
        <v>54.75</v>
      </c>
      <c r="AC569" t="s">
        <v>143</v>
      </c>
      <c r="AD569" t="s">
        <v>69</v>
      </c>
      <c r="AE569" t="s">
        <v>203</v>
      </c>
      <c r="AF569">
        <v>2</v>
      </c>
      <c r="AG569">
        <v>3</v>
      </c>
      <c r="AH569">
        <v>2</v>
      </c>
      <c r="AI569" t="s">
        <v>213</v>
      </c>
      <c r="AJ569">
        <v>1</v>
      </c>
      <c r="AK569">
        <v>2</v>
      </c>
    </row>
    <row r="570" spans="2:37" x14ac:dyDescent="0.3">
      <c r="B570" t="s">
        <v>139</v>
      </c>
      <c r="C570">
        <v>0</v>
      </c>
      <c r="D570">
        <v>0</v>
      </c>
      <c r="E570">
        <v>0</v>
      </c>
      <c r="F570">
        <v>150</v>
      </c>
      <c r="G570">
        <v>0</v>
      </c>
      <c r="H570">
        <v>32</v>
      </c>
      <c r="I570">
        <v>75</v>
      </c>
      <c r="J570">
        <v>10</v>
      </c>
      <c r="K570" s="8">
        <v>4.63</v>
      </c>
      <c r="N570">
        <v>5.7</v>
      </c>
      <c r="O570" s="8">
        <v>13.59</v>
      </c>
      <c r="R570" s="10">
        <f>LOG10(89*(10^7))</f>
        <v>8.9493900066449132</v>
      </c>
      <c r="S570" s="10" t="s">
        <v>97</v>
      </c>
      <c r="T570">
        <v>58.564999999999998</v>
      </c>
      <c r="U570">
        <v>6.9083333333333297</v>
      </c>
      <c r="V570">
        <v>52.628333333333302</v>
      </c>
      <c r="W570">
        <v>79.051666666666705</v>
      </c>
      <c r="X570">
        <v>0</v>
      </c>
      <c r="Y570">
        <v>39.1</v>
      </c>
      <c r="Z570">
        <v>1</v>
      </c>
      <c r="AA570">
        <v>54.75</v>
      </c>
      <c r="AC570" t="s">
        <v>143</v>
      </c>
      <c r="AD570" t="s">
        <v>69</v>
      </c>
      <c r="AE570" t="s">
        <v>203</v>
      </c>
      <c r="AF570">
        <v>1</v>
      </c>
      <c r="AG570">
        <v>2</v>
      </c>
      <c r="AH570">
        <v>1</v>
      </c>
      <c r="AI570" t="s">
        <v>213</v>
      </c>
      <c r="AJ570">
        <v>4</v>
      </c>
      <c r="AK570">
        <v>2</v>
      </c>
    </row>
    <row r="571" spans="2:37" x14ac:dyDescent="0.3">
      <c r="B571" t="s">
        <v>139</v>
      </c>
      <c r="C571">
        <v>0</v>
      </c>
      <c r="D571">
        <v>0</v>
      </c>
      <c r="E571">
        <v>0</v>
      </c>
      <c r="F571">
        <v>150</v>
      </c>
      <c r="G571">
        <v>0</v>
      </c>
      <c r="H571">
        <v>32</v>
      </c>
      <c r="I571">
        <v>75</v>
      </c>
      <c r="J571">
        <v>10</v>
      </c>
      <c r="K571" s="8">
        <v>4.6399999999999997</v>
      </c>
      <c r="N571">
        <v>6.8</v>
      </c>
      <c r="O571" s="8">
        <v>9.5500000000000007</v>
      </c>
      <c r="R571" s="10">
        <f t="shared" ref="R571" si="8">LOG10(99*(10^7))</f>
        <v>8.9956351945975506</v>
      </c>
      <c r="S571" s="10" t="s">
        <v>97</v>
      </c>
      <c r="T571">
        <v>58.58</v>
      </c>
      <c r="U571">
        <v>6.9133333333333304</v>
      </c>
      <c r="V571">
        <v>52.553333333333299</v>
      </c>
      <c r="W571">
        <v>79.016666666666694</v>
      </c>
      <c r="X571">
        <v>0</v>
      </c>
      <c r="Y571">
        <v>39</v>
      </c>
      <c r="Z571">
        <v>0</v>
      </c>
      <c r="AA571">
        <v>54.61</v>
      </c>
      <c r="AC571" t="s">
        <v>143</v>
      </c>
      <c r="AD571" t="s">
        <v>69</v>
      </c>
      <c r="AE571" t="s">
        <v>203</v>
      </c>
      <c r="AF571">
        <v>3</v>
      </c>
      <c r="AG571">
        <v>1</v>
      </c>
      <c r="AH571">
        <v>3</v>
      </c>
      <c r="AI571" t="s">
        <v>213</v>
      </c>
      <c r="AJ571">
        <v>1</v>
      </c>
      <c r="AK571">
        <v>3</v>
      </c>
    </row>
    <row r="572" spans="2:37" x14ac:dyDescent="0.3">
      <c r="B572" t="s">
        <v>140</v>
      </c>
      <c r="C572">
        <v>121</v>
      </c>
      <c r="D572">
        <v>20</v>
      </c>
      <c r="E572">
        <v>10</v>
      </c>
      <c r="F572">
        <v>150</v>
      </c>
      <c r="G572">
        <v>15.543519167316846</v>
      </c>
      <c r="H572">
        <v>55</v>
      </c>
      <c r="I572">
        <v>75</v>
      </c>
      <c r="J572">
        <v>3</v>
      </c>
      <c r="K572" s="8">
        <v>6.56</v>
      </c>
      <c r="N572">
        <v>4.9000000000000004</v>
      </c>
      <c r="O572" s="8">
        <v>6.35</v>
      </c>
      <c r="R572" s="8">
        <v>0</v>
      </c>
      <c r="S572" t="s">
        <v>68</v>
      </c>
      <c r="AC572" t="s">
        <v>128</v>
      </c>
      <c r="AD572" t="s">
        <v>127</v>
      </c>
      <c r="AE572" t="s">
        <v>128</v>
      </c>
      <c r="AF572">
        <v>7</v>
      </c>
      <c r="AG572">
        <v>8</v>
      </c>
      <c r="AH572">
        <v>8</v>
      </c>
      <c r="AI572">
        <v>8</v>
      </c>
      <c r="AJ572">
        <v>5</v>
      </c>
      <c r="AK572">
        <v>8</v>
      </c>
    </row>
    <row r="573" spans="2:37" x14ac:dyDescent="0.3">
      <c r="B573" t="s">
        <v>140</v>
      </c>
      <c r="C573">
        <v>121</v>
      </c>
      <c r="D573">
        <v>20</v>
      </c>
      <c r="E573">
        <v>10</v>
      </c>
      <c r="F573">
        <v>150</v>
      </c>
      <c r="G573">
        <v>15.543519167316846</v>
      </c>
      <c r="H573">
        <v>55</v>
      </c>
      <c r="I573">
        <v>75</v>
      </c>
      <c r="J573">
        <v>3</v>
      </c>
      <c r="K573" s="8">
        <v>6.2990000000000004</v>
      </c>
      <c r="N573">
        <v>7.89</v>
      </c>
      <c r="O573" s="8">
        <v>7.6</v>
      </c>
      <c r="R573" s="8">
        <v>0</v>
      </c>
      <c r="S573" t="s">
        <v>68</v>
      </c>
      <c r="AC573" t="s">
        <v>128</v>
      </c>
      <c r="AD573" t="s">
        <v>127</v>
      </c>
      <c r="AE573" t="s">
        <v>128</v>
      </c>
      <c r="AF573">
        <v>8</v>
      </c>
      <c r="AG573">
        <v>7</v>
      </c>
      <c r="AH573">
        <v>7</v>
      </c>
      <c r="AI573">
        <v>8</v>
      </c>
      <c r="AJ573">
        <v>7</v>
      </c>
      <c r="AK573">
        <v>8</v>
      </c>
    </row>
    <row r="574" spans="2:37" x14ac:dyDescent="0.3">
      <c r="B574" t="s">
        <v>140</v>
      </c>
      <c r="C574">
        <v>121</v>
      </c>
      <c r="D574">
        <v>20</v>
      </c>
      <c r="E574">
        <v>10</v>
      </c>
      <c r="F574">
        <v>150</v>
      </c>
      <c r="G574">
        <v>15.543519167316846</v>
      </c>
      <c r="H574">
        <v>55</v>
      </c>
      <c r="I574">
        <v>75</v>
      </c>
      <c r="J574">
        <v>3</v>
      </c>
      <c r="K574" s="8">
        <v>6.3010000000000002</v>
      </c>
      <c r="N574">
        <v>6.46</v>
      </c>
      <c r="O574" s="8">
        <v>6.45</v>
      </c>
      <c r="R574" s="8">
        <v>0</v>
      </c>
      <c r="S574" t="s">
        <v>68</v>
      </c>
      <c r="AC574" t="s">
        <v>128</v>
      </c>
      <c r="AD574" t="s">
        <v>127</v>
      </c>
      <c r="AE574" t="s">
        <v>128</v>
      </c>
      <c r="AF574">
        <v>8</v>
      </c>
      <c r="AG574">
        <v>8</v>
      </c>
      <c r="AH574">
        <v>8</v>
      </c>
      <c r="AI574">
        <v>8</v>
      </c>
      <c r="AJ574">
        <v>8</v>
      </c>
      <c r="AK574">
        <v>6</v>
      </c>
    </row>
    <row r="575" spans="2:37" x14ac:dyDescent="0.3">
      <c r="B575" t="s">
        <v>144</v>
      </c>
      <c r="C575">
        <v>121</v>
      </c>
      <c r="D575">
        <v>20</v>
      </c>
      <c r="E575">
        <v>10</v>
      </c>
      <c r="F575">
        <v>150</v>
      </c>
      <c r="G575">
        <v>15.543519167316846</v>
      </c>
      <c r="H575">
        <v>45</v>
      </c>
      <c r="I575">
        <v>75</v>
      </c>
      <c r="J575">
        <v>5</v>
      </c>
      <c r="K575" s="8">
        <v>6.58</v>
      </c>
      <c r="N575">
        <v>5.15</v>
      </c>
      <c r="O575" s="8">
        <v>6.18</v>
      </c>
      <c r="R575" s="8">
        <v>0</v>
      </c>
      <c r="S575" t="s">
        <v>68</v>
      </c>
      <c r="AC575" t="s">
        <v>128</v>
      </c>
      <c r="AD575" t="s">
        <v>127</v>
      </c>
      <c r="AE575" t="s">
        <v>128</v>
      </c>
      <c r="AF575">
        <v>7</v>
      </c>
      <c r="AG575">
        <v>7</v>
      </c>
      <c r="AH575">
        <v>7</v>
      </c>
      <c r="AI575">
        <v>8</v>
      </c>
      <c r="AJ575">
        <v>7</v>
      </c>
      <c r="AK575">
        <v>8</v>
      </c>
    </row>
    <row r="576" spans="2:37" x14ac:dyDescent="0.3">
      <c r="B576" t="s">
        <v>144</v>
      </c>
      <c r="C576">
        <v>121</v>
      </c>
      <c r="D576">
        <v>20</v>
      </c>
      <c r="E576">
        <v>10</v>
      </c>
      <c r="F576">
        <v>150</v>
      </c>
      <c r="G576">
        <v>15.543519167316846</v>
      </c>
      <c r="H576">
        <v>45</v>
      </c>
      <c r="I576">
        <v>75</v>
      </c>
      <c r="J576">
        <v>5</v>
      </c>
      <c r="K576" s="8">
        <v>6.69</v>
      </c>
      <c r="N576">
        <v>4.8899999999999997</v>
      </c>
      <c r="O576" s="8">
        <v>6.1989999999999998</v>
      </c>
      <c r="R576" s="8">
        <v>0</v>
      </c>
      <c r="S576" t="s">
        <v>68</v>
      </c>
      <c r="AC576" t="s">
        <v>128</v>
      </c>
      <c r="AD576" t="s">
        <v>127</v>
      </c>
      <c r="AE576" t="s">
        <v>128</v>
      </c>
      <c r="AF576">
        <v>8</v>
      </c>
      <c r="AG576">
        <v>7</v>
      </c>
      <c r="AH576">
        <v>8</v>
      </c>
      <c r="AI576">
        <v>6</v>
      </c>
      <c r="AJ576">
        <v>5</v>
      </c>
      <c r="AK576">
        <v>8</v>
      </c>
    </row>
    <row r="577" spans="2:37" x14ac:dyDescent="0.3">
      <c r="B577" t="s">
        <v>144</v>
      </c>
      <c r="C577">
        <v>121</v>
      </c>
      <c r="D577">
        <v>20</v>
      </c>
      <c r="E577">
        <v>10</v>
      </c>
      <c r="F577">
        <v>150</v>
      </c>
      <c r="G577">
        <v>15.543519167316846</v>
      </c>
      <c r="H577">
        <v>45</v>
      </c>
      <c r="I577">
        <v>75</v>
      </c>
      <c r="J577">
        <v>5</v>
      </c>
      <c r="K577" s="8">
        <v>6.72</v>
      </c>
      <c r="N577">
        <v>2.5</v>
      </c>
      <c r="O577" s="8">
        <v>6.29</v>
      </c>
      <c r="R577" s="8">
        <v>0</v>
      </c>
      <c r="S577" t="s">
        <v>68</v>
      </c>
      <c r="AC577" t="s">
        <v>128</v>
      </c>
      <c r="AD577" t="s">
        <v>127</v>
      </c>
      <c r="AE577" t="s">
        <v>128</v>
      </c>
      <c r="AF577">
        <v>8</v>
      </c>
      <c r="AG577">
        <v>9</v>
      </c>
      <c r="AH577">
        <v>6</v>
      </c>
      <c r="AI577">
        <v>8</v>
      </c>
      <c r="AJ577">
        <v>5</v>
      </c>
      <c r="AK577">
        <v>7</v>
      </c>
    </row>
    <row r="578" spans="2:37" x14ac:dyDescent="0.3">
      <c r="B578" t="s">
        <v>144</v>
      </c>
      <c r="C578">
        <v>121</v>
      </c>
      <c r="D578">
        <v>20</v>
      </c>
      <c r="E578">
        <v>10</v>
      </c>
      <c r="F578">
        <v>150</v>
      </c>
      <c r="G578">
        <v>15.543519167316846</v>
      </c>
      <c r="H578">
        <v>55</v>
      </c>
      <c r="I578">
        <v>75</v>
      </c>
      <c r="J578">
        <v>6</v>
      </c>
      <c r="K578" s="8">
        <v>6.45</v>
      </c>
      <c r="N578">
        <v>2.653</v>
      </c>
      <c r="O578" s="8">
        <v>6.2</v>
      </c>
      <c r="R578" s="8">
        <v>0</v>
      </c>
      <c r="S578" t="s">
        <v>68</v>
      </c>
      <c r="AC578" t="s">
        <v>128</v>
      </c>
      <c r="AD578" t="s">
        <v>127</v>
      </c>
      <c r="AE578" t="s">
        <v>128</v>
      </c>
      <c r="AF578">
        <v>9</v>
      </c>
      <c r="AG578">
        <v>8</v>
      </c>
      <c r="AH578">
        <v>8</v>
      </c>
      <c r="AI578">
        <v>8</v>
      </c>
      <c r="AJ578">
        <v>6</v>
      </c>
      <c r="AK578">
        <v>8</v>
      </c>
    </row>
    <row r="579" spans="2:37" x14ac:dyDescent="0.3">
      <c r="B579" t="s">
        <v>144</v>
      </c>
      <c r="C579">
        <v>121</v>
      </c>
      <c r="D579">
        <v>20</v>
      </c>
      <c r="E579">
        <v>10</v>
      </c>
      <c r="F579">
        <v>150</v>
      </c>
      <c r="G579">
        <v>15.543519167316846</v>
      </c>
      <c r="H579">
        <v>55</v>
      </c>
      <c r="I579">
        <v>75</v>
      </c>
      <c r="J579">
        <v>6</v>
      </c>
      <c r="K579" s="8">
        <v>6.51</v>
      </c>
      <c r="N579">
        <v>3.165</v>
      </c>
      <c r="O579" s="8">
        <v>7.3</v>
      </c>
      <c r="R579" s="8">
        <v>0</v>
      </c>
      <c r="S579" t="s">
        <v>68</v>
      </c>
      <c r="AC579" t="s">
        <v>128</v>
      </c>
      <c r="AD579" t="s">
        <v>127</v>
      </c>
      <c r="AE579" t="s">
        <v>128</v>
      </c>
      <c r="AF579">
        <v>7</v>
      </c>
      <c r="AG579">
        <v>7</v>
      </c>
      <c r="AH579">
        <v>7</v>
      </c>
      <c r="AI579">
        <v>8</v>
      </c>
      <c r="AJ579">
        <v>6</v>
      </c>
      <c r="AK579">
        <v>7</v>
      </c>
    </row>
    <row r="580" spans="2:37" x14ac:dyDescent="0.3">
      <c r="B580" t="s">
        <v>144</v>
      </c>
      <c r="C580">
        <v>121</v>
      </c>
      <c r="D580">
        <v>20</v>
      </c>
      <c r="E580">
        <v>10</v>
      </c>
      <c r="F580">
        <v>150</v>
      </c>
      <c r="G580">
        <v>15.543519167316846</v>
      </c>
      <c r="H580">
        <v>55</v>
      </c>
      <c r="I580">
        <v>75</v>
      </c>
      <c r="J580">
        <v>6</v>
      </c>
      <c r="K580" s="8">
        <v>6.38</v>
      </c>
      <c r="N580">
        <v>3.1560000000000001</v>
      </c>
      <c r="O580" s="8">
        <v>6.89</v>
      </c>
      <c r="R580" s="8">
        <v>0</v>
      </c>
      <c r="S580" t="s">
        <v>68</v>
      </c>
      <c r="AC580" t="s">
        <v>128</v>
      </c>
      <c r="AD580" t="s">
        <v>127</v>
      </c>
      <c r="AE580" t="s">
        <v>128</v>
      </c>
      <c r="AF580">
        <v>8</v>
      </c>
      <c r="AG580">
        <v>6</v>
      </c>
      <c r="AH580">
        <v>6</v>
      </c>
      <c r="AI580">
        <v>8</v>
      </c>
      <c r="AJ580">
        <v>5</v>
      </c>
      <c r="AK580">
        <v>8</v>
      </c>
    </row>
    <row r="581" spans="2:37" x14ac:dyDescent="0.3">
      <c r="B581" t="s">
        <v>145</v>
      </c>
      <c r="C581">
        <v>121</v>
      </c>
      <c r="D581">
        <v>20</v>
      </c>
      <c r="E581">
        <v>10</v>
      </c>
      <c r="F581">
        <v>150</v>
      </c>
      <c r="G581">
        <v>15.543519167316846</v>
      </c>
      <c r="H581">
        <v>32</v>
      </c>
      <c r="I581">
        <v>75</v>
      </c>
      <c r="J581">
        <v>7</v>
      </c>
      <c r="K581" s="8">
        <v>6.6</v>
      </c>
      <c r="N581">
        <v>1.1299999999999999</v>
      </c>
      <c r="O581" s="8">
        <v>6.1</v>
      </c>
      <c r="R581" s="8">
        <v>0</v>
      </c>
      <c r="S581" t="s">
        <v>68</v>
      </c>
      <c r="AC581" t="s">
        <v>128</v>
      </c>
      <c r="AD581" t="s">
        <v>127</v>
      </c>
      <c r="AE581" t="s">
        <v>128</v>
      </c>
      <c r="AF581">
        <v>8</v>
      </c>
      <c r="AG581">
        <v>8</v>
      </c>
      <c r="AH581">
        <v>8</v>
      </c>
      <c r="AI581">
        <v>8</v>
      </c>
      <c r="AJ581">
        <v>8</v>
      </c>
      <c r="AK581">
        <v>8</v>
      </c>
    </row>
    <row r="582" spans="2:37" x14ac:dyDescent="0.3">
      <c r="B582" t="s">
        <v>145</v>
      </c>
      <c r="C582">
        <v>121</v>
      </c>
      <c r="D582">
        <v>20</v>
      </c>
      <c r="E582">
        <v>10</v>
      </c>
      <c r="F582">
        <v>150</v>
      </c>
      <c r="G582">
        <v>15.543519167316846</v>
      </c>
      <c r="H582">
        <v>32</v>
      </c>
      <c r="I582">
        <v>75</v>
      </c>
      <c r="J582">
        <v>7</v>
      </c>
      <c r="K582" s="8">
        <v>6.69</v>
      </c>
      <c r="N582">
        <v>2.4500000000000002</v>
      </c>
      <c r="O582" s="8">
        <v>6.2</v>
      </c>
      <c r="R582" s="8">
        <v>0</v>
      </c>
      <c r="S582" t="s">
        <v>68</v>
      </c>
      <c r="AC582" t="s">
        <v>128</v>
      </c>
      <c r="AD582" t="s">
        <v>127</v>
      </c>
      <c r="AE582" t="s">
        <v>128</v>
      </c>
      <c r="AF582">
        <v>5</v>
      </c>
      <c r="AG582">
        <v>9</v>
      </c>
      <c r="AH582">
        <v>5</v>
      </c>
      <c r="AI582">
        <v>6</v>
      </c>
      <c r="AJ582">
        <v>5</v>
      </c>
      <c r="AK582">
        <v>8</v>
      </c>
    </row>
    <row r="583" spans="2:37" x14ac:dyDescent="0.3">
      <c r="B583" t="s">
        <v>145</v>
      </c>
      <c r="C583">
        <v>121</v>
      </c>
      <c r="D583">
        <v>20</v>
      </c>
      <c r="E583">
        <v>10</v>
      </c>
      <c r="F583">
        <v>150</v>
      </c>
      <c r="G583">
        <v>15.543519167316846</v>
      </c>
      <c r="H583">
        <v>32</v>
      </c>
      <c r="I583">
        <v>75</v>
      </c>
      <c r="J583">
        <v>7</v>
      </c>
      <c r="K583" s="8">
        <v>6.59</v>
      </c>
      <c r="N583">
        <v>3.62</v>
      </c>
      <c r="O583" s="8">
        <v>6.9</v>
      </c>
      <c r="R583" s="8">
        <v>0</v>
      </c>
      <c r="S583" t="s">
        <v>68</v>
      </c>
      <c r="AC583" t="s">
        <v>128</v>
      </c>
      <c r="AD583" t="s">
        <v>127</v>
      </c>
      <c r="AE583" t="s">
        <v>128</v>
      </c>
      <c r="AF583">
        <v>8</v>
      </c>
      <c r="AG583">
        <v>8</v>
      </c>
      <c r="AH583">
        <v>8</v>
      </c>
      <c r="AI583">
        <v>8</v>
      </c>
      <c r="AJ583">
        <v>8</v>
      </c>
      <c r="AK583">
        <v>7</v>
      </c>
    </row>
    <row r="584" spans="2:37" x14ac:dyDescent="0.3">
      <c r="B584" t="s">
        <v>145</v>
      </c>
      <c r="C584">
        <v>121</v>
      </c>
      <c r="D584">
        <v>20</v>
      </c>
      <c r="E584">
        <v>10</v>
      </c>
      <c r="F584">
        <v>150</v>
      </c>
      <c r="G584">
        <v>15.543519167316846</v>
      </c>
      <c r="H584">
        <v>55</v>
      </c>
      <c r="I584">
        <v>75</v>
      </c>
      <c r="J584">
        <v>9</v>
      </c>
      <c r="K584" s="8">
        <v>6.23</v>
      </c>
      <c r="N584">
        <v>3.51</v>
      </c>
      <c r="O584" s="8">
        <v>7.3</v>
      </c>
      <c r="R584" s="8">
        <v>0</v>
      </c>
      <c r="S584" t="s">
        <v>68</v>
      </c>
      <c r="AC584" t="s">
        <v>128</v>
      </c>
      <c r="AD584" t="s">
        <v>127</v>
      </c>
      <c r="AE584" t="s">
        <v>128</v>
      </c>
      <c r="AF584">
        <v>7</v>
      </c>
      <c r="AG584">
        <v>7</v>
      </c>
      <c r="AH584">
        <v>7</v>
      </c>
      <c r="AI584">
        <v>8</v>
      </c>
      <c r="AJ584">
        <v>5</v>
      </c>
      <c r="AK584">
        <v>8</v>
      </c>
    </row>
    <row r="585" spans="2:37" x14ac:dyDescent="0.3">
      <c r="B585" t="s">
        <v>145</v>
      </c>
      <c r="C585">
        <v>121</v>
      </c>
      <c r="D585">
        <v>20</v>
      </c>
      <c r="E585">
        <v>10</v>
      </c>
      <c r="F585">
        <v>150</v>
      </c>
      <c r="G585">
        <v>15.543519167316846</v>
      </c>
      <c r="H585">
        <v>55</v>
      </c>
      <c r="I585">
        <v>75</v>
      </c>
      <c r="J585">
        <v>9</v>
      </c>
      <c r="K585" s="8">
        <v>6.25</v>
      </c>
      <c r="N585">
        <v>5.2</v>
      </c>
      <c r="O585" s="8">
        <v>7.6</v>
      </c>
      <c r="R585" s="8">
        <v>0</v>
      </c>
      <c r="S585" t="s">
        <v>68</v>
      </c>
      <c r="AC585" t="s">
        <v>128</v>
      </c>
      <c r="AD585" t="s">
        <v>127</v>
      </c>
      <c r="AE585" t="s">
        <v>128</v>
      </c>
      <c r="AF585">
        <v>5</v>
      </c>
      <c r="AG585">
        <v>8</v>
      </c>
      <c r="AH585">
        <v>6</v>
      </c>
      <c r="AI585">
        <v>8</v>
      </c>
      <c r="AJ585">
        <v>8</v>
      </c>
      <c r="AK585">
        <v>8</v>
      </c>
    </row>
    <row r="586" spans="2:37" x14ac:dyDescent="0.3">
      <c r="B586" t="s">
        <v>145</v>
      </c>
      <c r="C586">
        <v>121</v>
      </c>
      <c r="D586">
        <v>20</v>
      </c>
      <c r="E586">
        <v>10</v>
      </c>
      <c r="F586">
        <v>150</v>
      </c>
      <c r="G586">
        <v>15.543519167316846</v>
      </c>
      <c r="H586">
        <v>55</v>
      </c>
      <c r="I586">
        <v>75</v>
      </c>
      <c r="J586">
        <v>9</v>
      </c>
      <c r="K586" s="8">
        <v>6.2210000000000001</v>
      </c>
      <c r="N586">
        <v>6.3</v>
      </c>
      <c r="O586" s="8">
        <v>7.5</v>
      </c>
      <c r="R586" s="8">
        <v>0</v>
      </c>
      <c r="S586" t="s">
        <v>68</v>
      </c>
      <c r="AC586" t="s">
        <v>128</v>
      </c>
      <c r="AD586" t="s">
        <v>127</v>
      </c>
      <c r="AE586" t="s">
        <v>128</v>
      </c>
      <c r="AF586">
        <v>8</v>
      </c>
      <c r="AG586">
        <v>6</v>
      </c>
      <c r="AH586">
        <v>8</v>
      </c>
      <c r="AI586">
        <v>5</v>
      </c>
      <c r="AJ586">
        <v>5</v>
      </c>
      <c r="AK586">
        <v>8</v>
      </c>
    </row>
    <row r="587" spans="2:37" x14ac:dyDescent="0.3">
      <c r="B587" t="s">
        <v>146</v>
      </c>
      <c r="C587">
        <v>121</v>
      </c>
      <c r="D587">
        <v>20</v>
      </c>
      <c r="E587">
        <v>10</v>
      </c>
      <c r="F587">
        <v>150</v>
      </c>
      <c r="G587">
        <v>15.543519167316846</v>
      </c>
      <c r="H587">
        <v>45</v>
      </c>
      <c r="I587">
        <v>75</v>
      </c>
      <c r="J587">
        <v>10</v>
      </c>
      <c r="K587" s="8">
        <v>6.32</v>
      </c>
      <c r="N587">
        <v>1.52</v>
      </c>
      <c r="O587" s="8">
        <v>6.2</v>
      </c>
      <c r="R587" s="8">
        <v>0</v>
      </c>
      <c r="S587" t="s">
        <v>68</v>
      </c>
      <c r="X587">
        <v>13.4</v>
      </c>
      <c r="Y587">
        <v>2.6</v>
      </c>
      <c r="Z587">
        <v>1</v>
      </c>
      <c r="AC587" t="s">
        <v>128</v>
      </c>
      <c r="AD587" t="s">
        <v>127</v>
      </c>
      <c r="AE587" t="s">
        <v>128</v>
      </c>
      <c r="AF587">
        <v>5</v>
      </c>
      <c r="AG587">
        <v>7</v>
      </c>
      <c r="AH587">
        <v>8</v>
      </c>
      <c r="AI587">
        <v>8</v>
      </c>
      <c r="AJ587">
        <v>7</v>
      </c>
      <c r="AK587">
        <v>7</v>
      </c>
    </row>
    <row r="588" spans="2:37" x14ac:dyDescent="0.3">
      <c r="B588" t="s">
        <v>146</v>
      </c>
      <c r="C588">
        <v>121</v>
      </c>
      <c r="D588">
        <v>20</v>
      </c>
      <c r="E588">
        <v>10</v>
      </c>
      <c r="F588">
        <v>150</v>
      </c>
      <c r="G588">
        <v>15.543519167316846</v>
      </c>
      <c r="H588">
        <v>45</v>
      </c>
      <c r="I588">
        <v>75</v>
      </c>
      <c r="J588">
        <v>10</v>
      </c>
      <c r="K588" s="8">
        <v>6.33</v>
      </c>
      <c r="N588">
        <v>1.93</v>
      </c>
      <c r="O588" s="8">
        <v>6.86</v>
      </c>
      <c r="R588" s="8">
        <v>0</v>
      </c>
      <c r="S588" t="s">
        <v>68</v>
      </c>
      <c r="X588">
        <v>13.9</v>
      </c>
      <c r="Y588">
        <v>2.8</v>
      </c>
      <c r="Z588">
        <v>1</v>
      </c>
      <c r="AC588" t="s">
        <v>128</v>
      </c>
      <c r="AD588" t="s">
        <v>127</v>
      </c>
      <c r="AE588" t="s">
        <v>128</v>
      </c>
      <c r="AF588">
        <v>8</v>
      </c>
      <c r="AG588">
        <v>7</v>
      </c>
      <c r="AH588">
        <v>8</v>
      </c>
      <c r="AI588">
        <v>8</v>
      </c>
      <c r="AJ588">
        <v>5</v>
      </c>
      <c r="AK588">
        <v>7</v>
      </c>
    </row>
    <row r="589" spans="2:37" x14ac:dyDescent="0.3">
      <c r="B589" t="s">
        <v>146</v>
      </c>
      <c r="C589">
        <v>121</v>
      </c>
      <c r="D589">
        <v>20</v>
      </c>
      <c r="E589">
        <v>10</v>
      </c>
      <c r="F589">
        <v>150</v>
      </c>
      <c r="G589">
        <v>15.543519167316846</v>
      </c>
      <c r="H589">
        <v>45</v>
      </c>
      <c r="I589">
        <v>75</v>
      </c>
      <c r="J589">
        <v>10</v>
      </c>
      <c r="K589" s="8">
        <v>6.38</v>
      </c>
      <c r="N589">
        <v>1.89</v>
      </c>
      <c r="O589" s="8">
        <v>7.22</v>
      </c>
      <c r="R589" s="8">
        <v>0</v>
      </c>
      <c r="S589" t="s">
        <v>68</v>
      </c>
      <c r="X589">
        <v>14.4</v>
      </c>
      <c r="Y589">
        <v>3</v>
      </c>
      <c r="Z589">
        <v>1</v>
      </c>
      <c r="AC589" t="s">
        <v>128</v>
      </c>
      <c r="AD589" t="s">
        <v>127</v>
      </c>
      <c r="AE589" t="s">
        <v>128</v>
      </c>
      <c r="AF589">
        <v>9</v>
      </c>
      <c r="AG589">
        <v>9</v>
      </c>
      <c r="AH589">
        <v>8</v>
      </c>
      <c r="AI589">
        <v>8</v>
      </c>
      <c r="AJ589">
        <v>4</v>
      </c>
      <c r="AK589">
        <v>8</v>
      </c>
    </row>
    <row r="590" spans="2:37" x14ac:dyDescent="0.3">
      <c r="B590" t="s">
        <v>146</v>
      </c>
      <c r="C590">
        <v>121</v>
      </c>
      <c r="D590">
        <v>20</v>
      </c>
      <c r="E590">
        <v>10</v>
      </c>
      <c r="F590">
        <v>150</v>
      </c>
      <c r="G590">
        <v>15.543519167316846</v>
      </c>
      <c r="H590">
        <v>45</v>
      </c>
      <c r="I590">
        <v>75</v>
      </c>
      <c r="J590">
        <v>10</v>
      </c>
      <c r="K590" s="8">
        <v>6.56</v>
      </c>
      <c r="N590">
        <v>1.89</v>
      </c>
      <c r="O590" s="8">
        <v>7.22</v>
      </c>
      <c r="R590" s="8">
        <v>0</v>
      </c>
      <c r="S590" t="s">
        <v>68</v>
      </c>
      <c r="X590">
        <v>13.6</v>
      </c>
      <c r="Y590">
        <v>2.9</v>
      </c>
      <c r="Z590">
        <v>1</v>
      </c>
      <c r="AC590" t="s">
        <v>128</v>
      </c>
      <c r="AD590" t="s">
        <v>127</v>
      </c>
      <c r="AE590" t="s">
        <v>128</v>
      </c>
      <c r="AF590">
        <v>6</v>
      </c>
      <c r="AG590">
        <v>8</v>
      </c>
      <c r="AH590">
        <v>9</v>
      </c>
      <c r="AI590">
        <v>8</v>
      </c>
      <c r="AJ590">
        <v>9</v>
      </c>
      <c r="AK590">
        <v>9</v>
      </c>
    </row>
    <row r="591" spans="2:37" x14ac:dyDescent="0.3">
      <c r="B591" t="s">
        <v>146</v>
      </c>
      <c r="C591">
        <v>121</v>
      </c>
      <c r="D591">
        <v>20</v>
      </c>
      <c r="E591">
        <v>10</v>
      </c>
      <c r="F591">
        <v>150</v>
      </c>
      <c r="G591">
        <v>15.543519167316846</v>
      </c>
      <c r="H591">
        <v>45</v>
      </c>
      <c r="I591">
        <v>75</v>
      </c>
      <c r="J591">
        <v>10</v>
      </c>
      <c r="K591" s="8">
        <v>6.61</v>
      </c>
      <c r="N591">
        <v>1.89</v>
      </c>
      <c r="O591" s="8">
        <v>7.22</v>
      </c>
      <c r="R591" s="8">
        <v>0</v>
      </c>
      <c r="S591" t="s">
        <v>68</v>
      </c>
      <c r="X591">
        <v>13.6</v>
      </c>
      <c r="Y591">
        <v>2.9</v>
      </c>
      <c r="Z591">
        <v>1</v>
      </c>
      <c r="AC591" t="s">
        <v>128</v>
      </c>
      <c r="AD591" t="s">
        <v>127</v>
      </c>
      <c r="AE591" t="s">
        <v>128</v>
      </c>
      <c r="AF591">
        <v>7</v>
      </c>
      <c r="AG591">
        <v>7</v>
      </c>
      <c r="AH591">
        <v>8</v>
      </c>
      <c r="AI591">
        <v>8</v>
      </c>
      <c r="AJ591">
        <v>6</v>
      </c>
      <c r="AK591">
        <v>6</v>
      </c>
    </row>
    <row r="592" spans="2:37" x14ac:dyDescent="0.3">
      <c r="B592" t="s">
        <v>146</v>
      </c>
      <c r="C592">
        <v>121</v>
      </c>
      <c r="D592">
        <v>20</v>
      </c>
      <c r="E592">
        <v>10</v>
      </c>
      <c r="F592">
        <v>150</v>
      </c>
      <c r="G592">
        <v>15.543519167316846</v>
      </c>
      <c r="H592">
        <v>45</v>
      </c>
      <c r="I592">
        <v>75</v>
      </c>
      <c r="J592">
        <v>10</v>
      </c>
      <c r="K592" s="8">
        <v>6.53</v>
      </c>
      <c r="N592">
        <v>1.89</v>
      </c>
      <c r="O592" s="8">
        <v>7.22</v>
      </c>
      <c r="R592" s="8">
        <v>0</v>
      </c>
      <c r="S592" t="s">
        <v>68</v>
      </c>
      <c r="X592">
        <v>13.6</v>
      </c>
      <c r="Y592">
        <v>2.9</v>
      </c>
      <c r="Z592">
        <v>1</v>
      </c>
      <c r="AC592" t="s">
        <v>128</v>
      </c>
      <c r="AD592" t="s">
        <v>127</v>
      </c>
      <c r="AE592" t="s">
        <v>128</v>
      </c>
      <c r="AF592">
        <v>6</v>
      </c>
      <c r="AG592">
        <v>7</v>
      </c>
      <c r="AH592">
        <v>5</v>
      </c>
      <c r="AI592">
        <v>8</v>
      </c>
      <c r="AJ592">
        <v>5</v>
      </c>
      <c r="AK592">
        <v>7</v>
      </c>
    </row>
    <row r="593" spans="2:37" x14ac:dyDescent="0.3">
      <c r="B593" t="s">
        <v>147</v>
      </c>
      <c r="C593">
        <v>121</v>
      </c>
      <c r="D593">
        <v>20</v>
      </c>
      <c r="E593">
        <v>10</v>
      </c>
      <c r="F593">
        <v>150</v>
      </c>
      <c r="G593">
        <v>15.543519167316846</v>
      </c>
      <c r="H593">
        <v>28</v>
      </c>
      <c r="I593">
        <v>75</v>
      </c>
      <c r="J593">
        <v>13</v>
      </c>
      <c r="K593" s="8">
        <v>6.53</v>
      </c>
      <c r="N593">
        <v>4.01</v>
      </c>
      <c r="O593" s="8">
        <v>5.13</v>
      </c>
      <c r="R593" s="8">
        <v>0</v>
      </c>
      <c r="S593" t="s">
        <v>68</v>
      </c>
      <c r="T593">
        <v>54.06</v>
      </c>
      <c r="U593">
        <v>6.01</v>
      </c>
      <c r="V593" t="s">
        <v>216</v>
      </c>
      <c r="W593">
        <v>70.786666666666704</v>
      </c>
      <c r="X593">
        <v>-2.4003333333333301</v>
      </c>
      <c r="Y593">
        <v>28.2</v>
      </c>
      <c r="Z593">
        <v>1</v>
      </c>
      <c r="AA593">
        <v>54.066666666666698</v>
      </c>
      <c r="AC593" t="s">
        <v>128</v>
      </c>
      <c r="AD593" t="s">
        <v>127</v>
      </c>
      <c r="AE593" t="s">
        <v>128</v>
      </c>
      <c r="AF593">
        <v>7</v>
      </c>
      <c r="AG593">
        <v>6</v>
      </c>
      <c r="AH593">
        <v>7</v>
      </c>
      <c r="AI593">
        <v>8</v>
      </c>
      <c r="AJ593">
        <v>6</v>
      </c>
      <c r="AK593">
        <v>6</v>
      </c>
    </row>
    <row r="594" spans="2:37" x14ac:dyDescent="0.3">
      <c r="B594" t="s">
        <v>147</v>
      </c>
      <c r="C594">
        <v>121</v>
      </c>
      <c r="D594">
        <v>20</v>
      </c>
      <c r="E594">
        <v>10</v>
      </c>
      <c r="F594">
        <v>150</v>
      </c>
      <c r="G594">
        <v>15.543519167316846</v>
      </c>
      <c r="H594">
        <v>28</v>
      </c>
      <c r="I594">
        <v>75</v>
      </c>
      <c r="J594">
        <v>13</v>
      </c>
      <c r="K594" s="8">
        <v>6.59</v>
      </c>
      <c r="N594">
        <v>4.09</v>
      </c>
      <c r="O594" s="8">
        <v>4.0199999999999996</v>
      </c>
      <c r="R594" s="8">
        <v>0</v>
      </c>
      <c r="S594" t="s">
        <v>68</v>
      </c>
      <c r="T594">
        <v>54.04</v>
      </c>
      <c r="U594">
        <v>6.01</v>
      </c>
      <c r="V594">
        <v>45.31</v>
      </c>
      <c r="W594">
        <v>70.746666666666698</v>
      </c>
      <c r="X594">
        <v>-1.58033333333333</v>
      </c>
      <c r="Y594">
        <v>26.85</v>
      </c>
      <c r="Z594">
        <v>1</v>
      </c>
      <c r="AA594">
        <v>54.086666666666702</v>
      </c>
      <c r="AC594" t="s">
        <v>128</v>
      </c>
      <c r="AD594" t="s">
        <v>127</v>
      </c>
      <c r="AE594" t="s">
        <v>128</v>
      </c>
      <c r="AF594">
        <v>6</v>
      </c>
      <c r="AG594">
        <v>8</v>
      </c>
      <c r="AH594">
        <v>6</v>
      </c>
      <c r="AI594">
        <v>7</v>
      </c>
      <c r="AJ594">
        <v>7</v>
      </c>
      <c r="AK594">
        <v>6</v>
      </c>
    </row>
    <row r="595" spans="2:37" x14ac:dyDescent="0.3">
      <c r="B595" t="s">
        <v>147</v>
      </c>
      <c r="C595">
        <v>121</v>
      </c>
      <c r="D595">
        <v>20</v>
      </c>
      <c r="E595">
        <v>10</v>
      </c>
      <c r="F595">
        <v>150</v>
      </c>
      <c r="G595">
        <v>15.543519167316846</v>
      </c>
      <c r="H595">
        <v>28</v>
      </c>
      <c r="I595">
        <v>75</v>
      </c>
      <c r="J595">
        <v>13</v>
      </c>
      <c r="K595" s="8">
        <v>6.57</v>
      </c>
      <c r="N595">
        <v>4.2300000000000004</v>
      </c>
      <c r="O595" s="8">
        <v>5.1100000000000003</v>
      </c>
      <c r="R595" s="8">
        <v>0</v>
      </c>
      <c r="S595" t="s">
        <v>68</v>
      </c>
      <c r="T595">
        <v>54.02</v>
      </c>
      <c r="U595">
        <v>6.01</v>
      </c>
      <c r="V595">
        <v>45.24</v>
      </c>
      <c r="W595">
        <v>70.706666666666706</v>
      </c>
      <c r="X595">
        <v>-0.76033333333333297</v>
      </c>
      <c r="Y595">
        <v>25.5</v>
      </c>
      <c r="Z595">
        <v>1</v>
      </c>
      <c r="AA595">
        <v>54.106666666666698</v>
      </c>
      <c r="AC595" t="s">
        <v>128</v>
      </c>
      <c r="AD595" t="s">
        <v>127</v>
      </c>
      <c r="AE595" t="s">
        <v>128</v>
      </c>
      <c r="AF595">
        <v>3</v>
      </c>
      <c r="AG595">
        <v>9</v>
      </c>
      <c r="AH595">
        <v>7</v>
      </c>
      <c r="AI595">
        <v>7</v>
      </c>
      <c r="AJ595">
        <v>7</v>
      </c>
      <c r="AK595">
        <v>8</v>
      </c>
    </row>
    <row r="596" spans="2:37" x14ac:dyDescent="0.3">
      <c r="B596" t="s">
        <v>148</v>
      </c>
      <c r="C596">
        <v>121</v>
      </c>
      <c r="D596">
        <v>20</v>
      </c>
      <c r="E596">
        <v>10</v>
      </c>
      <c r="F596">
        <v>150</v>
      </c>
      <c r="G596">
        <v>15.543519167316846</v>
      </c>
      <c r="H596">
        <v>55</v>
      </c>
      <c r="I596">
        <v>75</v>
      </c>
      <c r="J596">
        <v>12</v>
      </c>
      <c r="K596" s="8">
        <v>6.12</v>
      </c>
      <c r="N596">
        <v>4.33</v>
      </c>
      <c r="O596" s="8">
        <v>5.4</v>
      </c>
      <c r="R596" s="8">
        <v>0</v>
      </c>
      <c r="S596" t="s">
        <v>68</v>
      </c>
      <c r="T596">
        <v>54</v>
      </c>
      <c r="U596">
        <v>6.01</v>
      </c>
      <c r="V596" t="s">
        <v>193</v>
      </c>
      <c r="W596">
        <v>70.66</v>
      </c>
      <c r="X596">
        <v>0</v>
      </c>
      <c r="Y596">
        <v>24.3</v>
      </c>
      <c r="Z596">
        <v>1</v>
      </c>
      <c r="AA596">
        <v>54.15</v>
      </c>
      <c r="AC596" t="s">
        <v>128</v>
      </c>
      <c r="AD596" t="s">
        <v>127</v>
      </c>
      <c r="AE596" t="s">
        <v>128</v>
      </c>
      <c r="AF596">
        <v>5</v>
      </c>
      <c r="AG596">
        <v>6</v>
      </c>
      <c r="AH596">
        <v>6</v>
      </c>
      <c r="AI596">
        <v>7</v>
      </c>
      <c r="AJ596">
        <v>8</v>
      </c>
      <c r="AK596">
        <v>8</v>
      </c>
    </row>
    <row r="597" spans="2:37" x14ac:dyDescent="0.3">
      <c r="B597" t="s">
        <v>148</v>
      </c>
      <c r="C597">
        <v>121</v>
      </c>
      <c r="D597">
        <v>20</v>
      </c>
      <c r="E597">
        <v>10</v>
      </c>
      <c r="F597">
        <v>150</v>
      </c>
      <c r="G597">
        <v>15.543519167316846</v>
      </c>
      <c r="H597">
        <v>55</v>
      </c>
      <c r="I597">
        <v>75</v>
      </c>
      <c r="J597">
        <v>12</v>
      </c>
      <c r="K597" s="8">
        <v>6.23</v>
      </c>
      <c r="N597">
        <v>4.4400000000000004</v>
      </c>
      <c r="O597" s="8">
        <v>5.98</v>
      </c>
      <c r="R597" s="8">
        <v>0</v>
      </c>
      <c r="S597" t="s">
        <v>68</v>
      </c>
      <c r="T597">
        <v>53.98</v>
      </c>
      <c r="U597">
        <v>6.01</v>
      </c>
      <c r="V597">
        <v>45.17</v>
      </c>
      <c r="W597">
        <v>70.64</v>
      </c>
      <c r="X597">
        <v>0.999</v>
      </c>
      <c r="Y597">
        <v>22.5</v>
      </c>
      <c r="Z597">
        <v>1</v>
      </c>
      <c r="AA597">
        <v>54.1</v>
      </c>
      <c r="AC597" t="s">
        <v>128</v>
      </c>
      <c r="AD597" t="s">
        <v>127</v>
      </c>
      <c r="AE597" t="s">
        <v>128</v>
      </c>
      <c r="AF597">
        <v>6</v>
      </c>
      <c r="AG597">
        <v>9</v>
      </c>
      <c r="AH597">
        <v>8</v>
      </c>
      <c r="AI597">
        <v>7</v>
      </c>
      <c r="AJ597">
        <v>5</v>
      </c>
      <c r="AK597">
        <v>8</v>
      </c>
    </row>
    <row r="598" spans="2:37" x14ac:dyDescent="0.3">
      <c r="B598" t="s">
        <v>148</v>
      </c>
      <c r="C598">
        <v>121</v>
      </c>
      <c r="D598">
        <v>20</v>
      </c>
      <c r="E598">
        <v>10</v>
      </c>
      <c r="F598">
        <v>150</v>
      </c>
      <c r="G598">
        <v>15.543519167316846</v>
      </c>
      <c r="H598">
        <v>55</v>
      </c>
      <c r="I598">
        <v>75</v>
      </c>
      <c r="J598">
        <v>12</v>
      </c>
      <c r="K598" s="8">
        <v>6.24</v>
      </c>
      <c r="N598">
        <v>4.55</v>
      </c>
      <c r="O598" s="8">
        <v>5.38</v>
      </c>
      <c r="R598" s="8">
        <v>0</v>
      </c>
      <c r="S598" t="s">
        <v>68</v>
      </c>
      <c r="T598">
        <v>53.96</v>
      </c>
      <c r="U598">
        <v>6.01</v>
      </c>
      <c r="V598">
        <v>45.1</v>
      </c>
      <c r="W598">
        <v>70.58</v>
      </c>
      <c r="X598">
        <v>1.64</v>
      </c>
      <c r="Y598">
        <v>21.6</v>
      </c>
      <c r="Z598">
        <v>1</v>
      </c>
      <c r="AA598">
        <v>54.19</v>
      </c>
      <c r="AC598" t="s">
        <v>128</v>
      </c>
      <c r="AD598" t="s">
        <v>127</v>
      </c>
      <c r="AE598" t="s">
        <v>128</v>
      </c>
      <c r="AF598">
        <v>3</v>
      </c>
      <c r="AG598">
        <v>9</v>
      </c>
      <c r="AH598">
        <v>6</v>
      </c>
      <c r="AI598">
        <v>7</v>
      </c>
      <c r="AJ598">
        <v>6</v>
      </c>
      <c r="AK598">
        <v>6</v>
      </c>
    </row>
    <row r="599" spans="2:37" x14ac:dyDescent="0.3">
      <c r="B599" t="s">
        <v>149</v>
      </c>
      <c r="C599">
        <v>121</v>
      </c>
      <c r="D599">
        <v>20</v>
      </c>
      <c r="E599">
        <v>10</v>
      </c>
      <c r="F599">
        <v>150</v>
      </c>
      <c r="G599">
        <v>15.543519167316846</v>
      </c>
      <c r="H599">
        <v>32</v>
      </c>
      <c r="I599">
        <v>75</v>
      </c>
      <c r="J599">
        <v>14</v>
      </c>
      <c r="K599" s="8">
        <v>6.49</v>
      </c>
      <c r="N599">
        <v>1.6</v>
      </c>
      <c r="O599" s="10">
        <v>11.2</v>
      </c>
      <c r="R599" s="8">
        <v>0</v>
      </c>
      <c r="S599" t="s">
        <v>68</v>
      </c>
      <c r="T599">
        <v>55.42</v>
      </c>
      <c r="U599">
        <v>7.36</v>
      </c>
      <c r="V599">
        <v>47.56</v>
      </c>
      <c r="W599">
        <v>73.400000000000006</v>
      </c>
      <c r="X599">
        <v>1.55</v>
      </c>
      <c r="Y599">
        <v>15.5</v>
      </c>
      <c r="Z599">
        <v>0</v>
      </c>
      <c r="AA599">
        <v>58.58</v>
      </c>
      <c r="AC599" t="s">
        <v>128</v>
      </c>
      <c r="AD599" t="s">
        <v>127</v>
      </c>
      <c r="AE599" t="s">
        <v>128</v>
      </c>
      <c r="AF599">
        <v>6</v>
      </c>
      <c r="AG599">
        <v>8</v>
      </c>
      <c r="AH599">
        <v>6</v>
      </c>
      <c r="AI599">
        <v>7</v>
      </c>
      <c r="AJ599">
        <v>8</v>
      </c>
      <c r="AK599">
        <v>8</v>
      </c>
    </row>
    <row r="600" spans="2:37" x14ac:dyDescent="0.3">
      <c r="B600" t="s">
        <v>149</v>
      </c>
      <c r="C600">
        <v>121</v>
      </c>
      <c r="D600">
        <v>20</v>
      </c>
      <c r="E600">
        <v>10</v>
      </c>
      <c r="F600">
        <v>150</v>
      </c>
      <c r="G600">
        <v>15.543519167316846</v>
      </c>
      <c r="H600">
        <v>32</v>
      </c>
      <c r="I600">
        <v>75</v>
      </c>
      <c r="J600">
        <v>14</v>
      </c>
      <c r="K600" s="8">
        <v>6.32</v>
      </c>
      <c r="N600">
        <v>1.53</v>
      </c>
      <c r="O600" s="10">
        <v>10.37</v>
      </c>
      <c r="R600" s="8">
        <v>0</v>
      </c>
      <c r="S600" t="s">
        <v>68</v>
      </c>
      <c r="T600">
        <v>55.32</v>
      </c>
      <c r="U600">
        <v>7.33</v>
      </c>
      <c r="V600">
        <v>47.46</v>
      </c>
      <c r="W600">
        <v>73.260000000000005</v>
      </c>
      <c r="X600">
        <v>1.55</v>
      </c>
      <c r="Y600">
        <v>15.5</v>
      </c>
      <c r="Z600">
        <v>0</v>
      </c>
      <c r="AA600">
        <v>58.25</v>
      </c>
      <c r="AC600" t="s">
        <v>128</v>
      </c>
      <c r="AD600" t="s">
        <v>208</v>
      </c>
      <c r="AE600" t="s">
        <v>218</v>
      </c>
      <c r="AF600">
        <v>8</v>
      </c>
      <c r="AG600">
        <v>8</v>
      </c>
      <c r="AH600">
        <v>7</v>
      </c>
      <c r="AI600">
        <v>7</v>
      </c>
      <c r="AJ600">
        <v>5</v>
      </c>
      <c r="AK600">
        <v>7</v>
      </c>
    </row>
    <row r="601" spans="2:37" x14ac:dyDescent="0.3">
      <c r="B601" t="s">
        <v>149</v>
      </c>
      <c r="C601">
        <v>121</v>
      </c>
      <c r="D601">
        <v>20</v>
      </c>
      <c r="E601">
        <v>10</v>
      </c>
      <c r="F601">
        <v>150</v>
      </c>
      <c r="G601">
        <v>15.543519167316846</v>
      </c>
      <c r="H601">
        <v>32</v>
      </c>
      <c r="I601">
        <v>75</v>
      </c>
      <c r="J601">
        <v>14</v>
      </c>
      <c r="K601" s="8">
        <v>6.46</v>
      </c>
      <c r="N601">
        <v>1.69</v>
      </c>
      <c r="O601" s="8">
        <v>9.56</v>
      </c>
      <c r="R601" s="8">
        <v>0</v>
      </c>
      <c r="S601" t="s">
        <v>68</v>
      </c>
      <c r="T601">
        <v>55.27</v>
      </c>
      <c r="U601">
        <v>7.3</v>
      </c>
      <c r="V601">
        <v>47.41</v>
      </c>
      <c r="W601">
        <v>73.180000000000007</v>
      </c>
      <c r="X601">
        <v>1.55</v>
      </c>
      <c r="Y601">
        <v>15.5</v>
      </c>
      <c r="Z601">
        <v>0</v>
      </c>
      <c r="AA601">
        <v>58.62</v>
      </c>
      <c r="AC601" t="s">
        <v>128</v>
      </c>
      <c r="AD601" t="s">
        <v>208</v>
      </c>
      <c r="AE601" t="s">
        <v>218</v>
      </c>
      <c r="AF601">
        <v>6</v>
      </c>
      <c r="AG601">
        <v>6</v>
      </c>
      <c r="AH601">
        <v>8</v>
      </c>
      <c r="AI601">
        <v>7</v>
      </c>
      <c r="AJ601">
        <v>8</v>
      </c>
      <c r="AK601">
        <v>8</v>
      </c>
    </row>
    <row r="602" spans="2:37" x14ac:dyDescent="0.3">
      <c r="B602" t="s">
        <v>150</v>
      </c>
      <c r="C602">
        <v>121</v>
      </c>
      <c r="D602">
        <v>20</v>
      </c>
      <c r="E602">
        <v>10</v>
      </c>
      <c r="F602">
        <v>150</v>
      </c>
      <c r="G602">
        <v>15.543519167316846</v>
      </c>
      <c r="H602">
        <v>55</v>
      </c>
      <c r="I602">
        <v>75</v>
      </c>
      <c r="J602">
        <v>15</v>
      </c>
      <c r="K602" s="8">
        <v>6.8</v>
      </c>
      <c r="N602">
        <v>1.3560000000000001</v>
      </c>
      <c r="O602" s="8">
        <v>9.25</v>
      </c>
      <c r="R602" s="8">
        <v>0</v>
      </c>
      <c r="S602" t="s">
        <v>68</v>
      </c>
      <c r="T602">
        <v>41.31</v>
      </c>
      <c r="U602">
        <v>6.57</v>
      </c>
      <c r="V602">
        <v>30.58</v>
      </c>
      <c r="W602">
        <v>51.81</v>
      </c>
      <c r="X602">
        <v>4.1000000000000002E-2</v>
      </c>
      <c r="Y602">
        <v>15.1</v>
      </c>
      <c r="Z602">
        <v>0</v>
      </c>
      <c r="AA602">
        <v>56.55</v>
      </c>
      <c r="AC602" t="s">
        <v>128</v>
      </c>
      <c r="AD602" t="s">
        <v>127</v>
      </c>
      <c r="AE602" t="s">
        <v>128</v>
      </c>
      <c r="AF602">
        <v>8</v>
      </c>
      <c r="AG602">
        <v>8</v>
      </c>
      <c r="AH602">
        <v>7</v>
      </c>
      <c r="AI602">
        <v>7</v>
      </c>
      <c r="AJ602">
        <v>7</v>
      </c>
      <c r="AK602">
        <v>6</v>
      </c>
    </row>
    <row r="603" spans="2:37" x14ac:dyDescent="0.3">
      <c r="B603" t="s">
        <v>150</v>
      </c>
      <c r="C603">
        <v>121</v>
      </c>
      <c r="D603">
        <v>20</v>
      </c>
      <c r="E603">
        <v>10</v>
      </c>
      <c r="F603">
        <v>150</v>
      </c>
      <c r="G603">
        <v>15.543519167316846</v>
      </c>
      <c r="H603">
        <v>55</v>
      </c>
      <c r="I603">
        <v>75</v>
      </c>
      <c r="J603">
        <v>15</v>
      </c>
      <c r="K603" s="8">
        <v>6.86</v>
      </c>
      <c r="N603">
        <v>3.25</v>
      </c>
      <c r="O603" s="10">
        <v>10.98</v>
      </c>
      <c r="R603" s="8">
        <v>0</v>
      </c>
      <c r="S603" t="s">
        <v>68</v>
      </c>
      <c r="T603">
        <v>41.23</v>
      </c>
      <c r="U603">
        <v>6.55</v>
      </c>
      <c r="V603">
        <v>30.45</v>
      </c>
      <c r="W603">
        <v>51.67</v>
      </c>
      <c r="X603">
        <v>0.375</v>
      </c>
      <c r="Y603">
        <v>15</v>
      </c>
      <c r="Z603">
        <v>-1</v>
      </c>
      <c r="AA603">
        <v>58.9</v>
      </c>
      <c r="AC603" t="s">
        <v>128</v>
      </c>
      <c r="AD603" t="s">
        <v>208</v>
      </c>
      <c r="AE603" t="s">
        <v>218</v>
      </c>
      <c r="AF603">
        <v>7</v>
      </c>
      <c r="AG603">
        <v>7</v>
      </c>
      <c r="AH603">
        <v>7</v>
      </c>
      <c r="AI603">
        <v>6</v>
      </c>
      <c r="AJ603">
        <v>8</v>
      </c>
      <c r="AK603">
        <v>8</v>
      </c>
    </row>
    <row r="604" spans="2:37" x14ac:dyDescent="0.3">
      <c r="B604" t="s">
        <v>150</v>
      </c>
      <c r="C604">
        <v>121</v>
      </c>
      <c r="D604">
        <v>20</v>
      </c>
      <c r="E604">
        <v>10</v>
      </c>
      <c r="F604">
        <v>150</v>
      </c>
      <c r="G604">
        <v>15.543519167316846</v>
      </c>
      <c r="H604">
        <v>55</v>
      </c>
      <c r="I604">
        <v>75</v>
      </c>
      <c r="J604">
        <v>15</v>
      </c>
      <c r="K604" s="8">
        <v>6.94</v>
      </c>
      <c r="N604">
        <v>6.32</v>
      </c>
      <c r="O604" s="10">
        <v>11.78</v>
      </c>
      <c r="R604" s="8">
        <v>0</v>
      </c>
      <c r="S604" t="s">
        <v>68</v>
      </c>
      <c r="T604">
        <v>41.2</v>
      </c>
      <c r="U604">
        <v>6.53</v>
      </c>
      <c r="V604">
        <v>30.45</v>
      </c>
      <c r="W604">
        <v>51.65</v>
      </c>
      <c r="X604">
        <v>0.755</v>
      </c>
      <c r="Y604">
        <v>14.7</v>
      </c>
      <c r="Z604">
        <v>-3</v>
      </c>
      <c r="AA604">
        <v>57.27</v>
      </c>
      <c r="AC604" t="s">
        <v>128</v>
      </c>
      <c r="AD604" t="s">
        <v>208</v>
      </c>
      <c r="AE604" t="s">
        <v>218</v>
      </c>
      <c r="AF604">
        <v>8</v>
      </c>
      <c r="AG604">
        <v>8</v>
      </c>
      <c r="AH604">
        <v>7</v>
      </c>
      <c r="AI604">
        <v>6</v>
      </c>
      <c r="AJ604">
        <v>7</v>
      </c>
      <c r="AK604">
        <v>7</v>
      </c>
    </row>
    <row r="605" spans="2:37" x14ac:dyDescent="0.3">
      <c r="B605" t="s">
        <v>151</v>
      </c>
      <c r="C605">
        <v>121</v>
      </c>
      <c r="D605">
        <v>20</v>
      </c>
      <c r="E605">
        <v>10</v>
      </c>
      <c r="F605">
        <v>150</v>
      </c>
      <c r="G605">
        <v>15.543519167316846</v>
      </c>
      <c r="H605">
        <v>45</v>
      </c>
      <c r="I605">
        <v>75</v>
      </c>
      <c r="J605">
        <v>15</v>
      </c>
      <c r="K605" s="8">
        <v>5.89</v>
      </c>
      <c r="N605">
        <v>3.25</v>
      </c>
      <c r="O605" s="8">
        <v>8.6</v>
      </c>
      <c r="R605" s="8">
        <v>0</v>
      </c>
      <c r="S605" t="s">
        <v>68</v>
      </c>
      <c r="T605">
        <v>55.75</v>
      </c>
      <c r="U605">
        <v>7.39</v>
      </c>
      <c r="V605">
        <v>47.18</v>
      </c>
      <c r="W605">
        <v>73.41</v>
      </c>
      <c r="X605">
        <v>1.1499999999999999</v>
      </c>
      <c r="Y605">
        <v>14.4</v>
      </c>
      <c r="Z605">
        <v>0</v>
      </c>
      <c r="AC605" t="s">
        <v>128</v>
      </c>
      <c r="AD605" t="s">
        <v>127</v>
      </c>
      <c r="AE605" t="s">
        <v>128</v>
      </c>
      <c r="AF605">
        <v>7</v>
      </c>
      <c r="AG605">
        <v>7</v>
      </c>
      <c r="AH605">
        <v>8</v>
      </c>
      <c r="AI605">
        <v>7</v>
      </c>
      <c r="AJ605">
        <v>8</v>
      </c>
      <c r="AK605">
        <v>8</v>
      </c>
    </row>
    <row r="606" spans="2:37" x14ac:dyDescent="0.3">
      <c r="B606" t="s">
        <v>151</v>
      </c>
      <c r="C606">
        <v>121</v>
      </c>
      <c r="D606">
        <v>20</v>
      </c>
      <c r="E606">
        <v>10</v>
      </c>
      <c r="F606">
        <v>150</v>
      </c>
      <c r="G606">
        <v>15.543519167316846</v>
      </c>
      <c r="H606">
        <v>45</v>
      </c>
      <c r="I606">
        <v>75</v>
      </c>
      <c r="J606">
        <v>15</v>
      </c>
      <c r="K606" s="8">
        <v>5.92</v>
      </c>
      <c r="N606">
        <v>6.45</v>
      </c>
      <c r="O606" s="8">
        <v>8.1999999999999993</v>
      </c>
      <c r="R606" s="8">
        <v>0</v>
      </c>
      <c r="S606" t="s">
        <v>68</v>
      </c>
      <c r="T606">
        <v>55.74</v>
      </c>
      <c r="U606">
        <v>7.38</v>
      </c>
      <c r="V606">
        <v>47.22</v>
      </c>
      <c r="W606">
        <v>73.430000000000007</v>
      </c>
      <c r="X606">
        <v>1.19</v>
      </c>
      <c r="Y606">
        <v>15</v>
      </c>
      <c r="Z606">
        <v>0</v>
      </c>
      <c r="AC606" t="s">
        <v>128</v>
      </c>
      <c r="AD606" t="s">
        <v>127</v>
      </c>
      <c r="AE606" t="s">
        <v>128</v>
      </c>
      <c r="AF606">
        <v>7</v>
      </c>
      <c r="AG606">
        <v>8</v>
      </c>
      <c r="AH606">
        <v>8</v>
      </c>
      <c r="AI606">
        <v>8</v>
      </c>
      <c r="AJ606">
        <v>7</v>
      </c>
      <c r="AK606">
        <v>8</v>
      </c>
    </row>
    <row r="607" spans="2:37" x14ac:dyDescent="0.3">
      <c r="B607" t="s">
        <v>151</v>
      </c>
      <c r="C607">
        <v>121</v>
      </c>
      <c r="D607">
        <v>20</v>
      </c>
      <c r="E607">
        <v>10</v>
      </c>
      <c r="F607">
        <v>150</v>
      </c>
      <c r="G607">
        <v>15.543519167316846</v>
      </c>
      <c r="H607">
        <v>45</v>
      </c>
      <c r="I607">
        <v>75</v>
      </c>
      <c r="J607">
        <v>15</v>
      </c>
      <c r="K607" s="8">
        <v>5.76</v>
      </c>
      <c r="N607">
        <v>5.34</v>
      </c>
      <c r="O607" s="8">
        <v>7.6</v>
      </c>
      <c r="R607" s="8">
        <v>0</v>
      </c>
      <c r="S607" t="s">
        <v>68</v>
      </c>
      <c r="T607">
        <v>55.74</v>
      </c>
      <c r="U607">
        <v>7.37</v>
      </c>
      <c r="V607">
        <v>47.29</v>
      </c>
      <c r="W607">
        <v>73.47</v>
      </c>
      <c r="X607">
        <v>1.19</v>
      </c>
      <c r="Y607">
        <v>14.8</v>
      </c>
      <c r="Z607">
        <v>0</v>
      </c>
      <c r="AC607" t="s">
        <v>128</v>
      </c>
      <c r="AD607" t="s">
        <v>127</v>
      </c>
      <c r="AE607" t="s">
        <v>128</v>
      </c>
      <c r="AF607">
        <v>7</v>
      </c>
      <c r="AG607">
        <v>7</v>
      </c>
      <c r="AH607">
        <v>8</v>
      </c>
      <c r="AI607">
        <v>7</v>
      </c>
      <c r="AJ607">
        <v>8</v>
      </c>
      <c r="AK607">
        <v>7</v>
      </c>
    </row>
    <row r="608" spans="2:37" x14ac:dyDescent="0.3">
      <c r="B608" t="s">
        <v>152</v>
      </c>
      <c r="C608">
        <v>121</v>
      </c>
      <c r="D608">
        <v>20</v>
      </c>
      <c r="E608">
        <v>10</v>
      </c>
      <c r="F608">
        <v>150</v>
      </c>
      <c r="G608">
        <v>15.543519167316846</v>
      </c>
      <c r="H608">
        <v>55</v>
      </c>
      <c r="I608">
        <v>75</v>
      </c>
      <c r="J608">
        <v>18</v>
      </c>
      <c r="K608" s="8">
        <v>6.01</v>
      </c>
      <c r="N608">
        <v>4.12</v>
      </c>
      <c r="O608" s="10">
        <v>12.9</v>
      </c>
      <c r="R608" s="8">
        <v>0</v>
      </c>
      <c r="S608" t="s">
        <v>68</v>
      </c>
      <c r="T608">
        <v>58.46</v>
      </c>
      <c r="U608">
        <v>8.82</v>
      </c>
      <c r="V608">
        <v>51.61</v>
      </c>
      <c r="W608">
        <v>78.47</v>
      </c>
      <c r="X608">
        <v>0.01</v>
      </c>
      <c r="Y608">
        <v>16.600000000000001</v>
      </c>
      <c r="Z608">
        <v>1</v>
      </c>
      <c r="AA608">
        <v>57.55</v>
      </c>
      <c r="AC608" t="s">
        <v>128</v>
      </c>
      <c r="AD608" t="s">
        <v>208</v>
      </c>
      <c r="AE608" t="s">
        <v>218</v>
      </c>
      <c r="AF608">
        <v>8</v>
      </c>
      <c r="AG608">
        <v>8</v>
      </c>
      <c r="AH608">
        <v>7</v>
      </c>
      <c r="AI608">
        <v>7</v>
      </c>
      <c r="AJ608">
        <v>7</v>
      </c>
      <c r="AK608">
        <v>8</v>
      </c>
    </row>
    <row r="609" spans="2:37" x14ac:dyDescent="0.3">
      <c r="B609" t="s">
        <v>152</v>
      </c>
      <c r="C609">
        <v>121</v>
      </c>
      <c r="D609">
        <v>20</v>
      </c>
      <c r="E609">
        <v>10</v>
      </c>
      <c r="F609">
        <v>150</v>
      </c>
      <c r="G609">
        <v>15.543519167316846</v>
      </c>
      <c r="H609">
        <v>55</v>
      </c>
      <c r="I609">
        <v>75</v>
      </c>
      <c r="J609">
        <v>18</v>
      </c>
      <c r="K609" s="8">
        <v>6.08</v>
      </c>
      <c r="N609">
        <v>2.56</v>
      </c>
      <c r="O609" s="10">
        <v>13.45</v>
      </c>
      <c r="R609" s="8">
        <v>0</v>
      </c>
      <c r="S609" t="s">
        <v>68</v>
      </c>
      <c r="T609">
        <v>58.44</v>
      </c>
      <c r="U609">
        <v>8.81</v>
      </c>
      <c r="V609">
        <v>51.66</v>
      </c>
      <c r="W609">
        <v>78.489999999999995</v>
      </c>
      <c r="X609">
        <v>0.04</v>
      </c>
      <c r="Y609">
        <v>16.3</v>
      </c>
      <c r="Z609">
        <v>1</v>
      </c>
      <c r="AA609">
        <v>57.55</v>
      </c>
      <c r="AC609" t="s">
        <v>128</v>
      </c>
      <c r="AD609" t="s">
        <v>208</v>
      </c>
      <c r="AE609" t="s">
        <v>218</v>
      </c>
      <c r="AF609">
        <v>7</v>
      </c>
      <c r="AG609">
        <v>7</v>
      </c>
      <c r="AH609">
        <v>8</v>
      </c>
      <c r="AI609">
        <v>7</v>
      </c>
      <c r="AJ609">
        <v>7</v>
      </c>
      <c r="AK609">
        <v>7</v>
      </c>
    </row>
    <row r="610" spans="2:37" x14ac:dyDescent="0.3">
      <c r="B610" t="s">
        <v>152</v>
      </c>
      <c r="C610">
        <v>121</v>
      </c>
      <c r="D610">
        <v>20</v>
      </c>
      <c r="E610">
        <v>10</v>
      </c>
      <c r="F610">
        <v>150</v>
      </c>
      <c r="G610">
        <v>15.543519167316846</v>
      </c>
      <c r="H610">
        <v>55</v>
      </c>
      <c r="I610">
        <v>75</v>
      </c>
      <c r="J610">
        <v>18</v>
      </c>
      <c r="K610" s="8">
        <v>6.12</v>
      </c>
      <c r="N610">
        <v>3.2</v>
      </c>
      <c r="O610" s="10">
        <v>13.6</v>
      </c>
      <c r="R610" s="8">
        <v>0</v>
      </c>
      <c r="S610" t="s">
        <v>68</v>
      </c>
      <c r="T610">
        <v>58.43</v>
      </c>
      <c r="U610">
        <v>8.8000000000000007</v>
      </c>
      <c r="V610">
        <v>51.6</v>
      </c>
      <c r="W610">
        <v>78.45</v>
      </c>
      <c r="X610">
        <v>0.02</v>
      </c>
      <c r="Y610">
        <v>16.5</v>
      </c>
      <c r="Z610">
        <v>1</v>
      </c>
      <c r="AA610">
        <v>57.55</v>
      </c>
      <c r="AC610" t="s">
        <v>128</v>
      </c>
      <c r="AD610" t="s">
        <v>208</v>
      </c>
      <c r="AE610" t="s">
        <v>218</v>
      </c>
      <c r="AF610">
        <v>8</v>
      </c>
      <c r="AG610">
        <v>8</v>
      </c>
      <c r="AH610">
        <v>8</v>
      </c>
      <c r="AI610">
        <v>6</v>
      </c>
      <c r="AJ610">
        <v>8</v>
      </c>
      <c r="AK610">
        <v>5</v>
      </c>
    </row>
    <row r="611" spans="2:37" x14ac:dyDescent="0.3">
      <c r="B611" t="s">
        <v>153</v>
      </c>
      <c r="C611">
        <v>121</v>
      </c>
      <c r="D611">
        <v>20</v>
      </c>
      <c r="E611">
        <v>10</v>
      </c>
      <c r="F611">
        <v>150</v>
      </c>
      <c r="G611">
        <v>15.543519167316846</v>
      </c>
      <c r="H611">
        <v>45</v>
      </c>
      <c r="I611">
        <v>75</v>
      </c>
      <c r="J611">
        <v>20</v>
      </c>
      <c r="K611" s="8">
        <v>5.63</v>
      </c>
      <c r="N611">
        <v>5.8</v>
      </c>
      <c r="O611" s="10">
        <v>12.01</v>
      </c>
      <c r="R611" s="8">
        <v>0</v>
      </c>
      <c r="S611" t="s">
        <v>68</v>
      </c>
      <c r="X611">
        <v>14.9</v>
      </c>
      <c r="Y611">
        <v>2.9</v>
      </c>
      <c r="Z611">
        <v>1</v>
      </c>
      <c r="AC611" t="s">
        <v>128</v>
      </c>
      <c r="AD611" t="s">
        <v>208</v>
      </c>
      <c r="AE611" t="s">
        <v>218</v>
      </c>
      <c r="AF611">
        <v>9</v>
      </c>
      <c r="AG611">
        <v>7</v>
      </c>
      <c r="AH611">
        <v>8</v>
      </c>
      <c r="AI611">
        <v>6</v>
      </c>
      <c r="AJ611">
        <v>8</v>
      </c>
      <c r="AK611">
        <v>6</v>
      </c>
    </row>
    <row r="612" spans="2:37" x14ac:dyDescent="0.3">
      <c r="B612" t="s">
        <v>153</v>
      </c>
      <c r="C612">
        <v>121</v>
      </c>
      <c r="D612">
        <v>20</v>
      </c>
      <c r="E612">
        <v>10</v>
      </c>
      <c r="F612">
        <v>150</v>
      </c>
      <c r="G612">
        <v>15.543519167316846</v>
      </c>
      <c r="H612">
        <v>45</v>
      </c>
      <c r="I612">
        <v>75</v>
      </c>
      <c r="J612">
        <v>20</v>
      </c>
      <c r="K612" s="8">
        <v>5.76</v>
      </c>
      <c r="N612">
        <v>6.3</v>
      </c>
      <c r="O612" s="10">
        <v>11.64</v>
      </c>
      <c r="R612" s="8">
        <v>0</v>
      </c>
      <c r="S612" t="s">
        <v>68</v>
      </c>
      <c r="X612">
        <v>15</v>
      </c>
      <c r="Y612">
        <v>3.1</v>
      </c>
      <c r="Z612">
        <v>1</v>
      </c>
      <c r="AC612" t="s">
        <v>128</v>
      </c>
      <c r="AD612" t="s">
        <v>208</v>
      </c>
      <c r="AE612" t="s">
        <v>218</v>
      </c>
      <c r="AF612">
        <v>6</v>
      </c>
      <c r="AG612">
        <v>8</v>
      </c>
      <c r="AH612">
        <v>7</v>
      </c>
      <c r="AI612">
        <v>6</v>
      </c>
      <c r="AJ612">
        <v>8</v>
      </c>
      <c r="AK612">
        <v>7</v>
      </c>
    </row>
    <row r="613" spans="2:37" x14ac:dyDescent="0.3">
      <c r="B613" t="s">
        <v>153</v>
      </c>
      <c r="C613">
        <v>121</v>
      </c>
      <c r="D613">
        <v>20</v>
      </c>
      <c r="E613">
        <v>10</v>
      </c>
      <c r="F613">
        <v>150</v>
      </c>
      <c r="G613">
        <v>15.543519167316846</v>
      </c>
      <c r="H613">
        <v>45</v>
      </c>
      <c r="I613">
        <v>75</v>
      </c>
      <c r="J613">
        <v>20</v>
      </c>
      <c r="K613" s="8">
        <v>5.87</v>
      </c>
      <c r="N613">
        <v>4.5</v>
      </c>
      <c r="O613" s="10">
        <v>12.12</v>
      </c>
      <c r="R613" s="8">
        <v>0</v>
      </c>
      <c r="S613" t="s">
        <v>68</v>
      </c>
      <c r="X613">
        <v>15.1</v>
      </c>
      <c r="Y613">
        <v>3</v>
      </c>
      <c r="Z613">
        <v>1</v>
      </c>
      <c r="AC613" t="s">
        <v>128</v>
      </c>
      <c r="AD613" t="s">
        <v>208</v>
      </c>
      <c r="AE613" t="s">
        <v>218</v>
      </c>
      <c r="AF613">
        <v>7</v>
      </c>
      <c r="AG613">
        <v>7</v>
      </c>
      <c r="AH613">
        <v>7</v>
      </c>
      <c r="AI613">
        <v>6</v>
      </c>
      <c r="AJ613">
        <v>7</v>
      </c>
      <c r="AK613">
        <v>8</v>
      </c>
    </row>
    <row r="614" spans="2:37" x14ac:dyDescent="0.3">
      <c r="B614" t="s">
        <v>154</v>
      </c>
      <c r="C614">
        <v>121</v>
      </c>
      <c r="D614">
        <v>20</v>
      </c>
      <c r="E614">
        <v>10</v>
      </c>
      <c r="F614">
        <v>150</v>
      </c>
      <c r="G614">
        <v>15.543519167316846</v>
      </c>
      <c r="H614">
        <v>28</v>
      </c>
      <c r="I614">
        <v>75</v>
      </c>
      <c r="J614">
        <v>20</v>
      </c>
      <c r="K614" s="8">
        <v>6.65</v>
      </c>
      <c r="N614">
        <v>6.2</v>
      </c>
      <c r="O614" s="10">
        <v>10.199999999999999</v>
      </c>
      <c r="R614" s="8">
        <v>0</v>
      </c>
      <c r="S614" t="s">
        <v>68</v>
      </c>
      <c r="X614">
        <v>0</v>
      </c>
      <c r="Y614">
        <v>20.5</v>
      </c>
      <c r="Z614">
        <v>1</v>
      </c>
      <c r="AC614" t="s">
        <v>128</v>
      </c>
      <c r="AD614" t="s">
        <v>208</v>
      </c>
      <c r="AE614" t="s">
        <v>218</v>
      </c>
      <c r="AF614">
        <v>8</v>
      </c>
      <c r="AG614">
        <v>6</v>
      </c>
      <c r="AH614">
        <v>7</v>
      </c>
      <c r="AI614">
        <v>5</v>
      </c>
      <c r="AJ614">
        <v>8</v>
      </c>
      <c r="AK614">
        <v>8</v>
      </c>
    </row>
    <row r="615" spans="2:37" x14ac:dyDescent="0.3">
      <c r="B615" t="s">
        <v>154</v>
      </c>
      <c r="C615">
        <v>121</v>
      </c>
      <c r="D615">
        <v>20</v>
      </c>
      <c r="E615">
        <v>10</v>
      </c>
      <c r="F615">
        <v>150</v>
      </c>
      <c r="G615">
        <v>15.543519167316846</v>
      </c>
      <c r="H615">
        <v>28</v>
      </c>
      <c r="I615">
        <v>75</v>
      </c>
      <c r="J615">
        <v>20</v>
      </c>
      <c r="K615" s="8">
        <v>6.68</v>
      </c>
      <c r="N615">
        <v>6.3</v>
      </c>
      <c r="O615" s="8">
        <v>9.9</v>
      </c>
      <c r="R615" s="8">
        <v>0</v>
      </c>
      <c r="S615" t="s">
        <v>68</v>
      </c>
      <c r="X615">
        <v>0</v>
      </c>
      <c r="Y615">
        <v>20.399999999999999</v>
      </c>
      <c r="Z615">
        <v>0</v>
      </c>
      <c r="AC615" t="s">
        <v>128</v>
      </c>
      <c r="AD615" t="s">
        <v>127</v>
      </c>
      <c r="AE615" t="s">
        <v>128</v>
      </c>
      <c r="AF615">
        <v>7</v>
      </c>
      <c r="AG615">
        <v>8</v>
      </c>
      <c r="AH615">
        <v>8</v>
      </c>
      <c r="AI615">
        <v>6</v>
      </c>
      <c r="AJ615">
        <v>7</v>
      </c>
      <c r="AK615">
        <v>7</v>
      </c>
    </row>
    <row r="616" spans="2:37" x14ac:dyDescent="0.3">
      <c r="B616" t="s">
        <v>154</v>
      </c>
      <c r="C616">
        <v>121</v>
      </c>
      <c r="D616">
        <v>20</v>
      </c>
      <c r="E616">
        <v>10</v>
      </c>
      <c r="F616">
        <v>150</v>
      </c>
      <c r="G616">
        <v>15.543519167316846</v>
      </c>
      <c r="H616">
        <v>28</v>
      </c>
      <c r="I616">
        <v>75</v>
      </c>
      <c r="J616">
        <v>20</v>
      </c>
      <c r="K616" s="8">
        <v>6.61</v>
      </c>
      <c r="N616">
        <v>1.5</v>
      </c>
      <c r="O616" s="10">
        <v>11.5</v>
      </c>
      <c r="R616" s="8">
        <v>0</v>
      </c>
      <c r="S616" t="s">
        <v>68</v>
      </c>
      <c r="X616">
        <v>0</v>
      </c>
      <c r="Y616">
        <v>20.6</v>
      </c>
      <c r="Z616">
        <v>0</v>
      </c>
      <c r="AC616" t="s">
        <v>128</v>
      </c>
      <c r="AD616" t="s">
        <v>208</v>
      </c>
      <c r="AE616" t="s">
        <v>218</v>
      </c>
      <c r="AF616">
        <v>7</v>
      </c>
      <c r="AG616">
        <v>7</v>
      </c>
      <c r="AH616">
        <v>7</v>
      </c>
      <c r="AI616">
        <v>6</v>
      </c>
      <c r="AJ616">
        <v>8</v>
      </c>
      <c r="AK616">
        <v>9</v>
      </c>
    </row>
    <row r="617" spans="2:37" x14ac:dyDescent="0.3">
      <c r="B617" t="s">
        <v>154</v>
      </c>
      <c r="C617">
        <v>121</v>
      </c>
      <c r="D617">
        <v>20</v>
      </c>
      <c r="E617">
        <v>10</v>
      </c>
      <c r="F617">
        <v>150</v>
      </c>
      <c r="G617">
        <v>15.543519167316846</v>
      </c>
      <c r="H617">
        <v>28</v>
      </c>
      <c r="I617">
        <v>75</v>
      </c>
      <c r="J617">
        <v>20</v>
      </c>
      <c r="K617" s="8">
        <v>6.53</v>
      </c>
      <c r="N617">
        <v>5.6</v>
      </c>
      <c r="O617" s="10">
        <v>10.46</v>
      </c>
      <c r="R617" s="8">
        <v>0</v>
      </c>
      <c r="S617" t="s">
        <v>68</v>
      </c>
      <c r="X617">
        <v>0</v>
      </c>
      <c r="Y617">
        <v>24.3</v>
      </c>
      <c r="Z617">
        <v>1</v>
      </c>
      <c r="AC617" t="s">
        <v>128</v>
      </c>
      <c r="AD617" t="s">
        <v>208</v>
      </c>
      <c r="AE617" t="s">
        <v>218</v>
      </c>
      <c r="AF617">
        <v>7</v>
      </c>
      <c r="AG617">
        <v>7</v>
      </c>
      <c r="AH617">
        <v>7</v>
      </c>
      <c r="AI617">
        <v>6</v>
      </c>
      <c r="AJ617">
        <v>7</v>
      </c>
      <c r="AK617">
        <v>6</v>
      </c>
    </row>
    <row r="618" spans="2:37" x14ac:dyDescent="0.3">
      <c r="B618" t="s">
        <v>154</v>
      </c>
      <c r="C618">
        <v>121</v>
      </c>
      <c r="D618">
        <v>20</v>
      </c>
      <c r="E618">
        <v>10</v>
      </c>
      <c r="F618">
        <v>150</v>
      </c>
      <c r="G618">
        <v>15.543519167316846</v>
      </c>
      <c r="H618">
        <v>28</v>
      </c>
      <c r="I618">
        <v>75</v>
      </c>
      <c r="J618">
        <v>20</v>
      </c>
      <c r="K618" s="8">
        <v>5.99</v>
      </c>
      <c r="N618">
        <v>3.2</v>
      </c>
      <c r="O618" s="10">
        <v>11.03</v>
      </c>
      <c r="R618" s="8">
        <v>0</v>
      </c>
      <c r="S618" t="s">
        <v>68</v>
      </c>
      <c r="X618">
        <v>0.999</v>
      </c>
      <c r="Y618">
        <v>22.5</v>
      </c>
      <c r="Z618">
        <v>1</v>
      </c>
      <c r="AC618" t="s">
        <v>128</v>
      </c>
      <c r="AD618" t="s">
        <v>208</v>
      </c>
      <c r="AE618" t="s">
        <v>218</v>
      </c>
      <c r="AF618">
        <v>8</v>
      </c>
      <c r="AG618">
        <v>8</v>
      </c>
      <c r="AH618">
        <v>7</v>
      </c>
      <c r="AI618">
        <v>6</v>
      </c>
      <c r="AJ618">
        <v>8</v>
      </c>
      <c r="AK618">
        <v>8</v>
      </c>
    </row>
    <row r="619" spans="2:37" x14ac:dyDescent="0.3">
      <c r="B619" t="s">
        <v>154</v>
      </c>
      <c r="C619">
        <v>121</v>
      </c>
      <c r="D619">
        <v>20</v>
      </c>
      <c r="E619">
        <v>10</v>
      </c>
      <c r="F619">
        <v>150</v>
      </c>
      <c r="G619">
        <v>15.543519167316846</v>
      </c>
      <c r="H619">
        <v>28</v>
      </c>
      <c r="I619">
        <v>75</v>
      </c>
      <c r="J619">
        <v>20</v>
      </c>
      <c r="K619" s="8">
        <v>6.03</v>
      </c>
      <c r="N619">
        <v>3.2</v>
      </c>
      <c r="O619" s="8">
        <v>9.4600000000000009</v>
      </c>
      <c r="R619" s="8">
        <v>0</v>
      </c>
      <c r="S619" t="s">
        <v>68</v>
      </c>
      <c r="X619">
        <v>1.64</v>
      </c>
      <c r="Y619">
        <v>21.6</v>
      </c>
      <c r="Z619">
        <v>1</v>
      </c>
      <c r="AC619" t="s">
        <v>128</v>
      </c>
      <c r="AD619" t="s">
        <v>127</v>
      </c>
      <c r="AE619" t="s">
        <v>128</v>
      </c>
      <c r="AF619">
        <v>7</v>
      </c>
      <c r="AG619">
        <v>6</v>
      </c>
      <c r="AH619">
        <v>8</v>
      </c>
      <c r="AI619">
        <v>5</v>
      </c>
      <c r="AJ619">
        <v>7</v>
      </c>
      <c r="AK619">
        <v>6</v>
      </c>
    </row>
    <row r="620" spans="2:37" x14ac:dyDescent="0.3">
      <c r="B620" t="s">
        <v>155</v>
      </c>
      <c r="C620">
        <v>121</v>
      </c>
      <c r="D620">
        <v>20</v>
      </c>
      <c r="E620">
        <v>10</v>
      </c>
      <c r="F620">
        <v>150</v>
      </c>
      <c r="G620">
        <v>15.543519167316846</v>
      </c>
      <c r="H620">
        <v>55</v>
      </c>
      <c r="I620">
        <v>75</v>
      </c>
      <c r="J620">
        <v>21</v>
      </c>
      <c r="K620" s="8">
        <v>5.9</v>
      </c>
      <c r="N620">
        <v>1.3</v>
      </c>
      <c r="O620" s="10">
        <v>37.5</v>
      </c>
      <c r="R620" s="8">
        <v>0</v>
      </c>
      <c r="S620" t="s">
        <v>68</v>
      </c>
      <c r="X620">
        <v>0.57499999999999996</v>
      </c>
      <c r="Y620">
        <v>26.7</v>
      </c>
      <c r="Z620">
        <v>0</v>
      </c>
      <c r="AC620" t="s">
        <v>128</v>
      </c>
      <c r="AD620" t="s">
        <v>208</v>
      </c>
      <c r="AE620" t="s">
        <v>218</v>
      </c>
      <c r="AF620">
        <v>6</v>
      </c>
      <c r="AG620">
        <v>5</v>
      </c>
      <c r="AH620">
        <v>4</v>
      </c>
      <c r="AI620" t="s">
        <v>213</v>
      </c>
      <c r="AJ620">
        <v>6</v>
      </c>
      <c r="AK620">
        <v>4</v>
      </c>
    </row>
    <row r="621" spans="2:37" x14ac:dyDescent="0.3">
      <c r="B621" t="s">
        <v>155</v>
      </c>
      <c r="C621">
        <v>121</v>
      </c>
      <c r="D621">
        <v>20</v>
      </c>
      <c r="E621">
        <v>10</v>
      </c>
      <c r="F621">
        <v>150</v>
      </c>
      <c r="G621">
        <v>15.543519167316846</v>
      </c>
      <c r="H621">
        <v>55</v>
      </c>
      <c r="I621">
        <v>75</v>
      </c>
      <c r="J621">
        <v>21</v>
      </c>
      <c r="K621" s="8">
        <v>5.96</v>
      </c>
      <c r="N621">
        <v>1.1000000000000001</v>
      </c>
      <c r="O621" s="10">
        <v>37.299999999999997</v>
      </c>
      <c r="R621" s="8">
        <v>0</v>
      </c>
      <c r="S621" t="s">
        <v>68</v>
      </c>
      <c r="X621">
        <v>1.73</v>
      </c>
      <c r="Y621">
        <v>25</v>
      </c>
      <c r="Z621">
        <v>0</v>
      </c>
      <c r="AC621" t="s">
        <v>128</v>
      </c>
      <c r="AD621" t="s">
        <v>208</v>
      </c>
      <c r="AE621" t="s">
        <v>218</v>
      </c>
      <c r="AF621">
        <v>7</v>
      </c>
      <c r="AG621">
        <v>8</v>
      </c>
      <c r="AH621">
        <v>4</v>
      </c>
      <c r="AI621" t="s">
        <v>213</v>
      </c>
      <c r="AJ621">
        <v>7</v>
      </c>
      <c r="AK621">
        <v>4</v>
      </c>
    </row>
    <row r="622" spans="2:37" x14ac:dyDescent="0.3">
      <c r="B622" t="s">
        <v>155</v>
      </c>
      <c r="C622">
        <v>121</v>
      </c>
      <c r="D622">
        <v>20</v>
      </c>
      <c r="E622">
        <v>10</v>
      </c>
      <c r="F622">
        <v>150</v>
      </c>
      <c r="G622">
        <v>15.543519167316846</v>
      </c>
      <c r="H622">
        <v>55</v>
      </c>
      <c r="I622">
        <v>75</v>
      </c>
      <c r="J622">
        <v>21</v>
      </c>
      <c r="K622" s="8">
        <v>5.98</v>
      </c>
      <c r="N622">
        <v>1.5</v>
      </c>
      <c r="O622" s="10">
        <v>37.6</v>
      </c>
      <c r="R622" s="8">
        <v>0</v>
      </c>
      <c r="S622" t="s">
        <v>68</v>
      </c>
      <c r="X622">
        <v>2.68</v>
      </c>
      <c r="Y622">
        <v>23.5</v>
      </c>
      <c r="Z622">
        <v>0</v>
      </c>
      <c r="AC622" t="s">
        <v>128</v>
      </c>
      <c r="AD622" t="s">
        <v>208</v>
      </c>
      <c r="AE622" t="s">
        <v>218</v>
      </c>
      <c r="AF622">
        <v>8</v>
      </c>
      <c r="AG622">
        <v>5</v>
      </c>
      <c r="AH622">
        <v>4</v>
      </c>
      <c r="AI622" t="s">
        <v>213</v>
      </c>
      <c r="AJ622">
        <v>6</v>
      </c>
      <c r="AK622">
        <v>4</v>
      </c>
    </row>
    <row r="623" spans="2:37" x14ac:dyDescent="0.3">
      <c r="B623" t="s">
        <v>156</v>
      </c>
      <c r="C623">
        <v>121</v>
      </c>
      <c r="D623">
        <v>20</v>
      </c>
      <c r="E623">
        <v>10</v>
      </c>
      <c r="F623">
        <v>150</v>
      </c>
      <c r="G623">
        <v>15.543519167316846</v>
      </c>
      <c r="H623">
        <v>32</v>
      </c>
      <c r="I623">
        <v>75</v>
      </c>
      <c r="J623">
        <v>21</v>
      </c>
      <c r="K623" s="8">
        <v>5.99</v>
      </c>
      <c r="N623">
        <v>1.6</v>
      </c>
      <c r="O623" s="10">
        <v>15.6</v>
      </c>
      <c r="R623" s="8">
        <v>0</v>
      </c>
      <c r="S623" t="s">
        <v>68</v>
      </c>
      <c r="AC623" t="s">
        <v>128</v>
      </c>
      <c r="AD623" t="s">
        <v>208</v>
      </c>
      <c r="AE623" t="s">
        <v>218</v>
      </c>
      <c r="AF623">
        <v>7</v>
      </c>
      <c r="AG623">
        <v>6</v>
      </c>
      <c r="AH623">
        <v>7</v>
      </c>
      <c r="AI623" t="s">
        <v>213</v>
      </c>
      <c r="AJ623">
        <v>5</v>
      </c>
      <c r="AK623">
        <v>7</v>
      </c>
    </row>
    <row r="624" spans="2:37" x14ac:dyDescent="0.3">
      <c r="B624" t="s">
        <v>156</v>
      </c>
      <c r="C624">
        <v>121</v>
      </c>
      <c r="D624">
        <v>20</v>
      </c>
      <c r="E624">
        <v>10</v>
      </c>
      <c r="F624">
        <v>150</v>
      </c>
      <c r="G624">
        <v>15.543519167316846</v>
      </c>
      <c r="H624">
        <v>32</v>
      </c>
      <c r="I624">
        <v>75</v>
      </c>
      <c r="J624">
        <v>21</v>
      </c>
      <c r="K624" s="8">
        <v>6.12</v>
      </c>
      <c r="N624">
        <v>1.4</v>
      </c>
      <c r="O624" s="10">
        <v>16.54</v>
      </c>
      <c r="R624" s="8">
        <v>0</v>
      </c>
      <c r="S624" t="s">
        <v>68</v>
      </c>
      <c r="AC624" t="s">
        <v>128</v>
      </c>
      <c r="AD624" t="s">
        <v>208</v>
      </c>
      <c r="AE624" t="s">
        <v>218</v>
      </c>
      <c r="AF624">
        <v>8</v>
      </c>
      <c r="AG624">
        <v>7</v>
      </c>
      <c r="AH624">
        <v>7</v>
      </c>
      <c r="AI624" t="s">
        <v>213</v>
      </c>
      <c r="AJ624">
        <v>6</v>
      </c>
      <c r="AK624">
        <v>7</v>
      </c>
    </row>
    <row r="625" spans="2:37" x14ac:dyDescent="0.3">
      <c r="B625" t="s">
        <v>156</v>
      </c>
      <c r="C625">
        <v>121</v>
      </c>
      <c r="D625">
        <v>20</v>
      </c>
      <c r="E625">
        <v>10</v>
      </c>
      <c r="F625">
        <v>150</v>
      </c>
      <c r="G625">
        <v>15.543519167316846</v>
      </c>
      <c r="H625">
        <v>32</v>
      </c>
      <c r="I625">
        <v>75</v>
      </c>
      <c r="J625">
        <v>21</v>
      </c>
      <c r="K625" s="8">
        <v>6.13</v>
      </c>
      <c r="N625">
        <v>1.89</v>
      </c>
      <c r="O625" s="10">
        <v>16.34</v>
      </c>
      <c r="R625" s="8">
        <v>0</v>
      </c>
      <c r="S625" t="s">
        <v>68</v>
      </c>
      <c r="AC625" t="s">
        <v>128</v>
      </c>
      <c r="AD625" t="s">
        <v>208</v>
      </c>
      <c r="AE625" t="s">
        <v>218</v>
      </c>
      <c r="AF625">
        <v>6</v>
      </c>
      <c r="AG625">
        <v>6</v>
      </c>
      <c r="AH625">
        <v>7</v>
      </c>
      <c r="AI625" t="s">
        <v>213</v>
      </c>
      <c r="AJ625">
        <v>7</v>
      </c>
      <c r="AK625">
        <v>7</v>
      </c>
    </row>
    <row r="626" spans="2:37" x14ac:dyDescent="0.3">
      <c r="B626" t="s">
        <v>157</v>
      </c>
      <c r="C626">
        <v>121</v>
      </c>
      <c r="D626">
        <v>20</v>
      </c>
      <c r="E626">
        <v>10</v>
      </c>
      <c r="F626">
        <v>150</v>
      </c>
      <c r="G626">
        <v>15.543519167316846</v>
      </c>
      <c r="H626">
        <v>55</v>
      </c>
      <c r="I626">
        <v>75</v>
      </c>
      <c r="J626">
        <v>24</v>
      </c>
      <c r="K626" s="8">
        <v>5.5170000000000003</v>
      </c>
      <c r="N626">
        <v>1.63</v>
      </c>
      <c r="O626" s="10">
        <v>47.5</v>
      </c>
      <c r="R626" s="8">
        <v>0</v>
      </c>
      <c r="S626" t="s">
        <v>68</v>
      </c>
      <c r="X626">
        <v>0</v>
      </c>
      <c r="Y626">
        <v>28.3</v>
      </c>
      <c r="Z626">
        <v>0</v>
      </c>
      <c r="AC626" t="s">
        <v>128</v>
      </c>
      <c r="AD626" t="s">
        <v>208</v>
      </c>
      <c r="AE626" t="s">
        <v>218</v>
      </c>
      <c r="AF626">
        <v>5</v>
      </c>
      <c r="AG626">
        <v>8</v>
      </c>
      <c r="AH626">
        <v>3</v>
      </c>
      <c r="AI626" t="s">
        <v>213</v>
      </c>
      <c r="AJ626">
        <v>6</v>
      </c>
      <c r="AK626">
        <v>3</v>
      </c>
    </row>
    <row r="627" spans="2:37" x14ac:dyDescent="0.3">
      <c r="B627" t="s">
        <v>157</v>
      </c>
      <c r="C627">
        <v>121</v>
      </c>
      <c r="D627">
        <v>20</v>
      </c>
      <c r="E627">
        <v>10</v>
      </c>
      <c r="F627">
        <v>150</v>
      </c>
      <c r="G627">
        <v>15.543519167316846</v>
      </c>
      <c r="H627">
        <v>55</v>
      </c>
      <c r="I627">
        <v>75</v>
      </c>
      <c r="J627">
        <v>24</v>
      </c>
      <c r="K627" s="8">
        <v>5.58</v>
      </c>
      <c r="N627">
        <v>2.1</v>
      </c>
      <c r="O627" s="10">
        <v>47.89</v>
      </c>
      <c r="R627" s="8">
        <v>0</v>
      </c>
      <c r="S627" t="s">
        <v>68</v>
      </c>
      <c r="X627">
        <v>0</v>
      </c>
      <c r="Y627">
        <v>28.5</v>
      </c>
      <c r="Z627">
        <v>0</v>
      </c>
      <c r="AC627" t="s">
        <v>128</v>
      </c>
      <c r="AD627" t="s">
        <v>208</v>
      </c>
      <c r="AE627" t="s">
        <v>218</v>
      </c>
      <c r="AF627">
        <v>5</v>
      </c>
      <c r="AG627">
        <v>7</v>
      </c>
      <c r="AH627">
        <v>3</v>
      </c>
      <c r="AI627" t="s">
        <v>213</v>
      </c>
      <c r="AJ627">
        <v>5</v>
      </c>
      <c r="AK627">
        <v>3</v>
      </c>
    </row>
    <row r="628" spans="2:37" x14ac:dyDescent="0.3">
      <c r="B628" t="s">
        <v>157</v>
      </c>
      <c r="C628">
        <v>121</v>
      </c>
      <c r="D628">
        <v>20</v>
      </c>
      <c r="E628">
        <v>10</v>
      </c>
      <c r="F628">
        <v>150</v>
      </c>
      <c r="G628">
        <v>15.543519167316846</v>
      </c>
      <c r="H628">
        <v>55</v>
      </c>
      <c r="I628">
        <v>75</v>
      </c>
      <c r="J628">
        <v>24</v>
      </c>
      <c r="K628" s="8">
        <v>5.46</v>
      </c>
      <c r="N628">
        <v>1.46</v>
      </c>
      <c r="O628" s="10">
        <v>47.12</v>
      </c>
      <c r="R628" s="8">
        <v>0</v>
      </c>
      <c r="S628" t="s">
        <v>68</v>
      </c>
      <c r="X628">
        <v>0</v>
      </c>
      <c r="Y628">
        <v>28.4</v>
      </c>
      <c r="Z628">
        <v>0</v>
      </c>
      <c r="AC628" t="s">
        <v>128</v>
      </c>
      <c r="AD628" t="s">
        <v>208</v>
      </c>
      <c r="AE628" t="s">
        <v>218</v>
      </c>
      <c r="AF628">
        <v>6</v>
      </c>
      <c r="AG628">
        <v>6</v>
      </c>
      <c r="AH628">
        <v>3</v>
      </c>
      <c r="AI628" t="s">
        <v>213</v>
      </c>
      <c r="AJ628">
        <v>6</v>
      </c>
      <c r="AK628">
        <v>3</v>
      </c>
    </row>
    <row r="629" spans="2:37" x14ac:dyDescent="0.3">
      <c r="B629" t="s">
        <v>158</v>
      </c>
      <c r="C629">
        <v>121</v>
      </c>
      <c r="D629">
        <v>20</v>
      </c>
      <c r="E629">
        <v>10</v>
      </c>
      <c r="F629">
        <v>150</v>
      </c>
      <c r="G629">
        <v>15.543519167316846</v>
      </c>
      <c r="H629">
        <v>45</v>
      </c>
      <c r="I629">
        <v>75</v>
      </c>
      <c r="J629">
        <v>25</v>
      </c>
      <c r="K629" s="8">
        <v>5.6890000000000001</v>
      </c>
      <c r="N629">
        <v>1.5</v>
      </c>
      <c r="O629" s="10">
        <v>29.63</v>
      </c>
      <c r="R629" s="8">
        <v>0</v>
      </c>
      <c r="S629" t="s">
        <v>68</v>
      </c>
      <c r="AC629" t="s">
        <v>128</v>
      </c>
      <c r="AD629" t="s">
        <v>208</v>
      </c>
      <c r="AE629" t="s">
        <v>218</v>
      </c>
      <c r="AF629">
        <v>5</v>
      </c>
      <c r="AG629">
        <v>5</v>
      </c>
      <c r="AH629">
        <v>5</v>
      </c>
      <c r="AI629" t="s">
        <v>213</v>
      </c>
      <c r="AJ629">
        <v>7</v>
      </c>
      <c r="AK629">
        <v>5</v>
      </c>
    </row>
    <row r="630" spans="2:37" x14ac:dyDescent="0.3">
      <c r="B630" t="s">
        <v>158</v>
      </c>
      <c r="C630">
        <v>121</v>
      </c>
      <c r="D630">
        <v>20</v>
      </c>
      <c r="E630">
        <v>10</v>
      </c>
      <c r="F630">
        <v>150</v>
      </c>
      <c r="G630">
        <v>15.543519167316846</v>
      </c>
      <c r="H630">
        <v>45</v>
      </c>
      <c r="I630">
        <v>75</v>
      </c>
      <c r="J630">
        <v>25</v>
      </c>
      <c r="K630" s="8">
        <v>5.53</v>
      </c>
      <c r="N630">
        <v>1.05</v>
      </c>
      <c r="O630" s="10">
        <v>29.19</v>
      </c>
      <c r="R630" s="8">
        <v>0</v>
      </c>
      <c r="S630" t="s">
        <v>68</v>
      </c>
      <c r="AC630" t="s">
        <v>128</v>
      </c>
      <c r="AD630" t="s">
        <v>208</v>
      </c>
      <c r="AE630" t="s">
        <v>218</v>
      </c>
      <c r="AF630">
        <v>6</v>
      </c>
      <c r="AG630">
        <v>7</v>
      </c>
      <c r="AH630">
        <v>5</v>
      </c>
      <c r="AI630" t="s">
        <v>213</v>
      </c>
      <c r="AJ630">
        <v>6</v>
      </c>
      <c r="AK630">
        <v>5</v>
      </c>
    </row>
    <row r="631" spans="2:37" x14ac:dyDescent="0.3">
      <c r="B631" t="s">
        <v>158</v>
      </c>
      <c r="C631">
        <v>121</v>
      </c>
      <c r="D631">
        <v>20</v>
      </c>
      <c r="E631">
        <v>10</v>
      </c>
      <c r="F631">
        <v>150</v>
      </c>
      <c r="G631">
        <v>15.543519167316846</v>
      </c>
      <c r="H631">
        <v>45</v>
      </c>
      <c r="I631">
        <v>75</v>
      </c>
      <c r="J631">
        <v>25</v>
      </c>
      <c r="K631" s="8">
        <v>5.69</v>
      </c>
      <c r="N631">
        <v>1.46</v>
      </c>
      <c r="O631" s="10">
        <v>29.55</v>
      </c>
      <c r="R631" s="8">
        <v>0</v>
      </c>
      <c r="S631" t="s">
        <v>68</v>
      </c>
      <c r="AC631" t="s">
        <v>128</v>
      </c>
      <c r="AD631" t="s">
        <v>208</v>
      </c>
      <c r="AE631" t="s">
        <v>218</v>
      </c>
      <c r="AF631">
        <v>5</v>
      </c>
      <c r="AG631">
        <v>6</v>
      </c>
      <c r="AH631">
        <v>5</v>
      </c>
      <c r="AI631" t="s">
        <v>213</v>
      </c>
      <c r="AJ631">
        <v>5</v>
      </c>
      <c r="AK631">
        <v>5</v>
      </c>
    </row>
    <row r="632" spans="2:37" x14ac:dyDescent="0.3">
      <c r="B632" t="s">
        <v>159</v>
      </c>
      <c r="C632">
        <v>121</v>
      </c>
      <c r="D632">
        <v>20</v>
      </c>
      <c r="E632">
        <v>10</v>
      </c>
      <c r="F632">
        <v>150</v>
      </c>
      <c r="G632">
        <v>15.543519167316846</v>
      </c>
      <c r="H632">
        <v>55</v>
      </c>
      <c r="I632">
        <v>75</v>
      </c>
      <c r="J632">
        <v>27</v>
      </c>
      <c r="K632" s="8">
        <v>5.31</v>
      </c>
      <c r="N632">
        <v>1.36</v>
      </c>
      <c r="O632" s="10">
        <v>57.9</v>
      </c>
      <c r="R632" s="8">
        <v>0</v>
      </c>
      <c r="S632" t="s">
        <v>68</v>
      </c>
      <c r="AC632" t="s">
        <v>128</v>
      </c>
      <c r="AD632" t="s">
        <v>208</v>
      </c>
      <c r="AE632" t="s">
        <v>218</v>
      </c>
      <c r="AF632">
        <v>6</v>
      </c>
      <c r="AG632">
        <v>5</v>
      </c>
      <c r="AH632">
        <v>2</v>
      </c>
      <c r="AI632" t="s">
        <v>213</v>
      </c>
      <c r="AJ632">
        <v>6</v>
      </c>
      <c r="AK632">
        <v>2</v>
      </c>
    </row>
    <row r="633" spans="2:37" x14ac:dyDescent="0.3">
      <c r="B633" t="s">
        <v>159</v>
      </c>
      <c r="C633">
        <v>121</v>
      </c>
      <c r="D633">
        <v>20</v>
      </c>
      <c r="E633">
        <v>10</v>
      </c>
      <c r="F633">
        <v>150</v>
      </c>
      <c r="G633">
        <v>15.543519167316846</v>
      </c>
      <c r="H633">
        <v>55</v>
      </c>
      <c r="I633">
        <v>75</v>
      </c>
      <c r="J633">
        <v>27</v>
      </c>
      <c r="K633" s="8">
        <v>5.45</v>
      </c>
      <c r="N633">
        <v>2.4500000000000002</v>
      </c>
      <c r="O633" s="10">
        <v>56.89</v>
      </c>
      <c r="R633" s="8">
        <v>0</v>
      </c>
      <c r="S633" t="s">
        <v>68</v>
      </c>
      <c r="AC633" t="s">
        <v>128</v>
      </c>
      <c r="AD633" t="s">
        <v>208</v>
      </c>
      <c r="AE633" t="s">
        <v>218</v>
      </c>
      <c r="AF633">
        <v>6</v>
      </c>
      <c r="AG633">
        <v>7</v>
      </c>
      <c r="AH633">
        <v>1</v>
      </c>
      <c r="AI633" t="s">
        <v>213</v>
      </c>
      <c r="AJ633">
        <v>5</v>
      </c>
      <c r="AK633">
        <v>2</v>
      </c>
    </row>
    <row r="634" spans="2:37" x14ac:dyDescent="0.3">
      <c r="B634" t="s">
        <v>159</v>
      </c>
      <c r="C634">
        <v>121</v>
      </c>
      <c r="D634">
        <v>20</v>
      </c>
      <c r="E634">
        <v>10</v>
      </c>
      <c r="F634">
        <v>150</v>
      </c>
      <c r="G634">
        <v>15.543519167316846</v>
      </c>
      <c r="H634">
        <v>55</v>
      </c>
      <c r="I634">
        <v>75</v>
      </c>
      <c r="J634">
        <v>27</v>
      </c>
      <c r="K634" s="8">
        <v>5.46</v>
      </c>
      <c r="N634">
        <v>2.95</v>
      </c>
      <c r="O634" s="10">
        <v>56.13</v>
      </c>
      <c r="R634" s="8">
        <v>0</v>
      </c>
      <c r="S634" t="s">
        <v>68</v>
      </c>
      <c r="AC634" t="s">
        <v>128</v>
      </c>
      <c r="AD634" t="s">
        <v>208</v>
      </c>
      <c r="AE634" t="s">
        <v>218</v>
      </c>
      <c r="AF634">
        <v>5</v>
      </c>
      <c r="AG634">
        <v>6</v>
      </c>
      <c r="AH634">
        <v>2</v>
      </c>
      <c r="AI634" t="s">
        <v>213</v>
      </c>
      <c r="AJ634">
        <v>4</v>
      </c>
      <c r="AK634">
        <v>2</v>
      </c>
    </row>
    <row r="635" spans="2:37" x14ac:dyDescent="0.3">
      <c r="B635" t="s">
        <v>160</v>
      </c>
      <c r="C635">
        <v>121</v>
      </c>
      <c r="D635">
        <v>20</v>
      </c>
      <c r="E635">
        <v>10</v>
      </c>
      <c r="F635">
        <v>150</v>
      </c>
      <c r="G635">
        <v>15.543519167316846</v>
      </c>
      <c r="H635">
        <v>32</v>
      </c>
      <c r="I635">
        <v>75</v>
      </c>
      <c r="J635">
        <v>28</v>
      </c>
      <c r="K635" s="8">
        <v>5.72</v>
      </c>
      <c r="N635">
        <v>2.56</v>
      </c>
      <c r="O635" s="10">
        <v>27.31</v>
      </c>
      <c r="R635" s="8">
        <v>0</v>
      </c>
      <c r="S635" t="s">
        <v>68</v>
      </c>
      <c r="X635">
        <v>5.33</v>
      </c>
      <c r="Y635">
        <v>10.8</v>
      </c>
      <c r="Z635">
        <v>1</v>
      </c>
      <c r="AC635" t="s">
        <v>128</v>
      </c>
      <c r="AD635" t="s">
        <v>208</v>
      </c>
      <c r="AE635" t="s">
        <v>218</v>
      </c>
      <c r="AF635">
        <v>6</v>
      </c>
      <c r="AG635">
        <v>6</v>
      </c>
      <c r="AH635">
        <v>5</v>
      </c>
      <c r="AI635" t="s">
        <v>213</v>
      </c>
      <c r="AJ635">
        <v>5</v>
      </c>
      <c r="AK635">
        <v>5</v>
      </c>
    </row>
    <row r="636" spans="2:37" x14ac:dyDescent="0.3">
      <c r="B636" t="s">
        <v>160</v>
      </c>
      <c r="C636">
        <v>121</v>
      </c>
      <c r="D636">
        <v>20</v>
      </c>
      <c r="E636">
        <v>10</v>
      </c>
      <c r="F636">
        <v>150</v>
      </c>
      <c r="G636">
        <v>15.543519167316846</v>
      </c>
      <c r="H636">
        <v>32</v>
      </c>
      <c r="I636">
        <v>75</v>
      </c>
      <c r="J636">
        <v>28</v>
      </c>
      <c r="K636" s="8">
        <v>5.75</v>
      </c>
      <c r="N636">
        <v>2.6469999999999998</v>
      </c>
      <c r="O636" s="10">
        <v>27.42</v>
      </c>
      <c r="R636" s="8">
        <v>0</v>
      </c>
      <c r="S636" t="s">
        <v>68</v>
      </c>
      <c r="X636">
        <v>3.92</v>
      </c>
      <c r="Y636">
        <v>12.3</v>
      </c>
      <c r="Z636">
        <v>1</v>
      </c>
      <c r="AC636" t="s">
        <v>128</v>
      </c>
      <c r="AD636" t="s">
        <v>208</v>
      </c>
      <c r="AE636" t="s">
        <v>218</v>
      </c>
      <c r="AF636">
        <v>7</v>
      </c>
      <c r="AG636">
        <v>7</v>
      </c>
      <c r="AH636">
        <v>5</v>
      </c>
      <c r="AI636" t="s">
        <v>213</v>
      </c>
      <c r="AJ636">
        <v>4</v>
      </c>
      <c r="AK636">
        <v>5</v>
      </c>
    </row>
    <row r="637" spans="2:37" x14ac:dyDescent="0.3">
      <c r="B637" t="s">
        <v>160</v>
      </c>
      <c r="C637">
        <v>121</v>
      </c>
      <c r="D637">
        <v>20</v>
      </c>
      <c r="E637">
        <v>10</v>
      </c>
      <c r="F637">
        <v>150</v>
      </c>
      <c r="G637">
        <v>15.543519167316846</v>
      </c>
      <c r="H637">
        <v>32</v>
      </c>
      <c r="I637">
        <v>75</v>
      </c>
      <c r="J637">
        <v>28</v>
      </c>
      <c r="K637" s="8">
        <v>5.78</v>
      </c>
      <c r="N637">
        <v>2.65</v>
      </c>
      <c r="O637" s="10">
        <v>27.446999999999999</v>
      </c>
      <c r="R637" s="8">
        <v>0</v>
      </c>
      <c r="S637" t="s">
        <v>68</v>
      </c>
      <c r="X637">
        <v>5.37</v>
      </c>
      <c r="Y637">
        <v>10.7</v>
      </c>
      <c r="Z637">
        <v>1</v>
      </c>
      <c r="AC637" t="s">
        <v>128</v>
      </c>
      <c r="AD637" t="s">
        <v>208</v>
      </c>
      <c r="AE637" t="s">
        <v>218</v>
      </c>
      <c r="AF637">
        <v>5</v>
      </c>
      <c r="AG637">
        <v>6</v>
      </c>
      <c r="AH637">
        <v>5</v>
      </c>
      <c r="AI637" t="s">
        <v>213</v>
      </c>
      <c r="AJ637">
        <v>5</v>
      </c>
      <c r="AK637">
        <v>5</v>
      </c>
    </row>
    <row r="638" spans="2:37" x14ac:dyDescent="0.3">
      <c r="B638" t="s">
        <v>161</v>
      </c>
      <c r="C638">
        <v>121</v>
      </c>
      <c r="D638">
        <v>20</v>
      </c>
      <c r="E638">
        <v>10</v>
      </c>
      <c r="F638">
        <v>150</v>
      </c>
      <c r="G638">
        <v>15.543519167316846</v>
      </c>
      <c r="H638">
        <v>55</v>
      </c>
      <c r="I638">
        <v>75</v>
      </c>
      <c r="J638">
        <v>30</v>
      </c>
      <c r="K638" s="8">
        <v>4.91</v>
      </c>
      <c r="N638">
        <v>1.94</v>
      </c>
      <c r="O638" s="10">
        <v>62.23</v>
      </c>
      <c r="R638" s="8">
        <v>0</v>
      </c>
      <c r="S638" t="s">
        <v>68</v>
      </c>
      <c r="AC638" t="s">
        <v>128</v>
      </c>
      <c r="AD638" t="s">
        <v>208</v>
      </c>
      <c r="AE638" t="s">
        <v>218</v>
      </c>
      <c r="AF638">
        <v>6</v>
      </c>
      <c r="AG638">
        <v>7</v>
      </c>
      <c r="AH638">
        <v>2</v>
      </c>
      <c r="AI638" t="s">
        <v>213</v>
      </c>
      <c r="AJ638">
        <v>4</v>
      </c>
      <c r="AK638">
        <v>2</v>
      </c>
    </row>
    <row r="639" spans="2:37" x14ac:dyDescent="0.3">
      <c r="B639" t="s">
        <v>161</v>
      </c>
      <c r="C639">
        <v>121</v>
      </c>
      <c r="D639">
        <v>20</v>
      </c>
      <c r="E639">
        <v>10</v>
      </c>
      <c r="F639">
        <v>150</v>
      </c>
      <c r="G639">
        <v>15.543519167316846</v>
      </c>
      <c r="H639">
        <v>55</v>
      </c>
      <c r="I639">
        <v>75</v>
      </c>
      <c r="J639">
        <v>30</v>
      </c>
      <c r="K639" s="8">
        <v>5.0199999999999996</v>
      </c>
      <c r="N639">
        <v>1.9</v>
      </c>
      <c r="O639" s="10">
        <v>62.11</v>
      </c>
      <c r="R639" s="8">
        <v>0</v>
      </c>
      <c r="S639" t="s">
        <v>68</v>
      </c>
      <c r="AC639" t="s">
        <v>128</v>
      </c>
      <c r="AD639" t="s">
        <v>208</v>
      </c>
      <c r="AE639" t="s">
        <v>218</v>
      </c>
      <c r="AF639">
        <v>5</v>
      </c>
      <c r="AG639">
        <v>8</v>
      </c>
      <c r="AH639">
        <v>2</v>
      </c>
      <c r="AI639" t="s">
        <v>213</v>
      </c>
      <c r="AJ639">
        <v>5</v>
      </c>
      <c r="AK639">
        <v>2</v>
      </c>
    </row>
    <row r="640" spans="2:37" x14ac:dyDescent="0.3">
      <c r="B640" t="s">
        <v>161</v>
      </c>
      <c r="C640">
        <v>121</v>
      </c>
      <c r="D640">
        <v>20</v>
      </c>
      <c r="E640">
        <v>10</v>
      </c>
      <c r="F640">
        <v>150</v>
      </c>
      <c r="G640">
        <v>15.543519167316846</v>
      </c>
      <c r="H640">
        <v>55</v>
      </c>
      <c r="I640">
        <v>75</v>
      </c>
      <c r="J640">
        <v>30</v>
      </c>
      <c r="K640" s="8">
        <v>4.8899999999999997</v>
      </c>
      <c r="N640">
        <v>1.99</v>
      </c>
      <c r="O640" s="10">
        <v>63.6</v>
      </c>
      <c r="R640" s="8">
        <v>0</v>
      </c>
      <c r="S640" t="s">
        <v>68</v>
      </c>
      <c r="AC640" t="s">
        <v>128</v>
      </c>
      <c r="AD640" t="s">
        <v>208</v>
      </c>
      <c r="AE640" t="s">
        <v>218</v>
      </c>
      <c r="AF640">
        <v>6</v>
      </c>
      <c r="AG640">
        <v>6</v>
      </c>
      <c r="AH640">
        <v>2</v>
      </c>
      <c r="AI640" t="s">
        <v>213</v>
      </c>
      <c r="AJ640">
        <v>5</v>
      </c>
      <c r="AK640">
        <v>2</v>
      </c>
    </row>
    <row r="641" spans="2:37" x14ac:dyDescent="0.3">
      <c r="B641" t="s">
        <v>162</v>
      </c>
      <c r="C641">
        <v>121</v>
      </c>
      <c r="D641">
        <v>20</v>
      </c>
      <c r="E641">
        <v>10</v>
      </c>
      <c r="F641">
        <v>150</v>
      </c>
      <c r="G641">
        <v>15.543519167316846</v>
      </c>
      <c r="H641">
        <v>45</v>
      </c>
      <c r="I641">
        <v>75</v>
      </c>
      <c r="J641">
        <v>30</v>
      </c>
      <c r="K641" s="8">
        <v>5.08</v>
      </c>
      <c r="N641">
        <v>1.88</v>
      </c>
      <c r="O641" s="10">
        <v>39.130000000000003</v>
      </c>
      <c r="R641" s="8">
        <v>0</v>
      </c>
      <c r="S641" t="s">
        <v>68</v>
      </c>
      <c r="AC641" t="s">
        <v>128</v>
      </c>
      <c r="AD641" t="s">
        <v>208</v>
      </c>
      <c r="AE641" t="s">
        <v>218</v>
      </c>
      <c r="AF641">
        <v>4</v>
      </c>
      <c r="AG641">
        <v>5</v>
      </c>
      <c r="AH641">
        <v>4</v>
      </c>
      <c r="AI641" t="s">
        <v>213</v>
      </c>
      <c r="AJ641">
        <v>4</v>
      </c>
      <c r="AK641">
        <v>2</v>
      </c>
    </row>
    <row r="642" spans="2:37" x14ac:dyDescent="0.3">
      <c r="B642" t="s">
        <v>162</v>
      </c>
      <c r="C642">
        <v>121</v>
      </c>
      <c r="D642">
        <v>20</v>
      </c>
      <c r="E642">
        <v>10</v>
      </c>
      <c r="F642">
        <v>150</v>
      </c>
      <c r="G642">
        <v>15.543519167316846</v>
      </c>
      <c r="H642">
        <v>45</v>
      </c>
      <c r="I642">
        <v>75</v>
      </c>
      <c r="J642">
        <v>30</v>
      </c>
      <c r="K642" s="8">
        <v>5.0199999999999996</v>
      </c>
      <c r="N642">
        <v>1.79</v>
      </c>
      <c r="O642" s="10">
        <v>36.03</v>
      </c>
      <c r="R642" s="8">
        <v>0</v>
      </c>
      <c r="S642" t="s">
        <v>68</v>
      </c>
      <c r="AC642" t="s">
        <v>128</v>
      </c>
      <c r="AD642" t="s">
        <v>208</v>
      </c>
      <c r="AE642" t="s">
        <v>218</v>
      </c>
      <c r="AF642">
        <v>5</v>
      </c>
      <c r="AG642">
        <v>7</v>
      </c>
      <c r="AH642">
        <v>4</v>
      </c>
      <c r="AI642" t="s">
        <v>213</v>
      </c>
      <c r="AJ642">
        <v>5</v>
      </c>
      <c r="AK642">
        <v>2</v>
      </c>
    </row>
    <row r="643" spans="2:37" x14ac:dyDescent="0.3">
      <c r="B643" t="s">
        <v>162</v>
      </c>
      <c r="C643">
        <v>121</v>
      </c>
      <c r="D643">
        <v>20</v>
      </c>
      <c r="E643">
        <v>10</v>
      </c>
      <c r="F643">
        <v>150</v>
      </c>
      <c r="G643">
        <v>15.543519167316846</v>
      </c>
      <c r="H643">
        <v>45</v>
      </c>
      <c r="I643">
        <v>75</v>
      </c>
      <c r="J643">
        <v>30</v>
      </c>
      <c r="K643" s="8">
        <v>5.16</v>
      </c>
      <c r="N643">
        <v>1.25</v>
      </c>
      <c r="O643" s="10">
        <v>36.76</v>
      </c>
      <c r="R643" s="8">
        <v>0</v>
      </c>
      <c r="S643" t="s">
        <v>68</v>
      </c>
      <c r="AC643" t="s">
        <v>128</v>
      </c>
      <c r="AD643" t="s">
        <v>208</v>
      </c>
      <c r="AE643" t="s">
        <v>218</v>
      </c>
      <c r="AF643">
        <v>4</v>
      </c>
      <c r="AG643">
        <v>8</v>
      </c>
      <c r="AH643">
        <v>4</v>
      </c>
      <c r="AI643" t="s">
        <v>213</v>
      </c>
      <c r="AJ643">
        <v>4</v>
      </c>
      <c r="AK643">
        <v>3</v>
      </c>
    </row>
    <row r="644" spans="2:37" x14ac:dyDescent="0.3">
      <c r="B644" t="s">
        <v>163</v>
      </c>
      <c r="C644">
        <v>121</v>
      </c>
      <c r="D644">
        <v>20</v>
      </c>
      <c r="E644">
        <v>10</v>
      </c>
      <c r="F644">
        <v>150</v>
      </c>
      <c r="G644">
        <v>15.543519167316846</v>
      </c>
      <c r="H644">
        <v>28</v>
      </c>
      <c r="I644">
        <v>75</v>
      </c>
      <c r="J644">
        <v>30</v>
      </c>
      <c r="K644" s="8">
        <v>6.27</v>
      </c>
      <c r="N644">
        <v>2.76</v>
      </c>
      <c r="O644" s="10">
        <v>23.19</v>
      </c>
      <c r="R644" s="8">
        <v>0</v>
      </c>
      <c r="S644" t="s">
        <v>68</v>
      </c>
      <c r="T644">
        <v>53.98</v>
      </c>
      <c r="U644">
        <v>6.53</v>
      </c>
      <c r="V644">
        <v>45.47</v>
      </c>
      <c r="W644">
        <v>70.88</v>
      </c>
      <c r="X644">
        <v>0</v>
      </c>
      <c r="Y644">
        <v>19.8</v>
      </c>
      <c r="Z644">
        <v>0</v>
      </c>
      <c r="AA644">
        <v>65.06</v>
      </c>
      <c r="AC644" t="s">
        <v>128</v>
      </c>
      <c r="AD644" t="s">
        <v>208</v>
      </c>
      <c r="AE644" t="s">
        <v>218</v>
      </c>
      <c r="AF644">
        <v>7</v>
      </c>
      <c r="AG644">
        <v>8</v>
      </c>
      <c r="AH644">
        <v>5</v>
      </c>
      <c r="AI644" t="s">
        <v>213</v>
      </c>
      <c r="AJ644">
        <v>6</v>
      </c>
      <c r="AK644">
        <v>2</v>
      </c>
    </row>
    <row r="645" spans="2:37" x14ac:dyDescent="0.3">
      <c r="B645" t="s">
        <v>163</v>
      </c>
      <c r="C645">
        <v>121</v>
      </c>
      <c r="D645">
        <v>20</v>
      </c>
      <c r="E645">
        <v>10</v>
      </c>
      <c r="F645">
        <v>150</v>
      </c>
      <c r="G645">
        <v>15.543519167316846</v>
      </c>
      <c r="H645">
        <v>28</v>
      </c>
      <c r="I645">
        <v>75</v>
      </c>
      <c r="J645">
        <v>30</v>
      </c>
      <c r="K645" s="8">
        <v>6.3</v>
      </c>
      <c r="N645">
        <v>2.84</v>
      </c>
      <c r="O645" s="10">
        <v>22.16</v>
      </c>
      <c r="R645" s="8">
        <v>0</v>
      </c>
      <c r="S645" t="s">
        <v>68</v>
      </c>
      <c r="T645">
        <v>53.98</v>
      </c>
      <c r="U645">
        <v>6.53</v>
      </c>
      <c r="V645">
        <v>45.47</v>
      </c>
      <c r="W645">
        <v>70.88</v>
      </c>
      <c r="X645">
        <v>0</v>
      </c>
      <c r="Y645">
        <v>19.899999999999999</v>
      </c>
      <c r="Z645">
        <v>1</v>
      </c>
      <c r="AA645">
        <v>65.08</v>
      </c>
      <c r="AC645" t="s">
        <v>128</v>
      </c>
      <c r="AD645" t="s">
        <v>208</v>
      </c>
      <c r="AE645" t="s">
        <v>218</v>
      </c>
      <c r="AF645">
        <v>6</v>
      </c>
      <c r="AG645">
        <v>7</v>
      </c>
      <c r="AH645">
        <v>5</v>
      </c>
      <c r="AI645" t="s">
        <v>213</v>
      </c>
      <c r="AJ645">
        <v>5</v>
      </c>
      <c r="AK645">
        <v>3</v>
      </c>
    </row>
    <row r="646" spans="2:37" x14ac:dyDescent="0.3">
      <c r="B646" t="s">
        <v>163</v>
      </c>
      <c r="C646">
        <v>121</v>
      </c>
      <c r="D646">
        <v>20</v>
      </c>
      <c r="E646">
        <v>10</v>
      </c>
      <c r="F646">
        <v>150</v>
      </c>
      <c r="G646">
        <v>15.543519167316846</v>
      </c>
      <c r="H646">
        <v>28</v>
      </c>
      <c r="I646">
        <v>75</v>
      </c>
      <c r="J646">
        <v>30</v>
      </c>
      <c r="K646" s="8">
        <v>6.31</v>
      </c>
      <c r="N646">
        <v>2.4500000000000002</v>
      </c>
      <c r="O646" s="10">
        <v>23.76</v>
      </c>
      <c r="R646" s="8">
        <v>0</v>
      </c>
      <c r="S646" t="s">
        <v>68</v>
      </c>
      <c r="T646">
        <v>53.98</v>
      </c>
      <c r="U646">
        <v>6.53</v>
      </c>
      <c r="V646">
        <v>45.42</v>
      </c>
      <c r="W646">
        <v>70.849999999999994</v>
      </c>
      <c r="X646">
        <v>0</v>
      </c>
      <c r="Y646">
        <v>27.9</v>
      </c>
      <c r="Z646">
        <v>1</v>
      </c>
      <c r="AA646">
        <v>65.16</v>
      </c>
      <c r="AC646" t="s">
        <v>128</v>
      </c>
      <c r="AD646" t="s">
        <v>208</v>
      </c>
      <c r="AE646" t="s">
        <v>218</v>
      </c>
      <c r="AF646">
        <v>8</v>
      </c>
      <c r="AG646">
        <v>8</v>
      </c>
      <c r="AH646">
        <v>5</v>
      </c>
      <c r="AI646" t="s">
        <v>213</v>
      </c>
      <c r="AJ646">
        <v>4</v>
      </c>
      <c r="AK646">
        <v>2</v>
      </c>
    </row>
    <row r="647" spans="2:37" x14ac:dyDescent="0.3">
      <c r="B647" t="s">
        <v>164</v>
      </c>
      <c r="C647">
        <v>121</v>
      </c>
      <c r="D647">
        <v>20</v>
      </c>
      <c r="E647">
        <v>10</v>
      </c>
      <c r="F647">
        <v>150</v>
      </c>
      <c r="G647">
        <v>15.543519167316846</v>
      </c>
      <c r="H647">
        <v>55</v>
      </c>
      <c r="I647">
        <v>75</v>
      </c>
      <c r="J647">
        <v>33</v>
      </c>
      <c r="K647" s="8">
        <v>4.8899999999999997</v>
      </c>
      <c r="L647">
        <v>4.5697999999999999</v>
      </c>
      <c r="N647">
        <v>5.5</v>
      </c>
      <c r="O647" s="10">
        <v>67.67</v>
      </c>
      <c r="R647" s="8">
        <v>0</v>
      </c>
      <c r="S647" t="s">
        <v>68</v>
      </c>
      <c r="AA647">
        <v>64.78</v>
      </c>
      <c r="AC647" t="s">
        <v>128</v>
      </c>
      <c r="AD647" t="s">
        <v>208</v>
      </c>
      <c r="AE647" t="s">
        <v>218</v>
      </c>
      <c r="AF647">
        <v>4</v>
      </c>
      <c r="AG647">
        <v>6</v>
      </c>
      <c r="AH647">
        <v>2</v>
      </c>
      <c r="AI647" t="s">
        <v>213</v>
      </c>
      <c r="AJ647">
        <v>3</v>
      </c>
      <c r="AK647">
        <v>1</v>
      </c>
    </row>
    <row r="648" spans="2:37" x14ac:dyDescent="0.3">
      <c r="B648" t="s">
        <v>164</v>
      </c>
      <c r="C648">
        <v>121</v>
      </c>
      <c r="D648">
        <v>20</v>
      </c>
      <c r="E648">
        <v>10</v>
      </c>
      <c r="F648">
        <v>150</v>
      </c>
      <c r="G648">
        <v>15.543519167316846</v>
      </c>
      <c r="H648">
        <v>55</v>
      </c>
      <c r="I648">
        <v>75</v>
      </c>
      <c r="J648">
        <v>33</v>
      </c>
      <c r="K648" s="8">
        <v>4.8600000000000003</v>
      </c>
      <c r="L648">
        <v>5.2846000000000002</v>
      </c>
      <c r="N648">
        <v>6.2</v>
      </c>
      <c r="O648" s="10">
        <v>67.12</v>
      </c>
      <c r="R648" s="8">
        <v>0</v>
      </c>
      <c r="S648" t="s">
        <v>68</v>
      </c>
      <c r="AA648">
        <v>64.69</v>
      </c>
      <c r="AC648" t="s">
        <v>128</v>
      </c>
      <c r="AD648" t="s">
        <v>208</v>
      </c>
      <c r="AE648" t="s">
        <v>218</v>
      </c>
      <c r="AF648">
        <v>5</v>
      </c>
      <c r="AG648">
        <v>6</v>
      </c>
      <c r="AH648">
        <v>2</v>
      </c>
      <c r="AI648" t="s">
        <v>213</v>
      </c>
      <c r="AJ648">
        <v>3</v>
      </c>
      <c r="AK648">
        <v>2</v>
      </c>
    </row>
    <row r="649" spans="2:37" x14ac:dyDescent="0.3">
      <c r="B649" t="s">
        <v>164</v>
      </c>
      <c r="C649">
        <v>121</v>
      </c>
      <c r="D649">
        <v>20</v>
      </c>
      <c r="E649">
        <v>10</v>
      </c>
      <c r="F649">
        <v>150</v>
      </c>
      <c r="G649">
        <v>15.543519167316846</v>
      </c>
      <c r="H649">
        <v>55</v>
      </c>
      <c r="I649">
        <v>75</v>
      </c>
      <c r="J649">
        <v>33</v>
      </c>
      <c r="K649" s="8">
        <v>4.76</v>
      </c>
      <c r="L649">
        <v>9.6852</v>
      </c>
      <c r="N649">
        <v>4.5</v>
      </c>
      <c r="O649" s="10">
        <v>67.849999999999994</v>
      </c>
      <c r="R649" s="8">
        <v>0</v>
      </c>
      <c r="S649" t="s">
        <v>68</v>
      </c>
      <c r="AA649">
        <v>64.84</v>
      </c>
      <c r="AC649" t="s">
        <v>128</v>
      </c>
      <c r="AD649" t="s">
        <v>208</v>
      </c>
      <c r="AE649" t="s">
        <v>218</v>
      </c>
      <c r="AF649">
        <v>4</v>
      </c>
      <c r="AG649">
        <v>5</v>
      </c>
      <c r="AH649">
        <v>2</v>
      </c>
      <c r="AI649" t="s">
        <v>213</v>
      </c>
      <c r="AJ649">
        <v>3</v>
      </c>
      <c r="AK649">
        <v>2</v>
      </c>
    </row>
    <row r="650" spans="2:37" x14ac:dyDescent="0.3">
      <c r="B650" t="s">
        <v>165</v>
      </c>
      <c r="C650">
        <v>121</v>
      </c>
      <c r="D650">
        <v>20</v>
      </c>
      <c r="E650">
        <v>10</v>
      </c>
      <c r="F650">
        <v>150</v>
      </c>
      <c r="G650">
        <v>15.543519167316846</v>
      </c>
      <c r="H650">
        <v>45</v>
      </c>
      <c r="I650">
        <v>75</v>
      </c>
      <c r="J650">
        <v>35</v>
      </c>
      <c r="K650" s="8">
        <v>4.96</v>
      </c>
      <c r="L650">
        <v>7.6257999999999999</v>
      </c>
      <c r="M650">
        <f t="shared" ref="M650:M658" si="9">100-(AA650+L650+N650+P650+Q650)</f>
        <v>9.4301999999999992</v>
      </c>
      <c r="N650">
        <v>8.9</v>
      </c>
      <c r="O650" s="10">
        <v>47.12</v>
      </c>
      <c r="P650" s="8">
        <v>6.53</v>
      </c>
      <c r="Q650" s="8">
        <v>2.1539999999999999</v>
      </c>
      <c r="R650" s="8">
        <v>0</v>
      </c>
      <c r="S650" t="s">
        <v>68</v>
      </c>
      <c r="T650">
        <v>56.7</v>
      </c>
      <c r="U650">
        <v>8.8800000000000008</v>
      </c>
      <c r="V650">
        <v>46.56</v>
      </c>
      <c r="W650">
        <v>73.900000000000006</v>
      </c>
      <c r="AA650">
        <v>65.36</v>
      </c>
      <c r="AC650" t="s">
        <v>128</v>
      </c>
      <c r="AD650" t="s">
        <v>208</v>
      </c>
      <c r="AE650" t="s">
        <v>218</v>
      </c>
      <c r="AF650">
        <v>5</v>
      </c>
      <c r="AG650">
        <v>7</v>
      </c>
      <c r="AH650">
        <v>3</v>
      </c>
      <c r="AI650" t="s">
        <v>213</v>
      </c>
      <c r="AJ650">
        <v>3</v>
      </c>
      <c r="AK650">
        <v>4</v>
      </c>
    </row>
    <row r="651" spans="2:37" x14ac:dyDescent="0.3">
      <c r="B651" t="s">
        <v>165</v>
      </c>
      <c r="C651">
        <v>121</v>
      </c>
      <c r="D651">
        <v>20</v>
      </c>
      <c r="E651">
        <v>10</v>
      </c>
      <c r="F651">
        <v>150</v>
      </c>
      <c r="G651">
        <v>15.543519167316846</v>
      </c>
      <c r="H651">
        <v>45</v>
      </c>
      <c r="I651">
        <v>75</v>
      </c>
      <c r="J651">
        <v>35</v>
      </c>
      <c r="K651" s="8">
        <v>4.92</v>
      </c>
      <c r="L651">
        <v>9.2545999999999999</v>
      </c>
      <c r="M651">
        <f t="shared" si="9"/>
        <v>18.293400000000005</v>
      </c>
      <c r="N651">
        <v>4.5999999999999996</v>
      </c>
      <c r="O651" s="10">
        <v>47.19</v>
      </c>
      <c r="P651" s="8">
        <v>1.1359999999999999</v>
      </c>
      <c r="Q651" s="8">
        <v>2.1560000000000001</v>
      </c>
      <c r="R651" s="8">
        <v>0</v>
      </c>
      <c r="S651" t="s">
        <v>68</v>
      </c>
      <c r="T651">
        <v>56.65</v>
      </c>
      <c r="U651">
        <v>8.84</v>
      </c>
      <c r="V651">
        <v>46.49</v>
      </c>
      <c r="W651">
        <v>73.819999999999993</v>
      </c>
      <c r="AA651">
        <v>64.56</v>
      </c>
      <c r="AC651" t="s">
        <v>128</v>
      </c>
      <c r="AD651" t="s">
        <v>208</v>
      </c>
      <c r="AE651" t="s">
        <v>218</v>
      </c>
      <c r="AF651">
        <v>4</v>
      </c>
      <c r="AG651">
        <v>6</v>
      </c>
      <c r="AH651">
        <v>3</v>
      </c>
      <c r="AI651" t="s">
        <v>213</v>
      </c>
      <c r="AJ651">
        <v>4</v>
      </c>
      <c r="AK651">
        <v>3</v>
      </c>
    </row>
    <row r="652" spans="2:37" x14ac:dyDescent="0.3">
      <c r="B652" t="s">
        <v>165</v>
      </c>
      <c r="C652">
        <v>121</v>
      </c>
      <c r="D652">
        <v>20</v>
      </c>
      <c r="E652">
        <v>10</v>
      </c>
      <c r="F652">
        <v>150</v>
      </c>
      <c r="G652">
        <v>15.543519167316846</v>
      </c>
      <c r="H652">
        <v>45</v>
      </c>
      <c r="I652">
        <v>75</v>
      </c>
      <c r="J652">
        <v>35</v>
      </c>
      <c r="K652" s="8">
        <v>4.93</v>
      </c>
      <c r="L652">
        <v>10.269</v>
      </c>
      <c r="M652">
        <f t="shared" si="9"/>
        <v>11.72999999999999</v>
      </c>
      <c r="N652">
        <v>8.1999999999999993</v>
      </c>
      <c r="O652" s="10">
        <v>47.68</v>
      </c>
      <c r="P652" s="8">
        <v>1.512</v>
      </c>
      <c r="Q652" s="8">
        <v>3.2690000000000001</v>
      </c>
      <c r="R652" s="8">
        <v>0</v>
      </c>
      <c r="S652" t="s">
        <v>68</v>
      </c>
      <c r="T652">
        <v>56.62</v>
      </c>
      <c r="U652">
        <v>8.86</v>
      </c>
      <c r="V652">
        <v>46.46</v>
      </c>
      <c r="W652">
        <v>73.78</v>
      </c>
      <c r="AA652">
        <v>65.02</v>
      </c>
      <c r="AC652" t="s">
        <v>128</v>
      </c>
      <c r="AD652" t="s">
        <v>208</v>
      </c>
      <c r="AE652" t="s">
        <v>218</v>
      </c>
      <c r="AF652">
        <v>5</v>
      </c>
      <c r="AG652">
        <v>6</v>
      </c>
      <c r="AH652">
        <v>3</v>
      </c>
      <c r="AI652" t="s">
        <v>213</v>
      </c>
      <c r="AJ652">
        <v>3</v>
      </c>
      <c r="AK652">
        <v>2</v>
      </c>
    </row>
    <row r="653" spans="2:37" x14ac:dyDescent="0.3">
      <c r="B653" t="s">
        <v>200</v>
      </c>
      <c r="C653">
        <v>121</v>
      </c>
      <c r="D653">
        <v>20</v>
      </c>
      <c r="E653">
        <v>10</v>
      </c>
      <c r="F653">
        <v>150</v>
      </c>
      <c r="G653">
        <v>15.543519167316846</v>
      </c>
      <c r="H653">
        <v>32</v>
      </c>
      <c r="I653">
        <v>75</v>
      </c>
      <c r="J653">
        <v>35</v>
      </c>
      <c r="K653" s="8">
        <v>5.5</v>
      </c>
      <c r="L653">
        <v>10.2569</v>
      </c>
      <c r="M653">
        <f t="shared" si="9"/>
        <v>8.0540999999999912</v>
      </c>
      <c r="N653">
        <v>11.6</v>
      </c>
      <c r="O653" s="10">
        <v>34.03</v>
      </c>
      <c r="P653" s="8">
        <v>0.48899999999999999</v>
      </c>
      <c r="Q653" s="8">
        <v>3.54</v>
      </c>
      <c r="R653" s="8">
        <v>0</v>
      </c>
      <c r="S653" t="s">
        <v>68</v>
      </c>
      <c r="T653">
        <v>58.11</v>
      </c>
      <c r="U653">
        <v>7.32</v>
      </c>
      <c r="V653">
        <v>47.89</v>
      </c>
      <c r="W653">
        <v>75.650000000000006</v>
      </c>
      <c r="AA653">
        <v>66.06</v>
      </c>
      <c r="AC653" t="s">
        <v>128</v>
      </c>
      <c r="AD653" t="s">
        <v>208</v>
      </c>
      <c r="AE653" t="s">
        <v>218</v>
      </c>
      <c r="AF653">
        <v>4</v>
      </c>
      <c r="AG653">
        <v>5</v>
      </c>
      <c r="AH653">
        <v>4</v>
      </c>
      <c r="AI653" t="s">
        <v>213</v>
      </c>
      <c r="AJ653">
        <v>4</v>
      </c>
      <c r="AK653">
        <v>4</v>
      </c>
    </row>
    <row r="654" spans="2:37" x14ac:dyDescent="0.3">
      <c r="B654" t="s">
        <v>200</v>
      </c>
      <c r="C654">
        <v>121</v>
      </c>
      <c r="D654">
        <v>20</v>
      </c>
      <c r="E654">
        <v>10</v>
      </c>
      <c r="F654">
        <v>150</v>
      </c>
      <c r="G654">
        <v>15.543519167316846</v>
      </c>
      <c r="H654">
        <v>32</v>
      </c>
      <c r="I654">
        <v>75</v>
      </c>
      <c r="J654">
        <v>35</v>
      </c>
      <c r="K654" s="8">
        <v>5.6</v>
      </c>
      <c r="L654">
        <v>9.2584</v>
      </c>
      <c r="M654">
        <f t="shared" si="9"/>
        <v>19.215600000000009</v>
      </c>
      <c r="N654">
        <v>1.2</v>
      </c>
      <c r="O654" s="10">
        <v>34.119999999999997</v>
      </c>
      <c r="P654" s="8">
        <v>0.85599999999999998</v>
      </c>
      <c r="Q654" s="8">
        <v>2.89</v>
      </c>
      <c r="R654" s="8">
        <v>0</v>
      </c>
      <c r="S654" t="s">
        <v>68</v>
      </c>
      <c r="T654">
        <v>58.11</v>
      </c>
      <c r="U654">
        <v>7.31</v>
      </c>
      <c r="V654">
        <v>47.93</v>
      </c>
      <c r="W654">
        <v>75.680000000000007</v>
      </c>
      <c r="AA654">
        <v>66.58</v>
      </c>
      <c r="AC654" t="s">
        <v>128</v>
      </c>
      <c r="AD654" t="s">
        <v>208</v>
      </c>
      <c r="AE654" t="s">
        <v>218</v>
      </c>
      <c r="AF654">
        <v>5</v>
      </c>
      <c r="AG654">
        <v>7</v>
      </c>
      <c r="AH654">
        <v>4</v>
      </c>
      <c r="AI654" t="s">
        <v>213</v>
      </c>
      <c r="AJ654">
        <v>3</v>
      </c>
      <c r="AK654">
        <v>4</v>
      </c>
    </row>
    <row r="655" spans="2:37" x14ac:dyDescent="0.3">
      <c r="B655" t="s">
        <v>200</v>
      </c>
      <c r="C655">
        <v>121</v>
      </c>
      <c r="D655">
        <v>20</v>
      </c>
      <c r="E655">
        <v>10</v>
      </c>
      <c r="F655">
        <v>150</v>
      </c>
      <c r="G655">
        <v>15.543519167316846</v>
      </c>
      <c r="H655">
        <v>32</v>
      </c>
      <c r="I655">
        <v>75</v>
      </c>
      <c r="J655">
        <v>35</v>
      </c>
      <c r="K655" s="8">
        <v>5.79</v>
      </c>
      <c r="L655">
        <v>7.8263999999999996</v>
      </c>
      <c r="M655">
        <f t="shared" si="9"/>
        <v>6.5276000000000209</v>
      </c>
      <c r="N655">
        <v>15.3</v>
      </c>
      <c r="O655" s="10">
        <v>33.67</v>
      </c>
      <c r="P655" s="8">
        <v>1.1100000000000001</v>
      </c>
      <c r="Q655" s="8">
        <v>2.746</v>
      </c>
      <c r="R655" s="8">
        <v>0</v>
      </c>
      <c r="S655" t="s">
        <v>68</v>
      </c>
      <c r="T655">
        <v>58.12</v>
      </c>
      <c r="U655">
        <v>7.32</v>
      </c>
      <c r="V655">
        <v>47.8</v>
      </c>
      <c r="W655">
        <v>75.599999999999994</v>
      </c>
      <c r="AA655">
        <v>66.489999999999995</v>
      </c>
      <c r="AC655" t="s">
        <v>128</v>
      </c>
      <c r="AD655" t="s">
        <v>208</v>
      </c>
      <c r="AE655" t="s">
        <v>218</v>
      </c>
      <c r="AF655">
        <v>6</v>
      </c>
      <c r="AG655">
        <v>6</v>
      </c>
      <c r="AH655">
        <v>4</v>
      </c>
      <c r="AI655" t="s">
        <v>213</v>
      </c>
      <c r="AJ655">
        <v>4</v>
      </c>
      <c r="AK655">
        <v>4</v>
      </c>
    </row>
    <row r="656" spans="2:37" x14ac:dyDescent="0.3">
      <c r="B656" t="s">
        <v>200</v>
      </c>
      <c r="C656">
        <v>121</v>
      </c>
      <c r="D656">
        <v>20</v>
      </c>
      <c r="E656">
        <v>10</v>
      </c>
      <c r="F656">
        <v>150</v>
      </c>
      <c r="G656">
        <v>15.543519167316846</v>
      </c>
      <c r="H656">
        <v>55</v>
      </c>
      <c r="I656">
        <v>75</v>
      </c>
      <c r="J656">
        <v>36</v>
      </c>
      <c r="K656" s="8">
        <v>4.88</v>
      </c>
      <c r="L656">
        <v>8.6958000000000002</v>
      </c>
      <c r="M656">
        <f t="shared" si="9"/>
        <v>14.620199999999983</v>
      </c>
      <c r="N656">
        <v>7.62</v>
      </c>
      <c r="O656" s="10">
        <v>71.67</v>
      </c>
      <c r="P656" s="8">
        <v>2.15</v>
      </c>
      <c r="Q656" s="8">
        <v>2.5640000000000001</v>
      </c>
      <c r="R656" s="8">
        <v>0</v>
      </c>
      <c r="S656" t="s">
        <v>68</v>
      </c>
      <c r="T656">
        <v>51.83</v>
      </c>
      <c r="U656">
        <v>8</v>
      </c>
      <c r="V656">
        <v>33.61</v>
      </c>
      <c r="W656">
        <v>62.29</v>
      </c>
      <c r="AA656">
        <v>64.349999999999994</v>
      </c>
      <c r="AC656" t="s">
        <v>128</v>
      </c>
      <c r="AD656" t="s">
        <v>208</v>
      </c>
      <c r="AE656" t="s">
        <v>218</v>
      </c>
      <c r="AF656">
        <v>5</v>
      </c>
      <c r="AG656">
        <v>4</v>
      </c>
      <c r="AH656">
        <v>1</v>
      </c>
      <c r="AI656" t="s">
        <v>213</v>
      </c>
      <c r="AJ656">
        <v>3</v>
      </c>
      <c r="AK656">
        <v>1</v>
      </c>
    </row>
    <row r="657" spans="2:37" x14ac:dyDescent="0.3">
      <c r="B657" t="s">
        <v>200</v>
      </c>
      <c r="C657">
        <v>121</v>
      </c>
      <c r="D657">
        <v>20</v>
      </c>
      <c r="E657">
        <v>10</v>
      </c>
      <c r="F657">
        <v>150</v>
      </c>
      <c r="G657">
        <v>15.543519167316846</v>
      </c>
      <c r="H657">
        <v>55</v>
      </c>
      <c r="I657">
        <v>75</v>
      </c>
      <c r="J657">
        <v>36</v>
      </c>
      <c r="K657" s="8">
        <v>4.79</v>
      </c>
      <c r="L657">
        <v>9.2748000000000008</v>
      </c>
      <c r="M657">
        <f t="shared" si="9"/>
        <v>20.8352</v>
      </c>
      <c r="N657">
        <v>1.8</v>
      </c>
      <c r="O657" s="10">
        <v>71.459999999999994</v>
      </c>
      <c r="P657" s="8">
        <v>0.48</v>
      </c>
      <c r="Q657" s="8">
        <v>3.05</v>
      </c>
      <c r="R657" s="8">
        <v>0</v>
      </c>
      <c r="S657" t="s">
        <v>68</v>
      </c>
      <c r="T657">
        <v>51.62</v>
      </c>
      <c r="U657">
        <v>8.02</v>
      </c>
      <c r="V657">
        <v>33.67</v>
      </c>
      <c r="W657">
        <v>62.15</v>
      </c>
      <c r="AA657">
        <v>64.56</v>
      </c>
      <c r="AC657" t="s">
        <v>128</v>
      </c>
      <c r="AD657" t="s">
        <v>208</v>
      </c>
      <c r="AE657" t="s">
        <v>218</v>
      </c>
      <c r="AF657">
        <v>4</v>
      </c>
      <c r="AG657">
        <v>4</v>
      </c>
      <c r="AH657">
        <v>1</v>
      </c>
      <c r="AI657" t="s">
        <v>213</v>
      </c>
      <c r="AJ657">
        <v>3</v>
      </c>
      <c r="AK657">
        <v>1</v>
      </c>
    </row>
    <row r="658" spans="2:37" x14ac:dyDescent="0.3">
      <c r="B658" t="s">
        <v>200</v>
      </c>
      <c r="C658">
        <v>121</v>
      </c>
      <c r="D658">
        <v>20</v>
      </c>
      <c r="E658">
        <v>10</v>
      </c>
      <c r="F658">
        <v>150</v>
      </c>
      <c r="G658">
        <v>15.543519167316846</v>
      </c>
      <c r="H658">
        <v>55</v>
      </c>
      <c r="I658">
        <v>75</v>
      </c>
      <c r="J658">
        <v>36</v>
      </c>
      <c r="K658" s="8">
        <v>4.72</v>
      </c>
      <c r="L658">
        <f>AVERAGE(L548:L562)</f>
        <v>9.0027946666666647</v>
      </c>
      <c r="M658">
        <f t="shared" si="9"/>
        <v>16.84120533333332</v>
      </c>
      <c r="N658">
        <v>5.2</v>
      </c>
      <c r="O658" s="10">
        <v>71.14</v>
      </c>
      <c r="P658" s="8">
        <v>1.68</v>
      </c>
      <c r="Q658" s="8">
        <v>2.9860000000000002</v>
      </c>
      <c r="R658" s="8">
        <v>0</v>
      </c>
      <c r="S658" t="s">
        <v>68</v>
      </c>
      <c r="T658">
        <v>51.59</v>
      </c>
      <c r="U658">
        <v>8.02</v>
      </c>
      <c r="V658">
        <v>33.159999999999997</v>
      </c>
      <c r="W658">
        <v>62.16</v>
      </c>
      <c r="AA658">
        <v>64.290000000000006</v>
      </c>
      <c r="AC658" t="s">
        <v>128</v>
      </c>
      <c r="AD658" t="s">
        <v>208</v>
      </c>
      <c r="AE658" t="s">
        <v>218</v>
      </c>
      <c r="AF658">
        <v>3</v>
      </c>
      <c r="AG658">
        <v>5</v>
      </c>
      <c r="AH658">
        <v>1</v>
      </c>
      <c r="AI658" t="s">
        <v>213</v>
      </c>
      <c r="AJ658">
        <v>3</v>
      </c>
      <c r="AK658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2D1A-9350-4BA4-B08F-8BE1A150987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AC59-6658-4863-8A85-F50DDFE125A0}">
  <dimension ref="A1:C2344"/>
  <sheetViews>
    <sheetView topLeftCell="A404" workbookViewId="0">
      <selection activeCell="N345" sqref="N345"/>
    </sheetView>
  </sheetViews>
  <sheetFormatPr defaultRowHeight="14.4" x14ac:dyDescent="0.3"/>
  <sheetData>
    <row r="1" spans="1:3" x14ac:dyDescent="0.3">
      <c r="A1" s="2" t="s">
        <v>57</v>
      </c>
    </row>
    <row r="2" spans="1:3" x14ac:dyDescent="0.3">
      <c r="A2" s="2" t="s">
        <v>58</v>
      </c>
      <c r="B2" s="2" t="s">
        <v>59</v>
      </c>
      <c r="C2" s="2" t="s">
        <v>60</v>
      </c>
    </row>
    <row r="3" spans="1:3" x14ac:dyDescent="0.3">
      <c r="A3" s="4">
        <v>0.61032407407407407</v>
      </c>
      <c r="B3">
        <v>34.299999999999997</v>
      </c>
      <c r="C3">
        <f>10^((B3-121.1)/10)</f>
        <v>2.0892961308540348E-9</v>
      </c>
    </row>
    <row r="4" spans="1:3" x14ac:dyDescent="0.3">
      <c r="A4" s="4">
        <v>0.61067129629629635</v>
      </c>
      <c r="B4">
        <v>34.299999999999997</v>
      </c>
      <c r="C4">
        <f t="shared" ref="C4:C67" si="0">10^((B4-121.1)/10)</f>
        <v>2.0892961308540348E-9</v>
      </c>
    </row>
    <row r="5" spans="1:3" x14ac:dyDescent="0.3">
      <c r="A5" s="4">
        <v>0.61103009259259256</v>
      </c>
      <c r="B5">
        <v>34.299999999999997</v>
      </c>
      <c r="C5">
        <f t="shared" si="0"/>
        <v>2.0892961308540348E-9</v>
      </c>
    </row>
    <row r="6" spans="1:3" x14ac:dyDescent="0.3">
      <c r="A6" s="4">
        <v>0.61136574074074079</v>
      </c>
      <c r="B6">
        <v>34.6</v>
      </c>
      <c r="C6">
        <f t="shared" si="0"/>
        <v>2.2387211385683336E-9</v>
      </c>
    </row>
    <row r="7" spans="1:3" x14ac:dyDescent="0.3">
      <c r="A7" s="4">
        <v>0.61171296296296296</v>
      </c>
      <c r="B7">
        <v>35</v>
      </c>
      <c r="C7">
        <f t="shared" si="0"/>
        <v>2.4547089156850316E-9</v>
      </c>
    </row>
    <row r="8" spans="1:3" x14ac:dyDescent="0.3">
      <c r="A8" s="4">
        <v>0.61207175925925927</v>
      </c>
      <c r="B8">
        <v>37.4</v>
      </c>
      <c r="C8">
        <f t="shared" si="0"/>
        <v>4.265795188015919E-9</v>
      </c>
    </row>
    <row r="9" spans="1:3" x14ac:dyDescent="0.3">
      <c r="A9" s="4">
        <v>0.61241898148148144</v>
      </c>
      <c r="B9">
        <v>43</v>
      </c>
      <c r="C9">
        <f t="shared" si="0"/>
        <v>1.5488166189124814E-8</v>
      </c>
    </row>
    <row r="10" spans="1:3" x14ac:dyDescent="0.3">
      <c r="A10" s="4">
        <v>0.61275462962962968</v>
      </c>
      <c r="B10">
        <v>49.5</v>
      </c>
      <c r="C10">
        <f t="shared" si="0"/>
        <v>6.9183097091893717E-8</v>
      </c>
    </row>
    <row r="11" spans="1:3" x14ac:dyDescent="0.3">
      <c r="A11" s="4">
        <v>0.61310185185185184</v>
      </c>
      <c r="B11">
        <v>54.7</v>
      </c>
      <c r="C11">
        <f t="shared" si="0"/>
        <v>2.2908676527677761E-7</v>
      </c>
    </row>
    <row r="12" spans="1:3" x14ac:dyDescent="0.3">
      <c r="A12" s="4">
        <v>0.61346064814814816</v>
      </c>
      <c r="B12">
        <v>59.5</v>
      </c>
      <c r="C12">
        <f t="shared" si="0"/>
        <v>6.9183097091893661E-7</v>
      </c>
    </row>
    <row r="13" spans="1:3" x14ac:dyDescent="0.3">
      <c r="A13" s="4">
        <v>0.61379629629629628</v>
      </c>
      <c r="B13">
        <v>63.1</v>
      </c>
      <c r="C13">
        <f t="shared" si="0"/>
        <v>1.5848931924611141E-6</v>
      </c>
    </row>
    <row r="14" spans="1:3" x14ac:dyDescent="0.3">
      <c r="A14" s="4">
        <v>0.6141550925925926</v>
      </c>
      <c r="B14">
        <v>67.099999999999994</v>
      </c>
      <c r="C14">
        <f t="shared" si="0"/>
        <v>3.9810717055349657E-6</v>
      </c>
    </row>
    <row r="15" spans="1:3" x14ac:dyDescent="0.3">
      <c r="A15" s="4">
        <v>0.61450231481481477</v>
      </c>
      <c r="B15">
        <v>72.400000000000006</v>
      </c>
      <c r="C15">
        <f t="shared" si="0"/>
        <v>1.3489628825916542E-5</v>
      </c>
    </row>
    <row r="16" spans="1:3" x14ac:dyDescent="0.3">
      <c r="A16" s="4">
        <v>0.614837962962963</v>
      </c>
      <c r="B16">
        <v>76.3</v>
      </c>
      <c r="C16">
        <f t="shared" si="0"/>
        <v>3.3113112148259117E-5</v>
      </c>
    </row>
    <row r="17" spans="1:3" x14ac:dyDescent="0.3">
      <c r="A17" s="4">
        <v>0.61519675925925921</v>
      </c>
      <c r="B17">
        <v>78.900000000000006</v>
      </c>
      <c r="C17">
        <f t="shared" si="0"/>
        <v>6.0255958607435847E-5</v>
      </c>
    </row>
    <row r="18" spans="1:3" x14ac:dyDescent="0.3">
      <c r="A18" s="4">
        <v>0.61553240740740744</v>
      </c>
      <c r="B18">
        <v>80.8</v>
      </c>
      <c r="C18">
        <f t="shared" si="0"/>
        <v>9.3325430079699222E-5</v>
      </c>
    </row>
    <row r="19" spans="1:3" x14ac:dyDescent="0.3">
      <c r="A19" s="4">
        <v>0.61589120370370365</v>
      </c>
      <c r="B19">
        <v>82.5</v>
      </c>
      <c r="C19">
        <f t="shared" si="0"/>
        <v>1.3803842646028868E-4</v>
      </c>
    </row>
    <row r="20" spans="1:3" x14ac:dyDescent="0.3">
      <c r="A20" s="4">
        <v>0.61622685185185189</v>
      </c>
      <c r="B20">
        <v>83.8</v>
      </c>
      <c r="C20">
        <f t="shared" si="0"/>
        <v>1.8620871366628676E-4</v>
      </c>
    </row>
    <row r="21" spans="1:3" x14ac:dyDescent="0.3">
      <c r="A21" s="4">
        <v>0.6165856481481482</v>
      </c>
      <c r="B21">
        <v>85.9</v>
      </c>
      <c r="C21">
        <f t="shared" si="0"/>
        <v>3.0199517204020212E-4</v>
      </c>
    </row>
    <row r="22" spans="1:3" x14ac:dyDescent="0.3">
      <c r="A22" s="4">
        <v>0.61692129629629633</v>
      </c>
      <c r="B22">
        <v>87</v>
      </c>
      <c r="C22">
        <f t="shared" si="0"/>
        <v>3.8904514499428082E-4</v>
      </c>
    </row>
    <row r="23" spans="1:3" x14ac:dyDescent="0.3">
      <c r="A23" s="4">
        <v>0.61726851851851849</v>
      </c>
      <c r="B23">
        <v>87.9</v>
      </c>
      <c r="C23">
        <f t="shared" si="0"/>
        <v>4.7863009232263908E-4</v>
      </c>
    </row>
    <row r="24" spans="1:3" x14ac:dyDescent="0.3">
      <c r="A24" s="4">
        <v>0.61761574074074077</v>
      </c>
      <c r="B24">
        <v>88.5</v>
      </c>
      <c r="C24">
        <f t="shared" si="0"/>
        <v>5.495408738576251E-4</v>
      </c>
    </row>
    <row r="25" spans="1:3" x14ac:dyDescent="0.3">
      <c r="A25" s="4">
        <v>0.61797453703703709</v>
      </c>
      <c r="B25">
        <v>88.7</v>
      </c>
      <c r="C25">
        <f t="shared" si="0"/>
        <v>5.754399373371574E-4</v>
      </c>
    </row>
    <row r="26" spans="1:3" x14ac:dyDescent="0.3">
      <c r="A26" s="4">
        <v>0.61832175925925925</v>
      </c>
      <c r="B26">
        <v>90.2</v>
      </c>
      <c r="C26">
        <f t="shared" si="0"/>
        <v>8.1283051616410089E-4</v>
      </c>
    </row>
    <row r="27" spans="1:3" x14ac:dyDescent="0.3">
      <c r="A27" s="4">
        <v>0.61865740740740738</v>
      </c>
      <c r="B27">
        <v>90.8</v>
      </c>
      <c r="C27">
        <f t="shared" si="0"/>
        <v>9.3325430079699062E-4</v>
      </c>
    </row>
    <row r="28" spans="1:3" x14ac:dyDescent="0.3">
      <c r="A28" s="4">
        <v>0.61900462962962965</v>
      </c>
      <c r="B28">
        <v>91.5</v>
      </c>
      <c r="C28">
        <f t="shared" si="0"/>
        <v>1.0964781961431858E-3</v>
      </c>
    </row>
    <row r="29" spans="1:3" x14ac:dyDescent="0.3">
      <c r="A29" s="4">
        <v>0.61936342592592597</v>
      </c>
      <c r="B29">
        <v>92.2</v>
      </c>
      <c r="C29">
        <f t="shared" si="0"/>
        <v>1.2882495516931352E-3</v>
      </c>
    </row>
    <row r="30" spans="1:3" x14ac:dyDescent="0.3">
      <c r="A30" s="4">
        <v>0.61971064814814814</v>
      </c>
      <c r="B30">
        <v>94.2</v>
      </c>
      <c r="C30">
        <f t="shared" si="0"/>
        <v>2.0417379446695328E-3</v>
      </c>
    </row>
    <row r="31" spans="1:3" x14ac:dyDescent="0.3">
      <c r="A31" s="4">
        <v>0.62004629629629626</v>
      </c>
      <c r="B31">
        <v>96.1</v>
      </c>
      <c r="C31">
        <f t="shared" si="0"/>
        <v>3.1622776601683764E-3</v>
      </c>
    </row>
    <row r="32" spans="1:3" x14ac:dyDescent="0.3">
      <c r="A32" s="4">
        <v>0.62040509259259258</v>
      </c>
      <c r="B32">
        <v>97.7</v>
      </c>
      <c r="C32">
        <f t="shared" si="0"/>
        <v>4.5708818961487591E-3</v>
      </c>
    </row>
    <row r="33" spans="1:3" x14ac:dyDescent="0.3">
      <c r="A33" s="4">
        <v>0.6207407407407407</v>
      </c>
      <c r="B33">
        <v>99.3</v>
      </c>
      <c r="C33">
        <f t="shared" si="0"/>
        <v>6.6069344800759626E-3</v>
      </c>
    </row>
    <row r="34" spans="1:3" x14ac:dyDescent="0.3">
      <c r="A34" s="4">
        <v>0.62109953703703702</v>
      </c>
      <c r="B34">
        <v>100.9</v>
      </c>
      <c r="C34">
        <f t="shared" si="0"/>
        <v>9.5499258602143814E-3</v>
      </c>
    </row>
    <row r="35" spans="1:3" x14ac:dyDescent="0.3">
      <c r="A35" s="4">
        <v>0.62143518518518515</v>
      </c>
      <c r="B35">
        <v>102.9</v>
      </c>
      <c r="C35">
        <f t="shared" si="0"/>
        <v>1.5135612484362116E-2</v>
      </c>
    </row>
    <row r="36" spans="1:3" x14ac:dyDescent="0.3">
      <c r="A36" s="4">
        <v>0.62179398148148146</v>
      </c>
      <c r="B36">
        <v>106.7</v>
      </c>
      <c r="C36">
        <f t="shared" si="0"/>
        <v>3.6307805477010201E-2</v>
      </c>
    </row>
    <row r="37" spans="1:3" x14ac:dyDescent="0.3">
      <c r="A37" s="4">
        <v>0.62214120370370374</v>
      </c>
      <c r="B37">
        <v>109.7</v>
      </c>
      <c r="C37">
        <f t="shared" si="0"/>
        <v>7.2443596007499125E-2</v>
      </c>
    </row>
    <row r="38" spans="1:3" x14ac:dyDescent="0.3">
      <c r="A38" s="4">
        <v>0.6224884259259259</v>
      </c>
      <c r="B38">
        <v>111.2</v>
      </c>
      <c r="C38">
        <f t="shared" si="0"/>
        <v>0.1023292992280756</v>
      </c>
    </row>
    <row r="39" spans="1:3" x14ac:dyDescent="0.3">
      <c r="A39" s="4">
        <v>0.62282407407407403</v>
      </c>
      <c r="B39">
        <v>113.1</v>
      </c>
      <c r="C39">
        <f t="shared" si="0"/>
        <v>0.15848931924611132</v>
      </c>
    </row>
    <row r="40" spans="1:3" x14ac:dyDescent="0.3">
      <c r="A40" s="4">
        <v>0.62318287037037035</v>
      </c>
      <c r="B40">
        <v>114.3</v>
      </c>
      <c r="C40">
        <f t="shared" si="0"/>
        <v>0.20892961308540403</v>
      </c>
    </row>
    <row r="41" spans="1:3" x14ac:dyDescent="0.3">
      <c r="A41" s="4">
        <v>0.62353009259259262</v>
      </c>
      <c r="B41">
        <v>115.3</v>
      </c>
      <c r="C41">
        <f t="shared" si="0"/>
        <v>0.26302679918953831</v>
      </c>
    </row>
    <row r="42" spans="1:3" x14ac:dyDescent="0.3">
      <c r="A42" s="4">
        <v>0.62386574074074075</v>
      </c>
      <c r="B42">
        <v>116.8</v>
      </c>
      <c r="C42">
        <f t="shared" si="0"/>
        <v>0.37153522909717274</v>
      </c>
    </row>
    <row r="43" spans="1:3" x14ac:dyDescent="0.3">
      <c r="A43" s="4">
        <v>0.62422453703703706</v>
      </c>
      <c r="B43">
        <v>118</v>
      </c>
      <c r="C43">
        <f t="shared" si="0"/>
        <v>0.48977881936844675</v>
      </c>
    </row>
    <row r="44" spans="1:3" x14ac:dyDescent="0.3">
      <c r="A44" s="4">
        <v>0.62456018518518519</v>
      </c>
      <c r="B44">
        <v>118.9</v>
      </c>
      <c r="C44">
        <f t="shared" si="0"/>
        <v>0.60255958607435922</v>
      </c>
    </row>
    <row r="45" spans="1:3" x14ac:dyDescent="0.3">
      <c r="A45" s="4">
        <v>0.62490740740740736</v>
      </c>
      <c r="B45">
        <v>119.8</v>
      </c>
      <c r="C45">
        <f t="shared" si="0"/>
        <v>0.74131024130091794</v>
      </c>
    </row>
    <row r="46" spans="1:3" x14ac:dyDescent="0.3">
      <c r="A46" s="4">
        <v>0.62526620370370367</v>
      </c>
      <c r="B46">
        <v>120.6</v>
      </c>
      <c r="C46">
        <f t="shared" si="0"/>
        <v>0.89125093813374545</v>
      </c>
    </row>
    <row r="47" spans="1:3" x14ac:dyDescent="0.3">
      <c r="A47" s="5">
        <v>0.62561342592592595</v>
      </c>
      <c r="B47" s="6">
        <v>121</v>
      </c>
      <c r="C47" s="6">
        <f t="shared" si="0"/>
        <v>0.977237220955812</v>
      </c>
    </row>
    <row r="48" spans="1:3" x14ac:dyDescent="0.3">
      <c r="A48" s="5">
        <v>0.62596064814814811</v>
      </c>
      <c r="B48" s="6">
        <v>121.4</v>
      </c>
      <c r="C48" s="6">
        <f t="shared" si="0"/>
        <v>1.0715193052376093</v>
      </c>
    </row>
    <row r="49" spans="1:3" x14ac:dyDescent="0.3">
      <c r="A49" s="5">
        <v>0.62630787037037039</v>
      </c>
      <c r="B49" s="6">
        <v>120.8</v>
      </c>
      <c r="C49" s="6">
        <f t="shared" si="0"/>
        <v>0.93325430079699168</v>
      </c>
    </row>
    <row r="50" spans="1:3" x14ac:dyDescent="0.3">
      <c r="A50" s="5">
        <v>0.62664351851851852</v>
      </c>
      <c r="B50" s="6">
        <v>119.9</v>
      </c>
      <c r="C50" s="6">
        <f t="shared" si="0"/>
        <v>0.75857757502918577</v>
      </c>
    </row>
    <row r="51" spans="1:3" x14ac:dyDescent="0.3">
      <c r="A51" s="5">
        <v>0.62700231481481483</v>
      </c>
      <c r="B51" s="6">
        <v>122.5</v>
      </c>
      <c r="C51" s="6">
        <f t="shared" si="0"/>
        <v>1.3803842646028868</v>
      </c>
    </row>
    <row r="52" spans="1:3" x14ac:dyDescent="0.3">
      <c r="A52" s="5">
        <v>0.627349537037037</v>
      </c>
      <c r="B52" s="6">
        <v>121.2</v>
      </c>
      <c r="C52" s="6">
        <f t="shared" si="0"/>
        <v>1.0232929922807561</v>
      </c>
    </row>
    <row r="53" spans="1:3" x14ac:dyDescent="0.3">
      <c r="A53" s="5">
        <v>0.62768518518518523</v>
      </c>
      <c r="B53" s="6">
        <v>121.8</v>
      </c>
      <c r="C53" s="6">
        <f t="shared" si="0"/>
        <v>1.1748975549395304</v>
      </c>
    </row>
    <row r="54" spans="1:3" x14ac:dyDescent="0.3">
      <c r="A54" s="5">
        <v>0.62804398148148144</v>
      </c>
      <c r="B54" s="6">
        <v>122.5</v>
      </c>
      <c r="C54" s="6">
        <f t="shared" si="0"/>
        <v>1.3803842646028868</v>
      </c>
    </row>
    <row r="55" spans="1:3" x14ac:dyDescent="0.3">
      <c r="A55" s="5">
        <v>0.62837962962962968</v>
      </c>
      <c r="B55" s="6">
        <v>122.2</v>
      </c>
      <c r="C55" s="6">
        <f t="shared" si="0"/>
        <v>1.2882495516931365</v>
      </c>
    </row>
    <row r="56" spans="1:3" x14ac:dyDescent="0.3">
      <c r="A56" s="5">
        <v>0.62873842592592588</v>
      </c>
      <c r="B56" s="6">
        <v>121.6</v>
      </c>
      <c r="C56" s="6">
        <f t="shared" si="0"/>
        <v>1.1220184543019636</v>
      </c>
    </row>
    <row r="57" spans="1:3" x14ac:dyDescent="0.3">
      <c r="A57" s="5">
        <v>0.62908564814814816</v>
      </c>
      <c r="B57" s="6">
        <v>122.7</v>
      </c>
      <c r="C57" s="6">
        <f t="shared" si="0"/>
        <v>1.4454397707459303</v>
      </c>
    </row>
    <row r="58" spans="1:3" x14ac:dyDescent="0.3">
      <c r="A58" s="5">
        <v>0.62943287037037032</v>
      </c>
      <c r="B58" s="6">
        <v>120.9</v>
      </c>
      <c r="C58" s="6">
        <f t="shared" si="0"/>
        <v>0.95499258602143855</v>
      </c>
    </row>
    <row r="59" spans="1:3" x14ac:dyDescent="0.3">
      <c r="A59" s="5">
        <v>0.6297800925925926</v>
      </c>
      <c r="B59" s="6">
        <v>123.2</v>
      </c>
      <c r="C59" s="6">
        <f t="shared" si="0"/>
        <v>1.6218100973589331</v>
      </c>
    </row>
    <row r="60" spans="1:3" x14ac:dyDescent="0.3">
      <c r="A60" s="5">
        <v>0.63012731481481477</v>
      </c>
      <c r="B60" s="6">
        <v>121</v>
      </c>
      <c r="C60" s="6">
        <f t="shared" si="0"/>
        <v>0.977237220955812</v>
      </c>
    </row>
    <row r="61" spans="1:3" x14ac:dyDescent="0.3">
      <c r="A61" s="5">
        <v>0.63047453703703704</v>
      </c>
      <c r="B61" s="6">
        <v>123.4</v>
      </c>
      <c r="C61" s="6">
        <f t="shared" si="0"/>
        <v>1.698243652461749</v>
      </c>
    </row>
    <row r="62" spans="1:3" x14ac:dyDescent="0.3">
      <c r="A62" s="5">
        <v>0.63082175925925921</v>
      </c>
      <c r="B62" s="6">
        <v>122</v>
      </c>
      <c r="C62" s="6">
        <f t="shared" si="0"/>
        <v>1.2302687708123832</v>
      </c>
    </row>
    <row r="63" spans="1:3" x14ac:dyDescent="0.3">
      <c r="A63" s="5">
        <v>0.63116898148148148</v>
      </c>
      <c r="B63" s="6">
        <v>121.9</v>
      </c>
      <c r="C63" s="6">
        <f t="shared" si="0"/>
        <v>1.2022644346174161</v>
      </c>
    </row>
    <row r="64" spans="1:3" x14ac:dyDescent="0.3">
      <c r="A64" s="5">
        <v>0.63151620370370365</v>
      </c>
      <c r="B64" s="6">
        <v>122.1</v>
      </c>
      <c r="C64" s="6">
        <f t="shared" si="0"/>
        <v>1.2589254117941673</v>
      </c>
    </row>
    <row r="65" spans="1:3" x14ac:dyDescent="0.3">
      <c r="A65" s="5">
        <v>0.63186342592592593</v>
      </c>
      <c r="B65" s="6">
        <v>120.9</v>
      </c>
      <c r="C65" s="6">
        <f t="shared" si="0"/>
        <v>0.95499258602143855</v>
      </c>
    </row>
    <row r="66" spans="1:3" x14ac:dyDescent="0.3">
      <c r="A66" s="5">
        <v>0.6322106481481482</v>
      </c>
      <c r="B66" s="6">
        <v>123</v>
      </c>
      <c r="C66" s="6">
        <f t="shared" si="0"/>
        <v>1.5488166189124835</v>
      </c>
    </row>
    <row r="67" spans="1:3" x14ac:dyDescent="0.3">
      <c r="A67" s="5">
        <v>0.63254629629629633</v>
      </c>
      <c r="B67" s="6">
        <v>120.9</v>
      </c>
      <c r="C67" s="6">
        <f t="shared" si="0"/>
        <v>0.95499258602143855</v>
      </c>
    </row>
    <row r="68" spans="1:3" x14ac:dyDescent="0.3">
      <c r="A68" s="5">
        <v>0.63290509259259264</v>
      </c>
      <c r="B68" s="6">
        <v>123.6</v>
      </c>
      <c r="C68" s="6">
        <f t="shared" ref="C68:C122" si="1">10^((B68-121.1)/10)</f>
        <v>1.778279410038923</v>
      </c>
    </row>
    <row r="69" spans="1:3" x14ac:dyDescent="0.3">
      <c r="A69" s="5">
        <v>0.63325231481481481</v>
      </c>
      <c r="B69" s="6">
        <v>122</v>
      </c>
      <c r="C69" s="6">
        <f t="shared" si="1"/>
        <v>1.2302687708123832</v>
      </c>
    </row>
    <row r="70" spans="1:3" x14ac:dyDescent="0.3">
      <c r="A70" s="5">
        <v>0.63359953703703709</v>
      </c>
      <c r="B70" s="6">
        <v>121.6</v>
      </c>
      <c r="C70" s="6">
        <f t="shared" si="1"/>
        <v>1.1220184543019636</v>
      </c>
    </row>
    <row r="71" spans="1:3" x14ac:dyDescent="0.3">
      <c r="A71" s="5">
        <v>0.63394675925925925</v>
      </c>
      <c r="B71" s="6">
        <v>122.6</v>
      </c>
      <c r="C71" s="6">
        <f t="shared" si="1"/>
        <v>1.4125375446227544</v>
      </c>
    </row>
    <row r="72" spans="1:3" x14ac:dyDescent="0.3">
      <c r="A72" s="5">
        <v>0.63429398148148153</v>
      </c>
      <c r="B72" s="6">
        <v>121.2</v>
      </c>
      <c r="C72" s="6">
        <f t="shared" si="1"/>
        <v>1.0232929922807561</v>
      </c>
    </row>
    <row r="73" spans="1:3" x14ac:dyDescent="0.3">
      <c r="A73" s="5">
        <v>0.63464120370370369</v>
      </c>
      <c r="B73" s="6">
        <v>123.4</v>
      </c>
      <c r="C73" s="6">
        <f t="shared" si="1"/>
        <v>1.698243652461749</v>
      </c>
    </row>
    <row r="74" spans="1:3" x14ac:dyDescent="0.3">
      <c r="A74" s="5">
        <v>0.63498842592592597</v>
      </c>
      <c r="B74" s="6">
        <v>122.3</v>
      </c>
      <c r="C74" s="6">
        <f t="shared" si="1"/>
        <v>1.3182567385564079</v>
      </c>
    </row>
    <row r="75" spans="1:3" x14ac:dyDescent="0.3">
      <c r="A75" s="5">
        <v>0.63533564814814814</v>
      </c>
      <c r="B75" s="6">
        <v>120.7</v>
      </c>
      <c r="C75" s="6">
        <f t="shared" si="1"/>
        <v>0.91201083935591154</v>
      </c>
    </row>
    <row r="76" spans="1:3" x14ac:dyDescent="0.3">
      <c r="A76" s="5">
        <v>0.63568287037037041</v>
      </c>
      <c r="B76" s="6">
        <v>123.8</v>
      </c>
      <c r="C76" s="6">
        <f t="shared" si="1"/>
        <v>1.8620871366628688</v>
      </c>
    </row>
    <row r="77" spans="1:3" x14ac:dyDescent="0.3">
      <c r="A77" s="5">
        <v>0.63603009259259258</v>
      </c>
      <c r="B77" s="6">
        <v>122.3</v>
      </c>
      <c r="C77" s="6">
        <f t="shared" si="1"/>
        <v>1.3182567385564079</v>
      </c>
    </row>
    <row r="78" spans="1:3" x14ac:dyDescent="0.3">
      <c r="A78" s="5">
        <v>0.63637731481481485</v>
      </c>
      <c r="B78" s="6">
        <v>120.9</v>
      </c>
      <c r="C78" s="6">
        <f t="shared" si="1"/>
        <v>0.95499258602143855</v>
      </c>
    </row>
    <row r="79" spans="1:3" x14ac:dyDescent="0.3">
      <c r="A79" s="5">
        <v>0.63672453703703702</v>
      </c>
      <c r="B79" s="6">
        <v>123.3</v>
      </c>
      <c r="C79" s="6">
        <f t="shared" si="1"/>
        <v>1.6595869074375618</v>
      </c>
    </row>
    <row r="80" spans="1:3" x14ac:dyDescent="0.3">
      <c r="A80" s="5">
        <v>0.6370717592592593</v>
      </c>
      <c r="B80" s="6">
        <v>121.9</v>
      </c>
      <c r="C80" s="6">
        <f t="shared" si="1"/>
        <v>1.2022644346174161</v>
      </c>
    </row>
    <row r="81" spans="1:3" x14ac:dyDescent="0.3">
      <c r="A81" s="5">
        <v>0.63741898148148146</v>
      </c>
      <c r="B81" s="6">
        <v>121.3</v>
      </c>
      <c r="C81" s="6">
        <f t="shared" si="1"/>
        <v>1.0471285480509003</v>
      </c>
    </row>
    <row r="82" spans="1:3" x14ac:dyDescent="0.3">
      <c r="A82" s="5">
        <v>0.63776620370370374</v>
      </c>
      <c r="B82" s="6">
        <v>123</v>
      </c>
      <c r="C82" s="6">
        <f t="shared" si="1"/>
        <v>1.5488166189124835</v>
      </c>
    </row>
    <row r="83" spans="1:3" x14ac:dyDescent="0.3">
      <c r="A83" s="5">
        <v>0.6381134259259259</v>
      </c>
      <c r="B83" s="6">
        <v>121.8</v>
      </c>
      <c r="C83" s="6">
        <f t="shared" si="1"/>
        <v>1.1748975549395304</v>
      </c>
    </row>
    <row r="84" spans="1:3" x14ac:dyDescent="0.3">
      <c r="A84" s="5">
        <v>0.63846064814814818</v>
      </c>
      <c r="B84" s="6">
        <v>121.6</v>
      </c>
      <c r="C84" s="6">
        <f t="shared" si="1"/>
        <v>1.1220184543019636</v>
      </c>
    </row>
    <row r="85" spans="1:3" x14ac:dyDescent="0.3">
      <c r="A85" s="5">
        <v>0.63880787037037035</v>
      </c>
      <c r="B85" s="6">
        <v>122.8</v>
      </c>
      <c r="C85" s="6">
        <f t="shared" si="1"/>
        <v>1.4791083881682086</v>
      </c>
    </row>
    <row r="86" spans="1:3" x14ac:dyDescent="0.3">
      <c r="A86" s="5">
        <v>0.63915509259259262</v>
      </c>
      <c r="B86" s="6">
        <v>121.4</v>
      </c>
      <c r="C86" s="6">
        <f t="shared" si="1"/>
        <v>1.0715193052376093</v>
      </c>
    </row>
    <row r="87" spans="1:3" x14ac:dyDescent="0.3">
      <c r="A87" s="5">
        <v>0.63950231481481479</v>
      </c>
      <c r="B87" s="6">
        <v>122.4</v>
      </c>
      <c r="C87" s="6">
        <f t="shared" si="1"/>
        <v>1.3489628825916571</v>
      </c>
    </row>
    <row r="88" spans="1:3" x14ac:dyDescent="0.3">
      <c r="A88" s="4">
        <v>0.63984953703703706</v>
      </c>
      <c r="B88">
        <v>115.6</v>
      </c>
      <c r="C88">
        <f t="shared" si="1"/>
        <v>0.28183829312644532</v>
      </c>
    </row>
    <row r="89" spans="1:3" x14ac:dyDescent="0.3">
      <c r="A89" s="4">
        <v>0.64019675925925923</v>
      </c>
      <c r="B89">
        <v>111.9</v>
      </c>
      <c r="C89">
        <f t="shared" si="1"/>
        <v>0.12022644346174159</v>
      </c>
    </row>
    <row r="90" spans="1:3" x14ac:dyDescent="0.3">
      <c r="A90" s="4">
        <v>0.64054398148148151</v>
      </c>
      <c r="B90">
        <v>106.9</v>
      </c>
      <c r="C90">
        <f t="shared" si="1"/>
        <v>3.8018939632056215E-2</v>
      </c>
    </row>
    <row r="91" spans="1:3" x14ac:dyDescent="0.3">
      <c r="A91" s="4">
        <v>0.64089120370370367</v>
      </c>
      <c r="B91">
        <v>88</v>
      </c>
      <c r="C91">
        <f t="shared" si="1"/>
        <v>4.8977881936844653E-4</v>
      </c>
    </row>
    <row r="92" spans="1:3" x14ac:dyDescent="0.3">
      <c r="A92" s="4">
        <v>0.64123842592592595</v>
      </c>
      <c r="B92">
        <v>81.2</v>
      </c>
      <c r="C92">
        <f t="shared" si="1"/>
        <v>1.0232929922807549E-4</v>
      </c>
    </row>
    <row r="93" spans="1:3" x14ac:dyDescent="0.3">
      <c r="A93" s="4">
        <v>0.64158564814814811</v>
      </c>
      <c r="B93">
        <v>76.900000000000006</v>
      </c>
      <c r="C93">
        <f t="shared" si="1"/>
        <v>3.8018939632056171E-5</v>
      </c>
    </row>
    <row r="94" spans="1:3" x14ac:dyDescent="0.3">
      <c r="A94" s="4">
        <v>0.64193287037037039</v>
      </c>
      <c r="B94">
        <v>73.099999999999994</v>
      </c>
      <c r="C94">
        <f t="shared" si="1"/>
        <v>1.5848931924611131E-5</v>
      </c>
    </row>
    <row r="95" spans="1:3" x14ac:dyDescent="0.3">
      <c r="A95" s="4">
        <v>0.64228009259259256</v>
      </c>
      <c r="B95">
        <v>69.7</v>
      </c>
      <c r="C95">
        <f t="shared" si="1"/>
        <v>7.2443596007499092E-6</v>
      </c>
    </row>
    <row r="96" spans="1:3" x14ac:dyDescent="0.3">
      <c r="A96" s="4">
        <v>0.64262731481481483</v>
      </c>
      <c r="B96">
        <v>66.7</v>
      </c>
      <c r="C96">
        <f t="shared" si="1"/>
        <v>3.6307805477010154E-6</v>
      </c>
    </row>
    <row r="97" spans="1:3" x14ac:dyDescent="0.3">
      <c r="A97" s="4">
        <v>0.642974537037037</v>
      </c>
      <c r="B97">
        <v>64.3</v>
      </c>
      <c r="C97">
        <f t="shared" si="1"/>
        <v>2.0892961308540377E-6</v>
      </c>
    </row>
    <row r="98" spans="1:3" x14ac:dyDescent="0.3">
      <c r="A98" s="4">
        <v>0.64332175925925927</v>
      </c>
      <c r="B98">
        <v>62.1</v>
      </c>
      <c r="C98">
        <f t="shared" si="1"/>
        <v>1.2589254117941665E-6</v>
      </c>
    </row>
    <row r="99" spans="1:3" x14ac:dyDescent="0.3">
      <c r="A99" s="4">
        <v>0.64366898148148144</v>
      </c>
      <c r="B99">
        <v>60.2</v>
      </c>
      <c r="C99">
        <f t="shared" si="1"/>
        <v>8.1283051616410038E-7</v>
      </c>
    </row>
    <row r="100" spans="1:3" x14ac:dyDescent="0.3">
      <c r="A100" s="4">
        <v>0.64401620370370372</v>
      </c>
      <c r="B100">
        <v>58.3</v>
      </c>
      <c r="C100">
        <f t="shared" si="1"/>
        <v>5.2480746024977233E-7</v>
      </c>
    </row>
    <row r="101" spans="1:3" x14ac:dyDescent="0.3">
      <c r="A101" s="4">
        <v>0.64436342592592588</v>
      </c>
      <c r="B101">
        <v>56.8</v>
      </c>
      <c r="C101">
        <f t="shared" si="1"/>
        <v>3.7153522909717226E-7</v>
      </c>
    </row>
    <row r="102" spans="1:3" x14ac:dyDescent="0.3">
      <c r="A102" s="4">
        <v>0.64471064814814816</v>
      </c>
      <c r="B102">
        <v>55.2</v>
      </c>
      <c r="C102">
        <f t="shared" si="1"/>
        <v>2.5703957827688658E-7</v>
      </c>
    </row>
    <row r="103" spans="1:3" x14ac:dyDescent="0.3">
      <c r="A103" s="4">
        <v>0.64505787037037032</v>
      </c>
      <c r="B103">
        <v>53.8</v>
      </c>
      <c r="C103">
        <f t="shared" si="1"/>
        <v>1.8620871366628682E-7</v>
      </c>
    </row>
    <row r="104" spans="1:3" x14ac:dyDescent="0.3">
      <c r="A104" s="4">
        <v>0.6454050925925926</v>
      </c>
      <c r="B104">
        <v>52.6</v>
      </c>
      <c r="C104">
        <f t="shared" si="1"/>
        <v>1.4125375446227539E-7</v>
      </c>
    </row>
    <row r="105" spans="1:3" x14ac:dyDescent="0.3">
      <c r="A105" s="4">
        <v>0.64575231481481477</v>
      </c>
      <c r="B105">
        <v>51.4</v>
      </c>
      <c r="C105">
        <f t="shared" si="1"/>
        <v>1.0715193052376092E-7</v>
      </c>
    </row>
    <row r="106" spans="1:3" x14ac:dyDescent="0.3">
      <c r="A106" s="4">
        <v>0.64609953703703704</v>
      </c>
      <c r="B106">
        <v>50.3</v>
      </c>
      <c r="C106">
        <f t="shared" si="1"/>
        <v>8.3176377110266823E-8</v>
      </c>
    </row>
    <row r="107" spans="1:3" x14ac:dyDescent="0.3">
      <c r="A107" s="4">
        <v>0.64644675925925921</v>
      </c>
      <c r="B107">
        <v>49.3</v>
      </c>
      <c r="C107">
        <f t="shared" si="1"/>
        <v>6.606934480075943E-8</v>
      </c>
    </row>
    <row r="108" spans="1:3" x14ac:dyDescent="0.3">
      <c r="A108" s="4">
        <v>0.64679398148148148</v>
      </c>
      <c r="B108">
        <v>48.3</v>
      </c>
      <c r="C108">
        <f t="shared" si="1"/>
        <v>5.2480746024977185E-8</v>
      </c>
    </row>
    <row r="109" spans="1:3" x14ac:dyDescent="0.3">
      <c r="A109" s="4">
        <v>0.64714120370370365</v>
      </c>
      <c r="B109">
        <v>47.5</v>
      </c>
      <c r="C109">
        <f t="shared" si="1"/>
        <v>4.3651583224016566E-8</v>
      </c>
    </row>
    <row r="110" spans="1:3" x14ac:dyDescent="0.3">
      <c r="A110" s="4">
        <v>0.64748842592592593</v>
      </c>
      <c r="B110">
        <v>46.7</v>
      </c>
      <c r="C110">
        <f t="shared" si="1"/>
        <v>3.6307805477010135E-8</v>
      </c>
    </row>
    <row r="111" spans="1:3" x14ac:dyDescent="0.3">
      <c r="A111" s="4">
        <v>0.6478356481481482</v>
      </c>
      <c r="B111">
        <v>46.1</v>
      </c>
      <c r="C111">
        <f t="shared" si="1"/>
        <v>3.1622776601683699E-8</v>
      </c>
    </row>
    <row r="112" spans="1:3" x14ac:dyDescent="0.3">
      <c r="A112" s="4">
        <v>0.64818287037037037</v>
      </c>
      <c r="B112">
        <v>45.4</v>
      </c>
      <c r="C112">
        <f t="shared" si="1"/>
        <v>2.691534803926919E-8</v>
      </c>
    </row>
    <row r="113" spans="1:3" x14ac:dyDescent="0.3">
      <c r="A113" s="4">
        <v>0.64853009259259264</v>
      </c>
      <c r="B113">
        <v>45</v>
      </c>
      <c r="C113">
        <f t="shared" si="1"/>
        <v>2.4547089156850259E-8</v>
      </c>
    </row>
    <row r="114" spans="1:3" x14ac:dyDescent="0.3">
      <c r="A114" s="4">
        <v>0.64887731481481481</v>
      </c>
      <c r="B114">
        <v>44.9</v>
      </c>
      <c r="C114">
        <f t="shared" si="1"/>
        <v>2.3988329190194944E-8</v>
      </c>
    </row>
    <row r="115" spans="1:3" x14ac:dyDescent="0.3">
      <c r="A115" s="4">
        <v>0.64922453703703709</v>
      </c>
      <c r="B115">
        <v>44.8</v>
      </c>
      <c r="C115">
        <f t="shared" si="1"/>
        <v>2.3442288153199181E-8</v>
      </c>
    </row>
    <row r="116" spans="1:3" x14ac:dyDescent="0.3">
      <c r="A116" s="4">
        <v>0.64957175925925925</v>
      </c>
      <c r="B116">
        <v>44.7</v>
      </c>
      <c r="C116">
        <f t="shared" si="1"/>
        <v>2.2908676527677776E-8</v>
      </c>
    </row>
    <row r="117" spans="1:3" x14ac:dyDescent="0.3">
      <c r="A117" s="4">
        <v>0.64991898148148153</v>
      </c>
      <c r="B117">
        <v>44.7</v>
      </c>
      <c r="C117">
        <f t="shared" si="1"/>
        <v>2.2908676527677776E-8</v>
      </c>
    </row>
    <row r="118" spans="1:3" x14ac:dyDescent="0.3">
      <c r="A118" s="4">
        <v>0.65026620370370369</v>
      </c>
      <c r="B118">
        <v>44.7</v>
      </c>
      <c r="C118">
        <f t="shared" si="1"/>
        <v>2.2908676527677776E-8</v>
      </c>
    </row>
    <row r="119" spans="1:3" x14ac:dyDescent="0.3">
      <c r="A119" s="4">
        <v>0.65061342592592597</v>
      </c>
      <c r="B119">
        <v>44.8</v>
      </c>
      <c r="C119">
        <f t="shared" si="1"/>
        <v>2.3442288153199181E-8</v>
      </c>
    </row>
    <row r="120" spans="1:3" x14ac:dyDescent="0.3">
      <c r="A120" s="4">
        <v>0.65096064814814814</v>
      </c>
      <c r="B120">
        <v>45</v>
      </c>
      <c r="C120">
        <f t="shared" si="1"/>
        <v>2.4547089156850259E-8</v>
      </c>
    </row>
    <row r="121" spans="1:3" x14ac:dyDescent="0.3">
      <c r="A121" s="4">
        <v>0.65130787037037041</v>
      </c>
      <c r="B121">
        <v>45</v>
      </c>
      <c r="C121">
        <f t="shared" si="1"/>
        <v>2.4547089156850259E-8</v>
      </c>
    </row>
    <row r="122" spans="1:3" x14ac:dyDescent="0.3">
      <c r="A122" s="4">
        <v>0.65165509259259258</v>
      </c>
      <c r="B122">
        <v>45</v>
      </c>
      <c r="C122">
        <f t="shared" si="1"/>
        <v>2.4547089156850259E-8</v>
      </c>
    </row>
    <row r="123" spans="1:3" x14ac:dyDescent="0.3">
      <c r="A123" s="2" t="s">
        <v>61</v>
      </c>
      <c r="C123">
        <f>SUM(C3:C122)</f>
        <v>55.669079130873477</v>
      </c>
    </row>
    <row r="125" spans="1:3" x14ac:dyDescent="0.3">
      <c r="A125" s="2" t="s">
        <v>62</v>
      </c>
      <c r="C125">
        <f>30/60*C123</f>
        <v>27.834539565436739</v>
      </c>
    </row>
    <row r="127" spans="1:3" x14ac:dyDescent="0.3">
      <c r="A127" s="2" t="s">
        <v>63</v>
      </c>
    </row>
    <row r="128" spans="1:3" x14ac:dyDescent="0.3">
      <c r="A128" s="2" t="s">
        <v>58</v>
      </c>
      <c r="B128" s="2" t="s">
        <v>59</v>
      </c>
      <c r="C128" s="2" t="s">
        <v>60</v>
      </c>
    </row>
    <row r="129" spans="1:3" x14ac:dyDescent="0.3">
      <c r="A129" s="4">
        <v>0.62146990740740737</v>
      </c>
      <c r="B129">
        <v>34.799999999999997</v>
      </c>
      <c r="C129">
        <f>10^((B129-121.1)/10)</f>
        <v>2.3442288153199238E-9</v>
      </c>
    </row>
    <row r="130" spans="1:3" x14ac:dyDescent="0.3">
      <c r="A130" s="4">
        <v>0.62181712962962965</v>
      </c>
      <c r="B130">
        <v>34.5</v>
      </c>
      <c r="C130">
        <f>10^((B130-121.1)/10)</f>
        <v>2.1877616239495468E-9</v>
      </c>
    </row>
    <row r="131" spans="1:3" x14ac:dyDescent="0.3">
      <c r="A131" s="4">
        <v>0.62216435185185182</v>
      </c>
      <c r="B131">
        <v>35</v>
      </c>
      <c r="C131">
        <f t="shared" ref="C131:C194" si="2">10^((B131-121.1)/10)</f>
        <v>2.4547089156850316E-9</v>
      </c>
    </row>
    <row r="132" spans="1:3" x14ac:dyDescent="0.3">
      <c r="A132" s="4">
        <v>0.62251157407407409</v>
      </c>
      <c r="B132">
        <v>37.200000000000003</v>
      </c>
      <c r="C132">
        <f t="shared" si="2"/>
        <v>4.0738027780411355E-9</v>
      </c>
    </row>
    <row r="133" spans="1:3" x14ac:dyDescent="0.3">
      <c r="A133" s="4">
        <v>0.62285879629629626</v>
      </c>
      <c r="B133">
        <v>42.5</v>
      </c>
      <c r="C133">
        <f t="shared" si="2"/>
        <v>1.3803842646028856E-8</v>
      </c>
    </row>
    <row r="134" spans="1:3" x14ac:dyDescent="0.3">
      <c r="A134" s="4">
        <v>0.62320601851851853</v>
      </c>
      <c r="B134">
        <v>48.1</v>
      </c>
      <c r="C134">
        <f t="shared" si="2"/>
        <v>5.0118723362727164E-8</v>
      </c>
    </row>
    <row r="135" spans="1:3" x14ac:dyDescent="0.3">
      <c r="A135" s="4">
        <v>0.6235532407407407</v>
      </c>
      <c r="B135">
        <v>53.3</v>
      </c>
      <c r="C135">
        <f t="shared" si="2"/>
        <v>1.6595869074375618E-7</v>
      </c>
    </row>
    <row r="136" spans="1:3" x14ac:dyDescent="0.3">
      <c r="A136" s="4">
        <v>0.62390046296296298</v>
      </c>
      <c r="B136">
        <v>57.9</v>
      </c>
      <c r="C136">
        <f t="shared" si="2"/>
        <v>4.786300923226383E-7</v>
      </c>
    </row>
    <row r="137" spans="1:3" x14ac:dyDescent="0.3">
      <c r="A137" s="4">
        <v>0.62424768518518514</v>
      </c>
      <c r="B137">
        <v>62.1</v>
      </c>
      <c r="C137">
        <f t="shared" si="2"/>
        <v>1.2589254117941665E-6</v>
      </c>
    </row>
    <row r="138" spans="1:3" x14ac:dyDescent="0.3">
      <c r="A138" s="4">
        <v>0.62459490740740742</v>
      </c>
      <c r="B138">
        <v>64.900000000000006</v>
      </c>
      <c r="C138">
        <f t="shared" si="2"/>
        <v>2.3988329190194914E-6</v>
      </c>
    </row>
    <row r="139" spans="1:3" x14ac:dyDescent="0.3">
      <c r="A139" s="4">
        <v>0.62494212962962958</v>
      </c>
      <c r="B139">
        <v>67.400000000000006</v>
      </c>
      <c r="C139">
        <f t="shared" si="2"/>
        <v>4.2657951880159257E-6</v>
      </c>
    </row>
    <row r="140" spans="1:3" x14ac:dyDescent="0.3">
      <c r="A140" s="4">
        <v>0.62528935185185186</v>
      </c>
      <c r="B140">
        <v>69.7</v>
      </c>
      <c r="C140">
        <f t="shared" si="2"/>
        <v>7.2443596007499092E-6</v>
      </c>
    </row>
    <row r="141" spans="1:3" x14ac:dyDescent="0.3">
      <c r="A141" s="4">
        <v>0.62563657407407403</v>
      </c>
      <c r="B141">
        <v>73.400000000000006</v>
      </c>
      <c r="C141">
        <f t="shared" si="2"/>
        <v>1.6982436524617463E-5</v>
      </c>
    </row>
    <row r="142" spans="1:3" x14ac:dyDescent="0.3">
      <c r="A142" s="4">
        <v>0.6259837962962963</v>
      </c>
      <c r="B142">
        <v>76.3</v>
      </c>
      <c r="C142">
        <f t="shared" si="2"/>
        <v>3.3113112148259117E-5</v>
      </c>
    </row>
    <row r="143" spans="1:3" x14ac:dyDescent="0.3">
      <c r="A143" s="4">
        <v>0.62633101851851847</v>
      </c>
      <c r="B143">
        <v>78.7</v>
      </c>
      <c r="C143">
        <f t="shared" si="2"/>
        <v>5.7543993733715779E-5</v>
      </c>
    </row>
    <row r="144" spans="1:3" x14ac:dyDescent="0.3">
      <c r="A144" s="4">
        <v>0.62667824074074074</v>
      </c>
      <c r="B144">
        <v>80</v>
      </c>
      <c r="C144">
        <f t="shared" si="2"/>
        <v>7.7624711662869179E-5</v>
      </c>
    </row>
    <row r="145" spans="1:3" x14ac:dyDescent="0.3">
      <c r="A145" s="4">
        <v>0.62702546296296291</v>
      </c>
      <c r="B145">
        <v>81.5</v>
      </c>
      <c r="C145">
        <f t="shared" si="2"/>
        <v>1.0964781961431857E-4</v>
      </c>
    </row>
    <row r="146" spans="1:3" x14ac:dyDescent="0.3">
      <c r="A146" s="4">
        <v>0.62737268518518519</v>
      </c>
      <c r="B146">
        <v>82.8</v>
      </c>
      <c r="C146">
        <f t="shared" si="2"/>
        <v>1.4791083881682062E-4</v>
      </c>
    </row>
    <row r="147" spans="1:3" x14ac:dyDescent="0.3">
      <c r="A147" s="4">
        <v>0.62771990740740746</v>
      </c>
      <c r="B147">
        <v>84.1</v>
      </c>
      <c r="C147">
        <f t="shared" si="2"/>
        <v>1.9952623149688758E-4</v>
      </c>
    </row>
    <row r="148" spans="1:3" x14ac:dyDescent="0.3">
      <c r="A148" s="4">
        <v>0.62806712962962963</v>
      </c>
      <c r="B148">
        <v>84.8</v>
      </c>
      <c r="C148">
        <f t="shared" si="2"/>
        <v>2.3442288153199204E-4</v>
      </c>
    </row>
    <row r="149" spans="1:3" x14ac:dyDescent="0.3">
      <c r="A149" s="4">
        <v>0.6284143518518519</v>
      </c>
      <c r="B149">
        <v>85.5</v>
      </c>
      <c r="C149">
        <f t="shared" si="2"/>
        <v>2.7542287033381673E-4</v>
      </c>
    </row>
    <row r="150" spans="1:3" x14ac:dyDescent="0.3">
      <c r="A150" s="4">
        <v>0.62876157407407407</v>
      </c>
      <c r="B150">
        <v>86.1</v>
      </c>
      <c r="C150">
        <f t="shared" si="2"/>
        <v>3.1622776601683783E-4</v>
      </c>
    </row>
    <row r="151" spans="1:3" x14ac:dyDescent="0.3">
      <c r="A151" s="4">
        <v>0.62910879629629635</v>
      </c>
      <c r="B151">
        <v>86.4</v>
      </c>
      <c r="C151">
        <f t="shared" si="2"/>
        <v>3.3884415613920328E-4</v>
      </c>
    </row>
    <row r="152" spans="1:3" x14ac:dyDescent="0.3">
      <c r="A152" s="4">
        <v>0.62945601851851851</v>
      </c>
      <c r="B152">
        <v>87.2</v>
      </c>
      <c r="C152">
        <f t="shared" si="2"/>
        <v>4.0738027780411331E-4</v>
      </c>
    </row>
    <row r="153" spans="1:3" x14ac:dyDescent="0.3">
      <c r="A153" s="4">
        <v>0.62980324074074079</v>
      </c>
      <c r="B153">
        <v>88.2</v>
      </c>
      <c r="C153">
        <f t="shared" si="2"/>
        <v>5.1286138399136549E-4</v>
      </c>
    </row>
    <row r="154" spans="1:3" x14ac:dyDescent="0.3">
      <c r="A154" s="4">
        <v>0.63015046296296295</v>
      </c>
      <c r="B154">
        <v>89.8</v>
      </c>
      <c r="C154">
        <f t="shared" si="2"/>
        <v>7.4131024130091731E-4</v>
      </c>
    </row>
    <row r="155" spans="1:3" x14ac:dyDescent="0.3">
      <c r="A155" s="4">
        <v>0.63049768518518523</v>
      </c>
      <c r="B155">
        <v>92.3</v>
      </c>
      <c r="C155">
        <f t="shared" si="2"/>
        <v>1.3182567385564071E-3</v>
      </c>
    </row>
    <row r="156" spans="1:3" x14ac:dyDescent="0.3">
      <c r="A156" s="4">
        <v>0.6308449074074074</v>
      </c>
      <c r="B156">
        <v>94.4</v>
      </c>
      <c r="C156">
        <f t="shared" si="2"/>
        <v>2.1379620895022352E-3</v>
      </c>
    </row>
    <row r="157" spans="1:3" x14ac:dyDescent="0.3">
      <c r="A157" s="4">
        <v>0.63119212962962967</v>
      </c>
      <c r="B157">
        <v>96.5</v>
      </c>
      <c r="C157">
        <f t="shared" si="2"/>
        <v>3.4673685045253175E-3</v>
      </c>
    </row>
    <row r="158" spans="1:3" x14ac:dyDescent="0.3">
      <c r="A158" s="4">
        <v>0.63153935185185184</v>
      </c>
      <c r="B158">
        <v>98.7</v>
      </c>
      <c r="C158">
        <f t="shared" si="2"/>
        <v>5.7543993733715744E-3</v>
      </c>
    </row>
    <row r="159" spans="1:3" x14ac:dyDescent="0.3">
      <c r="A159" s="4">
        <v>0.63188657407407411</v>
      </c>
      <c r="B159">
        <v>100.8</v>
      </c>
      <c r="C159">
        <f t="shared" si="2"/>
        <v>9.3325430079699099E-3</v>
      </c>
    </row>
    <row r="160" spans="1:3" x14ac:dyDescent="0.3">
      <c r="A160" s="4">
        <v>0.63223379629629628</v>
      </c>
      <c r="B160">
        <v>103.7</v>
      </c>
      <c r="C160">
        <f t="shared" si="2"/>
        <v>1.8197008586099864E-2</v>
      </c>
    </row>
    <row r="161" spans="1:3" x14ac:dyDescent="0.3">
      <c r="A161" s="4">
        <v>0.63258101851851856</v>
      </c>
      <c r="B161">
        <v>106.7</v>
      </c>
      <c r="C161">
        <f t="shared" si="2"/>
        <v>3.6307805477010201E-2</v>
      </c>
    </row>
    <row r="162" spans="1:3" x14ac:dyDescent="0.3">
      <c r="A162" s="4">
        <v>0.63292824074074072</v>
      </c>
      <c r="B162">
        <v>109.5</v>
      </c>
      <c r="C162">
        <f t="shared" si="2"/>
        <v>6.9183097091893714E-2</v>
      </c>
    </row>
    <row r="163" spans="1:3" x14ac:dyDescent="0.3">
      <c r="A163" s="4">
        <v>0.633275462962963</v>
      </c>
      <c r="B163">
        <v>111.5</v>
      </c>
      <c r="C163">
        <f t="shared" si="2"/>
        <v>0.10964781961431865</v>
      </c>
    </row>
    <row r="164" spans="1:3" x14ac:dyDescent="0.3">
      <c r="A164" s="4">
        <v>0.63362268518518516</v>
      </c>
      <c r="B164">
        <v>112.7</v>
      </c>
      <c r="C164">
        <f t="shared" si="2"/>
        <v>0.14454397707459299</v>
      </c>
    </row>
    <row r="165" spans="1:3" x14ac:dyDescent="0.3">
      <c r="A165" s="4">
        <v>0.63396990740740744</v>
      </c>
      <c r="B165">
        <v>113.8</v>
      </c>
      <c r="C165">
        <f t="shared" si="2"/>
        <v>0.1862087136662868</v>
      </c>
    </row>
    <row r="166" spans="1:3" x14ac:dyDescent="0.3">
      <c r="A166" s="4">
        <v>0.63431712962962961</v>
      </c>
      <c r="B166">
        <v>114.8</v>
      </c>
      <c r="C166">
        <f t="shared" si="2"/>
        <v>0.23442288153199239</v>
      </c>
    </row>
    <row r="167" spans="1:3" x14ac:dyDescent="0.3">
      <c r="A167" s="4">
        <v>0.63466435185185188</v>
      </c>
      <c r="B167">
        <v>115.6</v>
      </c>
      <c r="C167">
        <f t="shared" si="2"/>
        <v>0.28183829312644532</v>
      </c>
    </row>
    <row r="168" spans="1:3" x14ac:dyDescent="0.3">
      <c r="A168" s="4">
        <v>0.63501157407407405</v>
      </c>
      <c r="B168">
        <v>116.4</v>
      </c>
      <c r="C168">
        <f t="shared" si="2"/>
        <v>0.33884415613920338</v>
      </c>
    </row>
    <row r="169" spans="1:3" x14ac:dyDescent="0.3">
      <c r="A169" s="4">
        <v>0.63535879629629632</v>
      </c>
      <c r="B169">
        <v>117.2</v>
      </c>
      <c r="C169">
        <f t="shared" si="2"/>
        <v>0.40738027780411351</v>
      </c>
    </row>
    <row r="170" spans="1:3" x14ac:dyDescent="0.3">
      <c r="A170" s="4">
        <v>0.63570601851851849</v>
      </c>
      <c r="B170">
        <v>118.1</v>
      </c>
      <c r="C170">
        <f t="shared" si="2"/>
        <v>0.50118723362727224</v>
      </c>
    </row>
    <row r="171" spans="1:3" x14ac:dyDescent="0.3">
      <c r="A171" s="4">
        <v>0.63605324074074077</v>
      </c>
      <c r="B171">
        <v>118.9</v>
      </c>
      <c r="C171">
        <f t="shared" si="2"/>
        <v>0.60255958607435922</v>
      </c>
    </row>
    <row r="172" spans="1:3" x14ac:dyDescent="0.3">
      <c r="A172" s="4">
        <v>0.63640046296296293</v>
      </c>
      <c r="B172">
        <v>119.7</v>
      </c>
      <c r="C172">
        <f t="shared" si="2"/>
        <v>0.72443596007499134</v>
      </c>
    </row>
    <row r="173" spans="1:3" x14ac:dyDescent="0.3">
      <c r="A173" s="4">
        <v>0.63674768518518521</v>
      </c>
      <c r="B173">
        <v>120.5</v>
      </c>
      <c r="C173">
        <f t="shared" si="2"/>
        <v>0.87096358995608181</v>
      </c>
    </row>
    <row r="174" spans="1:3" x14ac:dyDescent="0.3">
      <c r="A174" s="5">
        <v>0.63709490740740737</v>
      </c>
      <c r="B174" s="6">
        <v>121.2</v>
      </c>
      <c r="C174" s="6">
        <f t="shared" si="2"/>
        <v>1.0232929922807561</v>
      </c>
    </row>
    <row r="175" spans="1:3" x14ac:dyDescent="0.3">
      <c r="A175" s="5">
        <v>0.63744212962962965</v>
      </c>
      <c r="B175" s="6">
        <v>121.2</v>
      </c>
      <c r="C175" s="6">
        <f t="shared" si="2"/>
        <v>1.0232929922807561</v>
      </c>
    </row>
    <row r="176" spans="1:3" x14ac:dyDescent="0.3">
      <c r="A176" s="5">
        <v>0.63778935185185182</v>
      </c>
      <c r="B176" s="6">
        <v>120.7</v>
      </c>
      <c r="C176" s="6">
        <f t="shared" si="2"/>
        <v>0.91201083935591154</v>
      </c>
    </row>
    <row r="177" spans="1:3" x14ac:dyDescent="0.3">
      <c r="A177" s="5">
        <v>0.63813657407407409</v>
      </c>
      <c r="B177" s="6">
        <v>122.6</v>
      </c>
      <c r="C177" s="6">
        <f t="shared" si="2"/>
        <v>1.4125375446227544</v>
      </c>
    </row>
    <row r="178" spans="1:3" x14ac:dyDescent="0.3">
      <c r="A178" s="5">
        <v>0.63848379629629626</v>
      </c>
      <c r="B178" s="6">
        <v>122</v>
      </c>
      <c r="C178" s="6">
        <f t="shared" si="2"/>
        <v>1.2302687708123832</v>
      </c>
    </row>
    <row r="179" spans="1:3" x14ac:dyDescent="0.3">
      <c r="A179" s="5">
        <v>0.63883101851851853</v>
      </c>
      <c r="B179" s="6">
        <v>121.1</v>
      </c>
      <c r="C179" s="6">
        <f t="shared" si="2"/>
        <v>1</v>
      </c>
    </row>
    <row r="180" spans="1:3" x14ac:dyDescent="0.3">
      <c r="A180" s="5">
        <v>0.6391782407407407</v>
      </c>
      <c r="B180" s="6">
        <v>121.1</v>
      </c>
      <c r="C180" s="6">
        <f t="shared" si="2"/>
        <v>1</v>
      </c>
    </row>
    <row r="181" spans="1:3" x14ac:dyDescent="0.3">
      <c r="A181" s="5">
        <v>0.63952546296296298</v>
      </c>
      <c r="B181" s="6">
        <v>123.4</v>
      </c>
      <c r="C181" s="6">
        <f t="shared" si="2"/>
        <v>1.698243652461749</v>
      </c>
    </row>
    <row r="182" spans="1:3" x14ac:dyDescent="0.3">
      <c r="A182" s="5">
        <v>0.63987268518518514</v>
      </c>
      <c r="B182" s="6">
        <v>122.7</v>
      </c>
      <c r="C182" s="6">
        <f t="shared" si="2"/>
        <v>1.4454397707459303</v>
      </c>
    </row>
    <row r="183" spans="1:3" x14ac:dyDescent="0.3">
      <c r="A183" s="5">
        <v>0.64021990740740742</v>
      </c>
      <c r="B183" s="6">
        <v>121.9</v>
      </c>
      <c r="C183" s="6">
        <f t="shared" si="2"/>
        <v>1.2022644346174161</v>
      </c>
    </row>
    <row r="184" spans="1:3" x14ac:dyDescent="0.3">
      <c r="A184" s="5">
        <v>0.64056712962962958</v>
      </c>
      <c r="B184" s="6">
        <v>121</v>
      </c>
      <c r="C184" s="6">
        <f t="shared" si="2"/>
        <v>0.977237220955812</v>
      </c>
    </row>
    <row r="185" spans="1:3" x14ac:dyDescent="0.3">
      <c r="A185" s="5">
        <v>0.64091435185185186</v>
      </c>
      <c r="B185" s="6">
        <v>121.7</v>
      </c>
      <c r="C185" s="6">
        <f t="shared" si="2"/>
        <v>1.148153621496885</v>
      </c>
    </row>
    <row r="186" spans="1:3" x14ac:dyDescent="0.3">
      <c r="A186" s="5">
        <v>0.64126157407407403</v>
      </c>
      <c r="B186" s="6">
        <v>122.9</v>
      </c>
      <c r="C186" s="6">
        <f t="shared" si="2"/>
        <v>1.5135612484362122</v>
      </c>
    </row>
    <row r="187" spans="1:3" x14ac:dyDescent="0.3">
      <c r="A187" s="5">
        <v>0.6416087962962963</v>
      </c>
      <c r="B187" s="6">
        <v>122.1</v>
      </c>
      <c r="C187" s="6">
        <f t="shared" si="2"/>
        <v>1.2589254117941673</v>
      </c>
    </row>
    <row r="188" spans="1:3" x14ac:dyDescent="0.3">
      <c r="A188" s="5">
        <v>0.64195601851851847</v>
      </c>
      <c r="B188" s="6">
        <v>121.2</v>
      </c>
      <c r="C188" s="6">
        <f t="shared" si="2"/>
        <v>1.0232929922807561</v>
      </c>
    </row>
    <row r="189" spans="1:3" x14ac:dyDescent="0.3">
      <c r="A189" s="5">
        <v>0.64230324074074074</v>
      </c>
      <c r="B189" s="6">
        <v>121.2</v>
      </c>
      <c r="C189" s="6">
        <f t="shared" si="2"/>
        <v>1.0232929922807561</v>
      </c>
    </row>
    <row r="190" spans="1:3" x14ac:dyDescent="0.3">
      <c r="A190" s="5">
        <v>0.64265046296296291</v>
      </c>
      <c r="B190" s="6">
        <v>122.6</v>
      </c>
      <c r="C190" s="6">
        <f t="shared" si="2"/>
        <v>1.4125375446227544</v>
      </c>
    </row>
    <row r="191" spans="1:3" x14ac:dyDescent="0.3">
      <c r="A191" s="5">
        <v>0.64299768518518519</v>
      </c>
      <c r="B191" s="6">
        <v>121.7</v>
      </c>
      <c r="C191" s="6">
        <f t="shared" si="2"/>
        <v>1.148153621496885</v>
      </c>
    </row>
    <row r="192" spans="1:3" x14ac:dyDescent="0.3">
      <c r="A192" s="5">
        <v>0.64334490740740746</v>
      </c>
      <c r="B192" s="6">
        <v>120.9</v>
      </c>
      <c r="C192" s="6">
        <f t="shared" si="2"/>
        <v>0.95499258602143855</v>
      </c>
    </row>
    <row r="193" spans="1:3" x14ac:dyDescent="0.3">
      <c r="A193" s="5">
        <v>0.64369212962962963</v>
      </c>
      <c r="B193" s="6">
        <v>122.1</v>
      </c>
      <c r="C193" s="6">
        <f t="shared" si="2"/>
        <v>1.2589254117941673</v>
      </c>
    </row>
    <row r="194" spans="1:3" x14ac:dyDescent="0.3">
      <c r="A194" s="5">
        <v>0.6440393518518519</v>
      </c>
      <c r="B194" s="6">
        <v>122.2</v>
      </c>
      <c r="C194" s="6">
        <f t="shared" si="2"/>
        <v>1.2882495516931365</v>
      </c>
    </row>
    <row r="195" spans="1:3" x14ac:dyDescent="0.3">
      <c r="A195" s="4">
        <v>0.64438657407407407</v>
      </c>
      <c r="B195">
        <v>115.9</v>
      </c>
      <c r="C195">
        <f t="shared" ref="C195:C233" si="3">10^((B195-121.1)/10)</f>
        <v>0.30199517204020232</v>
      </c>
    </row>
    <row r="196" spans="1:3" x14ac:dyDescent="0.3">
      <c r="A196" s="4">
        <v>0.64473379629629635</v>
      </c>
      <c r="B196">
        <v>112.2</v>
      </c>
      <c r="C196">
        <f t="shared" si="3"/>
        <v>0.12882495516931364</v>
      </c>
    </row>
    <row r="197" spans="1:3" x14ac:dyDescent="0.3">
      <c r="A197" s="4">
        <v>0.64508101851851851</v>
      </c>
      <c r="B197">
        <v>102</v>
      </c>
      <c r="C197">
        <f t="shared" si="3"/>
        <v>1.230268770812382E-2</v>
      </c>
    </row>
    <row r="198" spans="1:3" x14ac:dyDescent="0.3">
      <c r="A198" s="4">
        <v>0.64542824074074079</v>
      </c>
      <c r="B198">
        <v>85.1</v>
      </c>
      <c r="C198">
        <f t="shared" si="3"/>
        <v>2.5118864315095774E-4</v>
      </c>
    </row>
    <row r="199" spans="1:3" x14ac:dyDescent="0.3">
      <c r="A199" s="4">
        <v>0.64577546296296295</v>
      </c>
      <c r="B199">
        <v>79.8</v>
      </c>
      <c r="C199">
        <f t="shared" si="3"/>
        <v>7.4131024130091641E-5</v>
      </c>
    </row>
    <row r="200" spans="1:3" x14ac:dyDescent="0.3">
      <c r="A200" s="4">
        <v>0.64612268518518523</v>
      </c>
      <c r="B200">
        <v>75.900000000000006</v>
      </c>
      <c r="C200">
        <f t="shared" si="3"/>
        <v>3.0199517204020233E-5</v>
      </c>
    </row>
    <row r="201" spans="1:3" x14ac:dyDescent="0.3">
      <c r="A201" s="4">
        <v>0.6464699074074074</v>
      </c>
      <c r="B201">
        <v>72.2</v>
      </c>
      <c r="C201">
        <f t="shared" si="3"/>
        <v>1.2882495516931369E-5</v>
      </c>
    </row>
    <row r="202" spans="1:3" x14ac:dyDescent="0.3">
      <c r="A202" s="4">
        <v>0.64681712962962967</v>
      </c>
      <c r="B202">
        <v>69.099999999999994</v>
      </c>
      <c r="C202">
        <f t="shared" si="3"/>
        <v>6.3095734448019212E-6</v>
      </c>
    </row>
    <row r="203" spans="1:3" x14ac:dyDescent="0.3">
      <c r="A203" s="4">
        <v>0.64716435185185184</v>
      </c>
      <c r="B203">
        <v>66.400000000000006</v>
      </c>
      <c r="C203">
        <f t="shared" si="3"/>
        <v>3.3884415613920284E-6</v>
      </c>
    </row>
    <row r="204" spans="1:3" x14ac:dyDescent="0.3">
      <c r="A204" s="4">
        <v>0.64751157407407411</v>
      </c>
      <c r="B204">
        <v>64</v>
      </c>
      <c r="C204">
        <f t="shared" si="3"/>
        <v>1.949844599758048E-6</v>
      </c>
    </row>
    <row r="205" spans="1:3" x14ac:dyDescent="0.3">
      <c r="A205" s="4">
        <v>0.64785879629629628</v>
      </c>
      <c r="B205">
        <v>61.5</v>
      </c>
      <c r="C205">
        <f t="shared" si="3"/>
        <v>1.0964781961431851E-6</v>
      </c>
    </row>
    <row r="206" spans="1:3" x14ac:dyDescent="0.3">
      <c r="A206" s="4">
        <v>0.64820601851851856</v>
      </c>
      <c r="B206">
        <v>59.6</v>
      </c>
      <c r="C206">
        <f t="shared" si="3"/>
        <v>7.0794578438413801E-7</v>
      </c>
    </row>
    <row r="207" spans="1:3" x14ac:dyDescent="0.3">
      <c r="A207" s="4">
        <v>0.64855324074074072</v>
      </c>
      <c r="B207">
        <v>57.9</v>
      </c>
      <c r="C207">
        <f t="shared" si="3"/>
        <v>4.786300923226383E-7</v>
      </c>
    </row>
    <row r="208" spans="1:3" x14ac:dyDescent="0.3">
      <c r="A208" s="4">
        <v>0.648900462962963</v>
      </c>
      <c r="B208">
        <v>56.3</v>
      </c>
      <c r="C208">
        <f t="shared" si="3"/>
        <v>3.31131121482591E-7</v>
      </c>
    </row>
    <row r="209" spans="1:3" x14ac:dyDescent="0.3">
      <c r="A209" s="4">
        <v>0.64924768518518516</v>
      </c>
      <c r="B209">
        <v>54.9</v>
      </c>
      <c r="C209">
        <f t="shared" si="3"/>
        <v>2.398832919019493E-7</v>
      </c>
    </row>
    <row r="210" spans="1:3" x14ac:dyDescent="0.3">
      <c r="A210" s="4">
        <v>0.64959490740740744</v>
      </c>
      <c r="B210">
        <v>53.7</v>
      </c>
      <c r="C210">
        <f t="shared" si="3"/>
        <v>1.8197008586099843E-7</v>
      </c>
    </row>
    <row r="211" spans="1:3" x14ac:dyDescent="0.3">
      <c r="A211" s="4">
        <v>0.64994212962962961</v>
      </c>
      <c r="B211">
        <v>52.6</v>
      </c>
      <c r="C211">
        <f t="shared" si="3"/>
        <v>1.4125375446227539E-7</v>
      </c>
    </row>
    <row r="212" spans="1:3" x14ac:dyDescent="0.3">
      <c r="A212" s="4">
        <v>0.65028935185185188</v>
      </c>
      <c r="B212">
        <v>51.6</v>
      </c>
      <c r="C212">
        <f t="shared" si="3"/>
        <v>1.1220184543019621E-7</v>
      </c>
    </row>
    <row r="213" spans="1:3" x14ac:dyDescent="0.3">
      <c r="A213" s="4">
        <v>0.65063657407407405</v>
      </c>
      <c r="B213">
        <v>50.7</v>
      </c>
      <c r="C213">
        <f t="shared" si="3"/>
        <v>9.120108393559095E-8</v>
      </c>
    </row>
    <row r="214" spans="1:3" x14ac:dyDescent="0.3">
      <c r="A214" s="4">
        <v>0.65098379629629632</v>
      </c>
      <c r="B214">
        <v>50</v>
      </c>
      <c r="C214">
        <f t="shared" si="3"/>
        <v>7.762471166286921E-8</v>
      </c>
    </row>
    <row r="215" spans="1:3" x14ac:dyDescent="0.3">
      <c r="A215" s="4">
        <v>0.65133101851851849</v>
      </c>
      <c r="B215">
        <v>49.3</v>
      </c>
      <c r="C215">
        <f t="shared" si="3"/>
        <v>6.606934480075943E-8</v>
      </c>
    </row>
    <row r="216" spans="1:3" x14ac:dyDescent="0.3">
      <c r="A216" s="4">
        <v>0.65167824074074077</v>
      </c>
      <c r="B216">
        <v>48.6</v>
      </c>
      <c r="C216">
        <f t="shared" si="3"/>
        <v>5.6234132519034806E-8</v>
      </c>
    </row>
    <row r="217" spans="1:3" x14ac:dyDescent="0.3">
      <c r="A217" s="4">
        <v>0.65202546296296293</v>
      </c>
      <c r="B217">
        <v>48.1</v>
      </c>
      <c r="C217">
        <f t="shared" si="3"/>
        <v>5.0118723362727164E-8</v>
      </c>
    </row>
    <row r="218" spans="1:3" x14ac:dyDescent="0.3">
      <c r="A218" s="4">
        <v>0.65237268518518521</v>
      </c>
      <c r="B218">
        <v>47.5</v>
      </c>
      <c r="C218">
        <f t="shared" si="3"/>
        <v>4.3651583224016566E-8</v>
      </c>
    </row>
    <row r="219" spans="1:3" x14ac:dyDescent="0.3">
      <c r="A219" s="4">
        <v>0.65271990740740737</v>
      </c>
      <c r="B219">
        <v>47</v>
      </c>
      <c r="C219">
        <f t="shared" si="3"/>
        <v>3.890451449942805E-8</v>
      </c>
    </row>
    <row r="220" spans="1:3" x14ac:dyDescent="0.3">
      <c r="A220" s="4">
        <v>0.65306712962962965</v>
      </c>
      <c r="B220">
        <v>46.7</v>
      </c>
      <c r="C220">
        <f t="shared" si="3"/>
        <v>3.6307805477010135E-8</v>
      </c>
    </row>
    <row r="221" spans="1:3" x14ac:dyDescent="0.3">
      <c r="A221" s="4">
        <v>0.65341435185185182</v>
      </c>
      <c r="B221">
        <v>46.3</v>
      </c>
      <c r="C221">
        <f t="shared" si="3"/>
        <v>3.3113112148259124E-8</v>
      </c>
    </row>
    <row r="222" spans="1:3" x14ac:dyDescent="0.3">
      <c r="A222" s="4">
        <v>0.65376157407407409</v>
      </c>
      <c r="B222">
        <v>45.9</v>
      </c>
      <c r="C222">
        <f t="shared" si="3"/>
        <v>3.0199517204020188E-8</v>
      </c>
    </row>
    <row r="223" spans="1:3" x14ac:dyDescent="0.3">
      <c r="A223" s="4">
        <v>0.65410879629629626</v>
      </c>
      <c r="B223">
        <v>45.5</v>
      </c>
      <c r="C223">
        <f t="shared" si="3"/>
        <v>2.75422870333816E-8</v>
      </c>
    </row>
    <row r="224" spans="1:3" x14ac:dyDescent="0.3">
      <c r="A224" s="4">
        <v>0.65445601851851853</v>
      </c>
      <c r="B224">
        <v>45.2</v>
      </c>
      <c r="C224">
        <f t="shared" si="3"/>
        <v>2.5703957827688676E-8</v>
      </c>
    </row>
    <row r="225" spans="1:3" x14ac:dyDescent="0.3">
      <c r="A225" s="4">
        <v>0.6548032407407407</v>
      </c>
      <c r="B225">
        <v>45</v>
      </c>
      <c r="C225">
        <f t="shared" si="3"/>
        <v>2.4547089156850259E-8</v>
      </c>
    </row>
    <row r="226" spans="1:3" x14ac:dyDescent="0.3">
      <c r="A226" s="4">
        <v>0.65515046296296298</v>
      </c>
      <c r="B226">
        <v>45</v>
      </c>
      <c r="C226">
        <f t="shared" si="3"/>
        <v>2.4547089156850259E-8</v>
      </c>
    </row>
    <row r="227" spans="1:3" x14ac:dyDescent="0.3">
      <c r="A227" s="4">
        <v>0.65549768518518514</v>
      </c>
      <c r="B227">
        <v>44.9</v>
      </c>
      <c r="C227">
        <f t="shared" si="3"/>
        <v>2.3988329190194944E-8</v>
      </c>
    </row>
    <row r="228" spans="1:3" x14ac:dyDescent="0.3">
      <c r="A228" s="4">
        <v>0.65584490740740742</v>
      </c>
      <c r="B228">
        <v>44.8</v>
      </c>
      <c r="C228">
        <f t="shared" si="3"/>
        <v>2.3442288153199181E-8</v>
      </c>
    </row>
    <row r="229" spans="1:3" x14ac:dyDescent="0.3">
      <c r="A229" s="4">
        <v>0.65620370370370373</v>
      </c>
      <c r="B229">
        <v>44.8</v>
      </c>
      <c r="C229">
        <f t="shared" si="3"/>
        <v>2.3442288153199181E-8</v>
      </c>
    </row>
    <row r="230" spans="1:3" x14ac:dyDescent="0.3">
      <c r="A230" s="4">
        <v>0.65653935185185186</v>
      </c>
      <c r="B230">
        <v>44.8</v>
      </c>
      <c r="C230">
        <f t="shared" si="3"/>
        <v>2.3442288153199181E-8</v>
      </c>
    </row>
    <row r="231" spans="1:3" x14ac:dyDescent="0.3">
      <c r="A231" s="4">
        <v>0.65689814814814818</v>
      </c>
      <c r="B231">
        <v>44.8</v>
      </c>
      <c r="C231">
        <f t="shared" si="3"/>
        <v>2.3442288153199181E-8</v>
      </c>
    </row>
    <row r="232" spans="1:3" x14ac:dyDescent="0.3">
      <c r="A232" s="4">
        <v>0.6572337962962963</v>
      </c>
      <c r="B232">
        <v>45</v>
      </c>
      <c r="C232">
        <f t="shared" si="3"/>
        <v>2.4547089156850259E-8</v>
      </c>
    </row>
    <row r="233" spans="1:3" x14ac:dyDescent="0.3">
      <c r="A233" s="4">
        <v>0.65759259259259262</v>
      </c>
      <c r="B233">
        <v>45</v>
      </c>
      <c r="C233">
        <f t="shared" si="3"/>
        <v>2.4547089156850259E-8</v>
      </c>
    </row>
    <row r="234" spans="1:3" x14ac:dyDescent="0.3">
      <c r="A234" s="2" t="s">
        <v>61</v>
      </c>
      <c r="C234">
        <f>SUM(C129:C233)</f>
        <v>29.949395782383331</v>
      </c>
    </row>
    <row r="236" spans="1:3" x14ac:dyDescent="0.3">
      <c r="A236" s="2" t="s">
        <v>62</v>
      </c>
      <c r="C236">
        <f>30/60*C234</f>
        <v>14.974697891191665</v>
      </c>
    </row>
    <row r="238" spans="1:3" x14ac:dyDescent="0.3">
      <c r="A238" s="2" t="s">
        <v>64</v>
      </c>
    </row>
    <row r="239" spans="1:3" x14ac:dyDescent="0.3">
      <c r="A239" s="2" t="s">
        <v>58</v>
      </c>
      <c r="B239" s="2" t="s">
        <v>59</v>
      </c>
      <c r="C239" s="2" t="s">
        <v>60</v>
      </c>
    </row>
    <row r="240" spans="1:3" x14ac:dyDescent="0.3">
      <c r="A240" s="4">
        <v>0.61641203703703706</v>
      </c>
      <c r="B240">
        <v>35</v>
      </c>
      <c r="C240">
        <f>10^((B240-121.1)/10)</f>
        <v>2.4547089156850316E-9</v>
      </c>
    </row>
    <row r="241" spans="1:3" x14ac:dyDescent="0.3">
      <c r="A241" s="4">
        <v>0.61675925925925923</v>
      </c>
      <c r="B241">
        <v>35</v>
      </c>
      <c r="C241">
        <f t="shared" ref="C241:C304" si="4">10^((B241-121.1)/10)</f>
        <v>2.4547089156850316E-9</v>
      </c>
    </row>
    <row r="242" spans="1:3" x14ac:dyDescent="0.3">
      <c r="A242" s="4">
        <v>0.61710648148148151</v>
      </c>
      <c r="B242">
        <v>35.1</v>
      </c>
      <c r="C242">
        <f t="shared" si="4"/>
        <v>2.5118864315095812E-9</v>
      </c>
    </row>
    <row r="243" spans="1:3" x14ac:dyDescent="0.3">
      <c r="A243" s="4">
        <v>0.61745370370370367</v>
      </c>
      <c r="B243">
        <v>36.200000000000003</v>
      </c>
      <c r="C243">
        <f t="shared" si="4"/>
        <v>3.2359365692962919E-9</v>
      </c>
    </row>
    <row r="244" spans="1:3" x14ac:dyDescent="0.3">
      <c r="A244" s="4">
        <v>0.61780092592592595</v>
      </c>
      <c r="B244">
        <v>41.3</v>
      </c>
      <c r="C244">
        <f t="shared" si="4"/>
        <v>1.0471285480508974E-8</v>
      </c>
    </row>
    <row r="245" spans="1:3" x14ac:dyDescent="0.3">
      <c r="A245" s="4">
        <v>0.61814814814814811</v>
      </c>
      <c r="B245">
        <v>66.7</v>
      </c>
      <c r="C245">
        <f t="shared" si="4"/>
        <v>3.6307805477010154E-6</v>
      </c>
    </row>
    <row r="246" spans="1:3" x14ac:dyDescent="0.3">
      <c r="A246" s="4">
        <v>0.61849537037037039</v>
      </c>
      <c r="B246">
        <v>75.400000000000006</v>
      </c>
      <c r="C246">
        <f t="shared" si="4"/>
        <v>2.6915348039269234E-5</v>
      </c>
    </row>
    <row r="247" spans="1:3" x14ac:dyDescent="0.3">
      <c r="A247" s="4">
        <v>0.61884259259259256</v>
      </c>
      <c r="B247">
        <v>81.599999999999994</v>
      </c>
      <c r="C247">
        <f t="shared" si="4"/>
        <v>1.1220184543019618E-4</v>
      </c>
    </row>
    <row r="248" spans="1:3" x14ac:dyDescent="0.3">
      <c r="A248" s="4">
        <v>0.61918981481481483</v>
      </c>
      <c r="B248">
        <v>86.4</v>
      </c>
      <c r="C248">
        <f t="shared" si="4"/>
        <v>3.3884415613920328E-4</v>
      </c>
    </row>
    <row r="249" spans="1:3" x14ac:dyDescent="0.3">
      <c r="A249" s="4">
        <v>0.619537037037037</v>
      </c>
      <c r="B249">
        <v>90</v>
      </c>
      <c r="C249">
        <f t="shared" si="4"/>
        <v>7.7624711662869204E-4</v>
      </c>
    </row>
    <row r="250" spans="1:3" x14ac:dyDescent="0.3">
      <c r="A250" s="4">
        <v>0.61988425925925927</v>
      </c>
      <c r="B250">
        <v>92.6</v>
      </c>
      <c r="C250">
        <f t="shared" si="4"/>
        <v>1.4125375446227527E-3</v>
      </c>
    </row>
    <row r="251" spans="1:3" x14ac:dyDescent="0.3">
      <c r="A251" s="4">
        <v>0.62023148148148144</v>
      </c>
      <c r="B251">
        <v>94.7</v>
      </c>
      <c r="C251">
        <f t="shared" si="4"/>
        <v>2.2908676527677758E-3</v>
      </c>
    </row>
    <row r="252" spans="1:3" x14ac:dyDescent="0.3">
      <c r="A252" s="4">
        <v>0.62057870370370372</v>
      </c>
      <c r="B252">
        <v>96.4</v>
      </c>
      <c r="C252">
        <f t="shared" si="4"/>
        <v>3.388441561392033E-3</v>
      </c>
    </row>
    <row r="253" spans="1:3" x14ac:dyDescent="0.3">
      <c r="A253" s="4">
        <v>0.62092592592592588</v>
      </c>
      <c r="B253">
        <v>97.5</v>
      </c>
      <c r="C253">
        <f t="shared" si="4"/>
        <v>4.3651583224016653E-3</v>
      </c>
    </row>
    <row r="254" spans="1:3" x14ac:dyDescent="0.3">
      <c r="A254" s="4">
        <v>0.62127314814814816</v>
      </c>
      <c r="B254">
        <v>98.5</v>
      </c>
      <c r="C254">
        <f t="shared" si="4"/>
        <v>5.4954087385762525E-3</v>
      </c>
    </row>
    <row r="255" spans="1:3" x14ac:dyDescent="0.3">
      <c r="A255" s="4">
        <v>0.62162037037037032</v>
      </c>
      <c r="B255">
        <v>99.3</v>
      </c>
      <c r="C255">
        <f t="shared" si="4"/>
        <v>6.6069344800759626E-3</v>
      </c>
    </row>
    <row r="256" spans="1:3" x14ac:dyDescent="0.3">
      <c r="A256" s="4">
        <v>0.6219675925925926</v>
      </c>
      <c r="B256">
        <v>100.1</v>
      </c>
      <c r="C256">
        <f t="shared" si="4"/>
        <v>7.9432823472428121E-3</v>
      </c>
    </row>
    <row r="257" spans="1:3" x14ac:dyDescent="0.3">
      <c r="A257" s="4">
        <v>0.62231481481481477</v>
      </c>
      <c r="B257">
        <v>100.8</v>
      </c>
      <c r="C257">
        <f t="shared" si="4"/>
        <v>9.3325430079699099E-3</v>
      </c>
    </row>
    <row r="258" spans="1:3" x14ac:dyDescent="0.3">
      <c r="A258" s="4">
        <v>0.62266203703703704</v>
      </c>
      <c r="B258">
        <v>101.5</v>
      </c>
      <c r="C258">
        <f t="shared" si="4"/>
        <v>1.0964781961431861E-2</v>
      </c>
    </row>
    <row r="259" spans="1:3" x14ac:dyDescent="0.3">
      <c r="A259" s="4">
        <v>0.62300925925925921</v>
      </c>
      <c r="B259">
        <v>102.3</v>
      </c>
      <c r="C259">
        <f t="shared" si="4"/>
        <v>1.3182567385564075E-2</v>
      </c>
    </row>
    <row r="260" spans="1:3" x14ac:dyDescent="0.3">
      <c r="A260" s="4">
        <v>0.62335648148148148</v>
      </c>
      <c r="B260">
        <v>102.9</v>
      </c>
      <c r="C260">
        <f t="shared" si="4"/>
        <v>1.5135612484362116E-2</v>
      </c>
    </row>
    <row r="261" spans="1:3" x14ac:dyDescent="0.3">
      <c r="A261" s="4">
        <v>0.62370370370370365</v>
      </c>
      <c r="B261">
        <v>103.6</v>
      </c>
      <c r="C261">
        <f t="shared" si="4"/>
        <v>1.7782794100389226E-2</v>
      </c>
    </row>
    <row r="262" spans="1:3" x14ac:dyDescent="0.3">
      <c r="A262" s="4">
        <v>0.62405092592592593</v>
      </c>
      <c r="B262">
        <v>104.3</v>
      </c>
      <c r="C262">
        <f t="shared" si="4"/>
        <v>2.0892961308540403E-2</v>
      </c>
    </row>
    <row r="263" spans="1:3" x14ac:dyDescent="0.3">
      <c r="A263" s="4">
        <v>0.6243981481481482</v>
      </c>
      <c r="B263">
        <v>104.9</v>
      </c>
      <c r="C263">
        <f t="shared" si="4"/>
        <v>2.3988329190194967E-2</v>
      </c>
    </row>
    <row r="264" spans="1:3" x14ac:dyDescent="0.3">
      <c r="A264" s="4">
        <v>0.62474537037037037</v>
      </c>
      <c r="B264">
        <v>105.6</v>
      </c>
      <c r="C264">
        <f t="shared" si="4"/>
        <v>2.8183829312644532E-2</v>
      </c>
    </row>
    <row r="265" spans="1:3" x14ac:dyDescent="0.3">
      <c r="A265" s="4">
        <v>0.62509259259259264</v>
      </c>
      <c r="B265">
        <v>106.3</v>
      </c>
      <c r="C265">
        <f t="shared" si="4"/>
        <v>3.311311214825912E-2</v>
      </c>
    </row>
    <row r="266" spans="1:3" x14ac:dyDescent="0.3">
      <c r="A266" s="4">
        <v>0.62543981481481481</v>
      </c>
      <c r="B266">
        <v>106.9</v>
      </c>
      <c r="C266">
        <f t="shared" si="4"/>
        <v>3.8018939632056215E-2</v>
      </c>
    </row>
    <row r="267" spans="1:3" x14ac:dyDescent="0.3">
      <c r="A267" s="4">
        <v>0.62578703703703709</v>
      </c>
      <c r="B267">
        <v>107.6</v>
      </c>
      <c r="C267">
        <f t="shared" si="4"/>
        <v>4.4668359215096293E-2</v>
      </c>
    </row>
    <row r="268" spans="1:3" x14ac:dyDescent="0.3">
      <c r="A268" s="4">
        <v>0.62613425925925925</v>
      </c>
      <c r="B268">
        <v>108.4</v>
      </c>
      <c r="C268">
        <f t="shared" si="4"/>
        <v>5.3703179637025401E-2</v>
      </c>
    </row>
    <row r="269" spans="1:3" x14ac:dyDescent="0.3">
      <c r="A269" s="4">
        <v>0.62648148148148153</v>
      </c>
      <c r="B269">
        <v>109</v>
      </c>
      <c r="C269">
        <f t="shared" si="4"/>
        <v>6.1659500186148276E-2</v>
      </c>
    </row>
    <row r="270" spans="1:3" x14ac:dyDescent="0.3">
      <c r="A270" s="4">
        <v>0.62682870370370369</v>
      </c>
      <c r="B270">
        <v>109.7</v>
      </c>
      <c r="C270">
        <f t="shared" si="4"/>
        <v>7.2443596007499125E-2</v>
      </c>
    </row>
    <row r="271" spans="1:3" x14ac:dyDescent="0.3">
      <c r="A271" s="4">
        <v>0.62717592592592597</v>
      </c>
      <c r="B271">
        <v>110.3</v>
      </c>
      <c r="C271">
        <f t="shared" si="4"/>
        <v>8.3176377110267152E-2</v>
      </c>
    </row>
    <row r="272" spans="1:3" x14ac:dyDescent="0.3">
      <c r="A272" s="4">
        <v>0.62752314814814814</v>
      </c>
      <c r="B272">
        <v>110.9</v>
      </c>
      <c r="C272">
        <f t="shared" si="4"/>
        <v>9.5499258602143797E-2</v>
      </c>
    </row>
    <row r="273" spans="1:3" x14ac:dyDescent="0.3">
      <c r="A273" s="4">
        <v>0.62787037037037041</v>
      </c>
      <c r="B273">
        <v>111.7</v>
      </c>
      <c r="C273">
        <f t="shared" si="4"/>
        <v>0.11481536214968847</v>
      </c>
    </row>
    <row r="274" spans="1:3" x14ac:dyDescent="0.3">
      <c r="A274" s="4">
        <v>0.62821759259259258</v>
      </c>
      <c r="B274">
        <v>112.3</v>
      </c>
      <c r="C274">
        <f t="shared" si="4"/>
        <v>0.13182567385564076</v>
      </c>
    </row>
    <row r="275" spans="1:3" x14ac:dyDescent="0.3">
      <c r="A275" s="4">
        <v>0.62856481481481485</v>
      </c>
      <c r="B275">
        <v>112.9</v>
      </c>
      <c r="C275">
        <f t="shared" si="4"/>
        <v>0.15135612484362121</v>
      </c>
    </row>
    <row r="276" spans="1:3" x14ac:dyDescent="0.3">
      <c r="A276" s="4">
        <v>0.62891203703703702</v>
      </c>
      <c r="B276">
        <v>113.7</v>
      </c>
      <c r="C276">
        <f t="shared" si="4"/>
        <v>0.18197008586099869</v>
      </c>
    </row>
    <row r="277" spans="1:3" x14ac:dyDescent="0.3">
      <c r="A277" s="4">
        <v>0.6292592592592593</v>
      </c>
      <c r="B277">
        <v>114.3</v>
      </c>
      <c r="C277">
        <f t="shared" si="4"/>
        <v>0.20892961308540403</v>
      </c>
    </row>
    <row r="278" spans="1:3" x14ac:dyDescent="0.3">
      <c r="A278" s="4">
        <v>0.62960648148148146</v>
      </c>
      <c r="B278">
        <v>115</v>
      </c>
      <c r="C278">
        <f t="shared" si="4"/>
        <v>0.2454708915685033</v>
      </c>
    </row>
    <row r="279" spans="1:3" x14ac:dyDescent="0.3">
      <c r="A279" s="4">
        <v>0.62995370370370374</v>
      </c>
      <c r="B279">
        <v>115.6</v>
      </c>
      <c r="C279">
        <f t="shared" si="4"/>
        <v>0.28183829312644532</v>
      </c>
    </row>
    <row r="280" spans="1:3" x14ac:dyDescent="0.3">
      <c r="A280" s="4">
        <v>0.6303009259259259</v>
      </c>
      <c r="B280">
        <v>116.2</v>
      </c>
      <c r="C280">
        <f t="shared" si="4"/>
        <v>0.32359365692962883</v>
      </c>
    </row>
    <row r="281" spans="1:3" x14ac:dyDescent="0.3">
      <c r="A281" s="4">
        <v>0.63064814814814818</v>
      </c>
      <c r="B281">
        <v>116.9</v>
      </c>
      <c r="C281">
        <f t="shared" si="4"/>
        <v>0.38018939632056215</v>
      </c>
    </row>
    <row r="282" spans="1:3" x14ac:dyDescent="0.3">
      <c r="A282" s="4">
        <v>0.63099537037037035</v>
      </c>
      <c r="B282">
        <v>117.5</v>
      </c>
      <c r="C282">
        <f t="shared" si="4"/>
        <v>0.43651583224016655</v>
      </c>
    </row>
    <row r="283" spans="1:3" x14ac:dyDescent="0.3">
      <c r="A283" s="4">
        <v>0.63134259259259262</v>
      </c>
      <c r="B283">
        <v>118.1</v>
      </c>
      <c r="C283">
        <f t="shared" si="4"/>
        <v>0.50118723362727224</v>
      </c>
    </row>
    <row r="284" spans="1:3" x14ac:dyDescent="0.3">
      <c r="A284" s="4">
        <v>0.63168981481481479</v>
      </c>
      <c r="B284">
        <v>118.7</v>
      </c>
      <c r="C284">
        <f t="shared" si="4"/>
        <v>0.57543993733715804</v>
      </c>
    </row>
    <row r="285" spans="1:3" x14ac:dyDescent="0.3">
      <c r="A285" s="4">
        <v>0.63203703703703706</v>
      </c>
      <c r="B285">
        <v>119.4</v>
      </c>
      <c r="C285">
        <f t="shared" si="4"/>
        <v>0.67608297539198348</v>
      </c>
    </row>
    <row r="286" spans="1:3" x14ac:dyDescent="0.3">
      <c r="A286" s="4">
        <v>0.63238425925925923</v>
      </c>
      <c r="B286">
        <v>120</v>
      </c>
      <c r="C286">
        <f t="shared" si="4"/>
        <v>0.77624711662869272</v>
      </c>
    </row>
    <row r="287" spans="1:3" x14ac:dyDescent="0.3">
      <c r="A287" s="4">
        <v>0.63273148148148151</v>
      </c>
      <c r="B287">
        <v>120.5</v>
      </c>
      <c r="C287">
        <f t="shared" si="4"/>
        <v>0.87096358995608181</v>
      </c>
    </row>
    <row r="288" spans="1:3" x14ac:dyDescent="0.3">
      <c r="A288" s="5">
        <v>0.63307870370370367</v>
      </c>
      <c r="B288" s="6">
        <v>121</v>
      </c>
      <c r="C288" s="6">
        <f t="shared" si="4"/>
        <v>0.977237220955812</v>
      </c>
    </row>
    <row r="289" spans="1:3" x14ac:dyDescent="0.3">
      <c r="A289" s="5">
        <v>0.63342592592592595</v>
      </c>
      <c r="B289" s="6">
        <v>121.4</v>
      </c>
      <c r="C289" s="6">
        <f t="shared" si="4"/>
        <v>1.0715193052376093</v>
      </c>
    </row>
    <row r="290" spans="1:3" x14ac:dyDescent="0.3">
      <c r="A290" s="5">
        <v>0.63377314814814811</v>
      </c>
      <c r="B290" s="6">
        <v>121.1</v>
      </c>
      <c r="C290" s="6">
        <f t="shared" si="4"/>
        <v>1</v>
      </c>
    </row>
    <row r="291" spans="1:3" x14ac:dyDescent="0.3">
      <c r="A291" s="5">
        <v>0.63412037037037039</v>
      </c>
      <c r="B291" s="6">
        <v>120.6</v>
      </c>
      <c r="C291" s="6">
        <f t="shared" si="4"/>
        <v>0.89125093813374545</v>
      </c>
    </row>
    <row r="292" spans="1:3" x14ac:dyDescent="0.3">
      <c r="A292" s="5">
        <v>0.63446759259259256</v>
      </c>
      <c r="B292" s="6">
        <v>121.1</v>
      </c>
      <c r="C292" s="6">
        <f t="shared" si="4"/>
        <v>1</v>
      </c>
    </row>
    <row r="293" spans="1:3" x14ac:dyDescent="0.3">
      <c r="A293" s="5">
        <v>0.63481481481481483</v>
      </c>
      <c r="B293" s="6">
        <v>122.1</v>
      </c>
      <c r="C293" s="6">
        <f t="shared" si="4"/>
        <v>1.2589254117941673</v>
      </c>
    </row>
    <row r="294" spans="1:3" x14ac:dyDescent="0.3">
      <c r="A294" s="5">
        <v>0.635162037037037</v>
      </c>
      <c r="B294" s="6">
        <v>121.8</v>
      </c>
      <c r="C294" s="6">
        <f t="shared" si="4"/>
        <v>1.1748975549395304</v>
      </c>
    </row>
    <row r="295" spans="1:3" x14ac:dyDescent="0.3">
      <c r="A295" s="5">
        <v>0.63550925925925927</v>
      </c>
      <c r="B295" s="6">
        <v>121.2</v>
      </c>
      <c r="C295" s="6">
        <f t="shared" si="4"/>
        <v>1.0232929922807561</v>
      </c>
    </row>
    <row r="296" spans="1:3" x14ac:dyDescent="0.3">
      <c r="A296" s="5">
        <v>0.63585648148148144</v>
      </c>
      <c r="B296" s="6">
        <v>120.7</v>
      </c>
      <c r="C296" s="6">
        <f t="shared" si="4"/>
        <v>0.91201083935591154</v>
      </c>
    </row>
    <row r="297" spans="1:3" x14ac:dyDescent="0.3">
      <c r="A297" s="5">
        <v>0.63620370370370372</v>
      </c>
      <c r="B297" s="6">
        <v>120.8</v>
      </c>
      <c r="C297" s="6">
        <f t="shared" si="4"/>
        <v>0.93325430079699168</v>
      </c>
    </row>
    <row r="298" spans="1:3" x14ac:dyDescent="0.3">
      <c r="A298" s="5">
        <v>0.63655092592592588</v>
      </c>
      <c r="B298" s="6">
        <v>121.8</v>
      </c>
      <c r="C298" s="6">
        <f t="shared" si="4"/>
        <v>1.1748975549395304</v>
      </c>
    </row>
    <row r="299" spans="1:3" x14ac:dyDescent="0.3">
      <c r="A299" s="5">
        <v>0.63689814814814816</v>
      </c>
      <c r="B299" s="6">
        <v>121.8</v>
      </c>
      <c r="C299" s="6">
        <f t="shared" si="4"/>
        <v>1.1748975549395304</v>
      </c>
    </row>
    <row r="300" spans="1:3" x14ac:dyDescent="0.3">
      <c r="A300" s="5">
        <v>0.63724537037037032</v>
      </c>
      <c r="B300" s="6">
        <v>121.2</v>
      </c>
      <c r="C300" s="6">
        <f t="shared" si="4"/>
        <v>1.0232929922807561</v>
      </c>
    </row>
    <row r="301" spans="1:3" x14ac:dyDescent="0.3">
      <c r="A301" s="5">
        <v>0.6375925925925926</v>
      </c>
      <c r="B301" s="6">
        <v>120.8</v>
      </c>
      <c r="C301" s="6">
        <f t="shared" si="4"/>
        <v>0.93325430079699168</v>
      </c>
    </row>
    <row r="302" spans="1:3" x14ac:dyDescent="0.3">
      <c r="A302" s="5">
        <v>0.63793981481481477</v>
      </c>
      <c r="B302" s="6">
        <v>120.8</v>
      </c>
      <c r="C302" s="6">
        <f t="shared" si="4"/>
        <v>0.93325430079699168</v>
      </c>
    </row>
    <row r="303" spans="1:3" x14ac:dyDescent="0.3">
      <c r="A303" s="5">
        <v>0.63828703703703704</v>
      </c>
      <c r="B303" s="6">
        <v>121.7</v>
      </c>
      <c r="C303" s="6">
        <f t="shared" si="4"/>
        <v>1.148153621496885</v>
      </c>
    </row>
    <row r="304" spans="1:3" x14ac:dyDescent="0.3">
      <c r="A304" s="5">
        <v>0.63863425925925921</v>
      </c>
      <c r="B304" s="6">
        <v>121.8</v>
      </c>
      <c r="C304" s="6">
        <f t="shared" si="4"/>
        <v>1.1748975549395304</v>
      </c>
    </row>
    <row r="305" spans="1:3" x14ac:dyDescent="0.3">
      <c r="A305" s="5">
        <v>0.63898148148148148</v>
      </c>
      <c r="B305" s="6">
        <v>120.8</v>
      </c>
      <c r="C305" s="6">
        <f t="shared" ref="C305:C368" si="5">10^((B305-121.1)/10)</f>
        <v>0.93325430079699168</v>
      </c>
    </row>
    <row r="306" spans="1:3" x14ac:dyDescent="0.3">
      <c r="A306" s="5">
        <v>0.63932870370370365</v>
      </c>
      <c r="B306" s="6">
        <v>120.3</v>
      </c>
      <c r="C306" s="6">
        <f t="shared" si="5"/>
        <v>0.83176377110267163</v>
      </c>
    </row>
    <row r="307" spans="1:3" x14ac:dyDescent="0.3">
      <c r="A307" s="5">
        <v>0.63967592592592593</v>
      </c>
      <c r="B307" s="6">
        <v>121.2</v>
      </c>
      <c r="C307" s="6">
        <f t="shared" si="5"/>
        <v>1.0232929922807561</v>
      </c>
    </row>
    <row r="308" spans="1:3" x14ac:dyDescent="0.3">
      <c r="A308" s="5">
        <v>0.6400231481481482</v>
      </c>
      <c r="B308" s="6">
        <v>121.8</v>
      </c>
      <c r="C308" s="6">
        <f t="shared" si="5"/>
        <v>1.1748975549395304</v>
      </c>
    </row>
    <row r="309" spans="1:3" x14ac:dyDescent="0.3">
      <c r="A309" s="5">
        <v>0.64037037037037037</v>
      </c>
      <c r="B309" s="6">
        <v>121.4</v>
      </c>
      <c r="C309" s="6">
        <f t="shared" si="5"/>
        <v>1.0715193052376093</v>
      </c>
    </row>
    <row r="310" spans="1:3" x14ac:dyDescent="0.3">
      <c r="A310" s="5">
        <v>0.64071759259259264</v>
      </c>
      <c r="B310" s="6">
        <v>121.1</v>
      </c>
      <c r="C310" s="6">
        <f t="shared" si="5"/>
        <v>1</v>
      </c>
    </row>
    <row r="311" spans="1:3" x14ac:dyDescent="0.3">
      <c r="A311" s="5">
        <v>0.64106481481481481</v>
      </c>
      <c r="B311" s="6">
        <v>120.7</v>
      </c>
      <c r="C311" s="6">
        <f t="shared" si="5"/>
        <v>0.91201083935591154</v>
      </c>
    </row>
    <row r="312" spans="1:3" x14ac:dyDescent="0.3">
      <c r="A312" s="5">
        <v>0.64141203703703709</v>
      </c>
      <c r="B312" s="6">
        <v>121</v>
      </c>
      <c r="C312" s="6">
        <f t="shared" si="5"/>
        <v>0.977237220955812</v>
      </c>
    </row>
    <row r="313" spans="1:3" x14ac:dyDescent="0.3">
      <c r="A313" s="5">
        <v>0.64175925925925925</v>
      </c>
      <c r="B313" s="6">
        <v>121.6</v>
      </c>
      <c r="C313" s="6">
        <f t="shared" si="5"/>
        <v>1.1220184543019636</v>
      </c>
    </row>
    <row r="314" spans="1:3" x14ac:dyDescent="0.3">
      <c r="A314" s="5">
        <v>0.64210648148148153</v>
      </c>
      <c r="B314" s="6">
        <v>121.4</v>
      </c>
      <c r="C314" s="6">
        <f t="shared" si="5"/>
        <v>1.0715193052376093</v>
      </c>
    </row>
    <row r="315" spans="1:3" x14ac:dyDescent="0.3">
      <c r="A315" s="5">
        <v>0.64245370370370369</v>
      </c>
      <c r="B315" s="6">
        <v>121</v>
      </c>
      <c r="C315" s="6">
        <f t="shared" si="5"/>
        <v>0.977237220955812</v>
      </c>
    </row>
    <row r="316" spans="1:3" x14ac:dyDescent="0.3">
      <c r="A316" s="5">
        <v>0.64280092592592597</v>
      </c>
      <c r="B316" s="6">
        <v>120.6</v>
      </c>
      <c r="C316" s="6">
        <f t="shared" si="5"/>
        <v>0.89125093813374545</v>
      </c>
    </row>
    <row r="317" spans="1:3" x14ac:dyDescent="0.3">
      <c r="A317" s="5">
        <v>0.64314814814814814</v>
      </c>
      <c r="B317" s="6">
        <v>121.1</v>
      </c>
      <c r="C317" s="6">
        <f t="shared" si="5"/>
        <v>1</v>
      </c>
    </row>
    <row r="318" spans="1:3" x14ac:dyDescent="0.3">
      <c r="A318" s="5">
        <v>0.64349537037037041</v>
      </c>
      <c r="B318" s="6">
        <v>121.5</v>
      </c>
      <c r="C318" s="6">
        <f t="shared" si="5"/>
        <v>1.0964781961431864</v>
      </c>
    </row>
    <row r="319" spans="1:3" x14ac:dyDescent="0.3">
      <c r="A319" s="5">
        <v>0.64384259259259258</v>
      </c>
      <c r="B319" s="6">
        <v>121.2</v>
      </c>
      <c r="C319" s="6">
        <f t="shared" si="5"/>
        <v>1.0232929922807561</v>
      </c>
    </row>
    <row r="320" spans="1:3" x14ac:dyDescent="0.3">
      <c r="A320" s="5">
        <v>0.64418981481481485</v>
      </c>
      <c r="B320" s="6">
        <v>120.9</v>
      </c>
      <c r="C320" s="6">
        <f t="shared" si="5"/>
        <v>0.95499258602143855</v>
      </c>
    </row>
    <row r="321" spans="1:3" x14ac:dyDescent="0.3">
      <c r="A321" s="5">
        <v>0.64453703703703702</v>
      </c>
      <c r="B321" s="6">
        <v>120.7</v>
      </c>
      <c r="C321" s="6">
        <f t="shared" si="5"/>
        <v>0.91201083935591154</v>
      </c>
    </row>
    <row r="322" spans="1:3" x14ac:dyDescent="0.3">
      <c r="A322" s="5">
        <v>0.6448842592592593</v>
      </c>
      <c r="B322" s="6">
        <v>121.2</v>
      </c>
      <c r="C322" s="6">
        <f t="shared" si="5"/>
        <v>1.0232929922807561</v>
      </c>
    </row>
    <row r="323" spans="1:3" x14ac:dyDescent="0.3">
      <c r="A323" s="5">
        <v>0.64523148148148146</v>
      </c>
      <c r="B323" s="6">
        <v>121.2</v>
      </c>
      <c r="C323" s="6">
        <f t="shared" si="5"/>
        <v>1.0232929922807561</v>
      </c>
    </row>
    <row r="324" spans="1:3" x14ac:dyDescent="0.3">
      <c r="A324" s="5">
        <v>0.64557870370370374</v>
      </c>
      <c r="B324" s="6">
        <v>120.8</v>
      </c>
      <c r="C324" s="6">
        <f t="shared" si="5"/>
        <v>0.93325430079699168</v>
      </c>
    </row>
    <row r="325" spans="1:3" x14ac:dyDescent="0.3">
      <c r="A325" s="5">
        <v>0.6459259259259259</v>
      </c>
      <c r="B325" s="6">
        <v>120.9</v>
      </c>
      <c r="C325" s="6">
        <f t="shared" si="5"/>
        <v>0.95499258602143855</v>
      </c>
    </row>
    <row r="326" spans="1:3" x14ac:dyDescent="0.3">
      <c r="A326" s="5">
        <v>0.64627314814814818</v>
      </c>
      <c r="B326" s="6">
        <v>121.1</v>
      </c>
      <c r="C326" s="6">
        <f t="shared" si="5"/>
        <v>1</v>
      </c>
    </row>
    <row r="327" spans="1:3" x14ac:dyDescent="0.3">
      <c r="A327" s="5">
        <v>0.64662037037037035</v>
      </c>
      <c r="B327" s="6">
        <v>120.9</v>
      </c>
      <c r="C327" s="6">
        <f t="shared" si="5"/>
        <v>0.95499258602143855</v>
      </c>
    </row>
    <row r="328" spans="1:3" x14ac:dyDescent="0.3">
      <c r="A328" s="5">
        <v>0.64696759259259262</v>
      </c>
      <c r="B328" s="6">
        <v>120.6</v>
      </c>
      <c r="C328" s="6">
        <f t="shared" si="5"/>
        <v>0.89125093813374545</v>
      </c>
    </row>
    <row r="329" spans="1:3" x14ac:dyDescent="0.3">
      <c r="A329" s="5">
        <v>0.64731481481481479</v>
      </c>
      <c r="B329" s="6">
        <v>120.8</v>
      </c>
      <c r="C329" s="6">
        <f t="shared" si="5"/>
        <v>0.93325430079699168</v>
      </c>
    </row>
    <row r="330" spans="1:3" x14ac:dyDescent="0.3">
      <c r="A330" s="5">
        <v>0.64766203703703706</v>
      </c>
      <c r="B330" s="6">
        <v>121</v>
      </c>
      <c r="C330" s="6">
        <f t="shared" si="5"/>
        <v>0.977237220955812</v>
      </c>
    </row>
    <row r="331" spans="1:3" x14ac:dyDescent="0.3">
      <c r="A331" s="5">
        <v>0.64800925925925923</v>
      </c>
      <c r="B331" s="6">
        <v>120.9</v>
      </c>
      <c r="C331" s="6">
        <f t="shared" si="5"/>
        <v>0.95499258602143855</v>
      </c>
    </row>
    <row r="332" spans="1:3" x14ac:dyDescent="0.3">
      <c r="A332" s="5">
        <v>0.64835648148148151</v>
      </c>
      <c r="B332" s="6">
        <v>120.7</v>
      </c>
      <c r="C332" s="6">
        <f t="shared" si="5"/>
        <v>0.91201083935591154</v>
      </c>
    </row>
    <row r="333" spans="1:3" x14ac:dyDescent="0.3">
      <c r="A333" s="5">
        <v>0.64870370370370367</v>
      </c>
      <c r="B333" s="6">
        <v>120.8</v>
      </c>
      <c r="C333" s="6">
        <f t="shared" si="5"/>
        <v>0.93325430079699168</v>
      </c>
    </row>
    <row r="334" spans="1:3" x14ac:dyDescent="0.3">
      <c r="A334" s="5">
        <v>0.64905092592592595</v>
      </c>
      <c r="B334" s="6">
        <v>120.8</v>
      </c>
      <c r="C334" s="6">
        <f t="shared" si="5"/>
        <v>0.93325430079699168</v>
      </c>
    </row>
    <row r="335" spans="1:3" x14ac:dyDescent="0.3">
      <c r="A335" s="5">
        <v>0.64939814814814811</v>
      </c>
      <c r="B335" s="6">
        <v>120.9</v>
      </c>
      <c r="C335" s="6">
        <f t="shared" si="5"/>
        <v>0.95499258602143855</v>
      </c>
    </row>
    <row r="336" spans="1:3" x14ac:dyDescent="0.3">
      <c r="A336" s="5">
        <v>0.64974537037037039</v>
      </c>
      <c r="B336" s="6">
        <v>120.9</v>
      </c>
      <c r="C336" s="6">
        <f t="shared" si="5"/>
        <v>0.95499258602143855</v>
      </c>
    </row>
    <row r="337" spans="1:3" x14ac:dyDescent="0.3">
      <c r="A337" s="5">
        <v>0.65009259259259256</v>
      </c>
      <c r="B337" s="6">
        <v>120.9</v>
      </c>
      <c r="C337" s="6">
        <f t="shared" si="5"/>
        <v>0.95499258602143855</v>
      </c>
    </row>
    <row r="338" spans="1:3" x14ac:dyDescent="0.3">
      <c r="A338" s="5">
        <v>0.65043981481481483</v>
      </c>
      <c r="B338" s="6">
        <v>120.8</v>
      </c>
      <c r="C338" s="6">
        <f t="shared" si="5"/>
        <v>0.93325430079699168</v>
      </c>
    </row>
    <row r="339" spans="1:3" x14ac:dyDescent="0.3">
      <c r="A339" s="5">
        <v>0.650787037037037</v>
      </c>
      <c r="B339" s="6">
        <v>120.7</v>
      </c>
      <c r="C339" s="6">
        <f t="shared" si="5"/>
        <v>0.91201083935591154</v>
      </c>
    </row>
    <row r="340" spans="1:3" x14ac:dyDescent="0.3">
      <c r="A340" s="5">
        <v>0.65113425925925927</v>
      </c>
      <c r="B340" s="6">
        <v>120.6</v>
      </c>
      <c r="C340" s="6">
        <f t="shared" si="5"/>
        <v>0.89125093813374545</v>
      </c>
    </row>
    <row r="341" spans="1:3" x14ac:dyDescent="0.3">
      <c r="A341" s="5">
        <v>0.65148148148148144</v>
      </c>
      <c r="B341" s="6">
        <v>120.6</v>
      </c>
      <c r="C341" s="6">
        <f t="shared" si="5"/>
        <v>0.89125093813374545</v>
      </c>
    </row>
    <row r="342" spans="1:3" x14ac:dyDescent="0.3">
      <c r="A342" s="5">
        <v>0.65182870370370372</v>
      </c>
      <c r="B342" s="6">
        <v>120.7</v>
      </c>
      <c r="C342" s="6">
        <f t="shared" si="5"/>
        <v>0.91201083935591154</v>
      </c>
    </row>
    <row r="343" spans="1:3" x14ac:dyDescent="0.3">
      <c r="A343" s="5">
        <v>0.65217592592592588</v>
      </c>
      <c r="B343" s="6">
        <v>120.7</v>
      </c>
      <c r="C343" s="6">
        <f t="shared" si="5"/>
        <v>0.91201083935591154</v>
      </c>
    </row>
    <row r="344" spans="1:3" x14ac:dyDescent="0.3">
      <c r="A344" s="5">
        <v>0.65252314814814816</v>
      </c>
      <c r="B344" s="6">
        <v>120.7</v>
      </c>
      <c r="C344" s="6">
        <f t="shared" si="5"/>
        <v>0.91201083935591154</v>
      </c>
    </row>
    <row r="345" spans="1:3" x14ac:dyDescent="0.3">
      <c r="A345" s="5">
        <v>0.65287037037037032</v>
      </c>
      <c r="B345" s="6">
        <v>120.6</v>
      </c>
      <c r="C345" s="6">
        <f t="shared" si="5"/>
        <v>0.89125093813374545</v>
      </c>
    </row>
    <row r="346" spans="1:3" x14ac:dyDescent="0.3">
      <c r="A346" s="5">
        <v>0.6532175925925926</v>
      </c>
      <c r="B346" s="6">
        <v>120.6</v>
      </c>
      <c r="C346" s="6">
        <f t="shared" si="5"/>
        <v>0.89125093813374545</v>
      </c>
    </row>
    <row r="347" spans="1:3" x14ac:dyDescent="0.3">
      <c r="A347" s="5">
        <v>0.65356481481481477</v>
      </c>
      <c r="B347" s="6">
        <v>120.7</v>
      </c>
      <c r="C347" s="6">
        <f t="shared" si="5"/>
        <v>0.91201083935591154</v>
      </c>
    </row>
    <row r="348" spans="1:3" x14ac:dyDescent="0.3">
      <c r="A348" s="5">
        <v>0.65391203703703704</v>
      </c>
      <c r="B348" s="6">
        <v>120.7</v>
      </c>
      <c r="C348" s="6">
        <f t="shared" si="5"/>
        <v>0.91201083935591154</v>
      </c>
    </row>
    <row r="349" spans="1:3" x14ac:dyDescent="0.3">
      <c r="A349" s="4">
        <v>0.65425925925925921</v>
      </c>
      <c r="B349">
        <v>119.5</v>
      </c>
      <c r="C349">
        <f t="shared" si="5"/>
        <v>0.69183097091893742</v>
      </c>
    </row>
    <row r="350" spans="1:3" x14ac:dyDescent="0.3">
      <c r="A350" s="4">
        <v>0.65460648148148148</v>
      </c>
      <c r="B350">
        <v>112.2</v>
      </c>
      <c r="C350">
        <f t="shared" si="5"/>
        <v>0.12882495516931364</v>
      </c>
    </row>
    <row r="351" spans="1:3" x14ac:dyDescent="0.3">
      <c r="A351" s="4">
        <v>0.65495370370370365</v>
      </c>
      <c r="B351">
        <v>93.1</v>
      </c>
      <c r="C351">
        <f t="shared" si="5"/>
        <v>1.5848931924611134E-3</v>
      </c>
    </row>
    <row r="352" spans="1:3" x14ac:dyDescent="0.3">
      <c r="A352" s="4">
        <v>0.65530092592592593</v>
      </c>
      <c r="B352">
        <v>82.9</v>
      </c>
      <c r="C352">
        <f t="shared" si="5"/>
        <v>1.5135612484362096E-4</v>
      </c>
    </row>
    <row r="353" spans="1:3" x14ac:dyDescent="0.3">
      <c r="A353" s="4">
        <v>0.6556481481481482</v>
      </c>
      <c r="B353">
        <v>78.7</v>
      </c>
      <c r="C353">
        <f t="shared" si="5"/>
        <v>5.7543993733715779E-5</v>
      </c>
    </row>
    <row r="354" spans="1:3" x14ac:dyDescent="0.3">
      <c r="A354" s="4">
        <v>0.65599537037037037</v>
      </c>
      <c r="B354">
        <v>74.900000000000006</v>
      </c>
      <c r="C354">
        <f t="shared" si="5"/>
        <v>2.3988329190194941E-5</v>
      </c>
    </row>
    <row r="355" spans="1:3" x14ac:dyDescent="0.3">
      <c r="A355" s="4">
        <v>0.65634259259259264</v>
      </c>
      <c r="B355">
        <v>71.400000000000006</v>
      </c>
      <c r="C355">
        <f t="shared" si="5"/>
        <v>1.0715193052376079E-5</v>
      </c>
    </row>
    <row r="356" spans="1:3" x14ac:dyDescent="0.3">
      <c r="A356" s="4">
        <v>0.65668981481481481</v>
      </c>
      <c r="B356">
        <v>68.2</v>
      </c>
      <c r="C356">
        <f t="shared" si="5"/>
        <v>5.1286138399136523E-6</v>
      </c>
    </row>
    <row r="357" spans="1:3" x14ac:dyDescent="0.3">
      <c r="A357" s="4">
        <v>0.65703703703703709</v>
      </c>
      <c r="B357">
        <v>65.8</v>
      </c>
      <c r="C357">
        <f t="shared" si="5"/>
        <v>2.9512092266663841E-6</v>
      </c>
    </row>
    <row r="358" spans="1:3" x14ac:dyDescent="0.3">
      <c r="A358" s="4">
        <v>0.65738425925925925</v>
      </c>
      <c r="B358">
        <v>63.4</v>
      </c>
      <c r="C358">
        <f t="shared" si="5"/>
        <v>1.6982436524617446E-6</v>
      </c>
    </row>
    <row r="359" spans="1:3" x14ac:dyDescent="0.3">
      <c r="A359" s="4">
        <v>0.65773148148148153</v>
      </c>
      <c r="B359">
        <v>61.3</v>
      </c>
      <c r="C359">
        <f t="shared" si="5"/>
        <v>1.0471285480508998E-6</v>
      </c>
    </row>
    <row r="360" spans="1:3" x14ac:dyDescent="0.3">
      <c r="A360" s="4">
        <v>0.65807870370370369</v>
      </c>
      <c r="B360">
        <v>59.7</v>
      </c>
      <c r="C360">
        <f t="shared" si="5"/>
        <v>7.2443596007499143E-7</v>
      </c>
    </row>
    <row r="361" spans="1:3" x14ac:dyDescent="0.3">
      <c r="A361" s="4">
        <v>0.65842592592592597</v>
      </c>
      <c r="B361">
        <v>58</v>
      </c>
      <c r="C361">
        <f t="shared" si="5"/>
        <v>4.8977881936844619E-7</v>
      </c>
    </row>
    <row r="362" spans="1:3" x14ac:dyDescent="0.3">
      <c r="A362" s="4">
        <v>0.65877314814814814</v>
      </c>
      <c r="B362">
        <v>56.6</v>
      </c>
      <c r="C362">
        <f t="shared" si="5"/>
        <v>3.5481338923357463E-7</v>
      </c>
    </row>
    <row r="363" spans="1:3" x14ac:dyDescent="0.3">
      <c r="A363" s="4">
        <v>0.65912037037037041</v>
      </c>
      <c r="B363">
        <v>55.2</v>
      </c>
      <c r="C363">
        <f t="shared" si="5"/>
        <v>2.5703957827688658E-7</v>
      </c>
    </row>
    <row r="364" spans="1:3" x14ac:dyDescent="0.3">
      <c r="A364" s="4">
        <v>0.65946759259259258</v>
      </c>
      <c r="B364">
        <v>54</v>
      </c>
      <c r="C364">
        <f t="shared" si="5"/>
        <v>1.9498445997580458E-7</v>
      </c>
    </row>
    <row r="365" spans="1:3" x14ac:dyDescent="0.3">
      <c r="A365" s="4">
        <v>0.65981481481481485</v>
      </c>
      <c r="B365">
        <v>52.9</v>
      </c>
      <c r="C365">
        <f t="shared" si="5"/>
        <v>1.5135612484362101E-7</v>
      </c>
    </row>
    <row r="366" spans="1:3" x14ac:dyDescent="0.3">
      <c r="A366" s="4">
        <v>0.66016203703703702</v>
      </c>
      <c r="B366">
        <v>51.9</v>
      </c>
      <c r="C366">
        <f t="shared" si="5"/>
        <v>1.2022644346174135E-7</v>
      </c>
    </row>
    <row r="367" spans="1:3" x14ac:dyDescent="0.3">
      <c r="A367" s="4">
        <v>0.6605092592592593</v>
      </c>
      <c r="B367">
        <v>50.9</v>
      </c>
      <c r="C367">
        <f t="shared" si="5"/>
        <v>9.5499258602143887E-8</v>
      </c>
    </row>
    <row r="368" spans="1:3" x14ac:dyDescent="0.3">
      <c r="A368" s="4">
        <v>0.66085648148148146</v>
      </c>
      <c r="B368">
        <v>50.2</v>
      </c>
      <c r="C368">
        <f t="shared" si="5"/>
        <v>8.128305161640995E-8</v>
      </c>
    </row>
    <row r="369" spans="1:3" x14ac:dyDescent="0.3">
      <c r="A369" s="4">
        <v>0.66120370370370374</v>
      </c>
      <c r="B369">
        <v>49.3</v>
      </c>
      <c r="C369">
        <f t="shared" ref="C369:C409" si="6">10^((B369-121.1)/10)</f>
        <v>6.606934480075943E-8</v>
      </c>
    </row>
    <row r="370" spans="1:3" x14ac:dyDescent="0.3">
      <c r="A370" s="4">
        <v>0.6615509259259259</v>
      </c>
      <c r="B370">
        <v>48.8</v>
      </c>
      <c r="C370">
        <f t="shared" si="6"/>
        <v>5.8884365535558776E-8</v>
      </c>
    </row>
    <row r="371" spans="1:3" x14ac:dyDescent="0.3">
      <c r="A371" s="4">
        <v>0.66189814814814818</v>
      </c>
      <c r="B371">
        <v>48</v>
      </c>
      <c r="C371">
        <f t="shared" si="6"/>
        <v>4.8977881936844561E-8</v>
      </c>
    </row>
    <row r="372" spans="1:3" x14ac:dyDescent="0.3">
      <c r="A372" s="4">
        <v>0.66224537037037035</v>
      </c>
      <c r="B372">
        <v>47.5</v>
      </c>
      <c r="C372">
        <f t="shared" si="6"/>
        <v>4.3651583224016566E-8</v>
      </c>
    </row>
    <row r="373" spans="1:3" x14ac:dyDescent="0.3">
      <c r="A373" s="4">
        <v>0.66259259259259262</v>
      </c>
      <c r="B373">
        <v>47.2</v>
      </c>
      <c r="C373">
        <f t="shared" si="6"/>
        <v>4.0738027780411254E-8</v>
      </c>
    </row>
    <row r="374" spans="1:3" x14ac:dyDescent="0.3">
      <c r="A374" s="4">
        <v>0.66293981481481479</v>
      </c>
      <c r="B374">
        <v>46.6</v>
      </c>
      <c r="C374">
        <f t="shared" si="6"/>
        <v>3.5481338923357426E-8</v>
      </c>
    </row>
    <row r="375" spans="1:3" x14ac:dyDescent="0.3">
      <c r="A375" s="4">
        <v>0.66328703703703706</v>
      </c>
      <c r="B375">
        <v>46.3</v>
      </c>
      <c r="C375">
        <f t="shared" si="6"/>
        <v>3.3113112148259124E-8</v>
      </c>
    </row>
    <row r="376" spans="1:3" x14ac:dyDescent="0.3">
      <c r="A376" s="4">
        <v>0.66363425925925923</v>
      </c>
      <c r="B376">
        <v>45.9</v>
      </c>
      <c r="C376">
        <f t="shared" si="6"/>
        <v>3.0199517204020188E-8</v>
      </c>
    </row>
    <row r="377" spans="1:3" x14ac:dyDescent="0.3">
      <c r="A377" s="4">
        <v>0.66398148148148151</v>
      </c>
      <c r="B377">
        <v>45.4</v>
      </c>
      <c r="C377">
        <f t="shared" si="6"/>
        <v>2.691534803926919E-8</v>
      </c>
    </row>
    <row r="378" spans="1:3" x14ac:dyDescent="0.3">
      <c r="A378" s="4">
        <v>0.66432870370370367</v>
      </c>
      <c r="B378">
        <v>45.1</v>
      </c>
      <c r="C378">
        <f t="shared" si="6"/>
        <v>2.5118864315095751E-8</v>
      </c>
    </row>
    <row r="379" spans="1:3" x14ac:dyDescent="0.3">
      <c r="A379" s="4">
        <v>0.66467592592592595</v>
      </c>
      <c r="B379">
        <v>44.9</v>
      </c>
      <c r="C379">
        <f t="shared" si="6"/>
        <v>2.3988329190194944E-8</v>
      </c>
    </row>
    <row r="380" spans="1:3" x14ac:dyDescent="0.3">
      <c r="A380" s="4">
        <v>0.66502314814814811</v>
      </c>
      <c r="B380">
        <v>44.8</v>
      </c>
      <c r="C380">
        <f t="shared" si="6"/>
        <v>2.3442288153199181E-8</v>
      </c>
    </row>
    <row r="381" spans="1:3" x14ac:dyDescent="0.3">
      <c r="A381" s="4">
        <v>0.66537037037037039</v>
      </c>
      <c r="B381">
        <v>44.7</v>
      </c>
      <c r="C381">
        <f t="shared" si="6"/>
        <v>2.2908676527677776E-8</v>
      </c>
    </row>
    <row r="382" spans="1:3" x14ac:dyDescent="0.3">
      <c r="A382" s="4">
        <v>0.66571759259259256</v>
      </c>
      <c r="B382">
        <v>44.6</v>
      </c>
      <c r="C382">
        <f t="shared" si="6"/>
        <v>2.2387211385683365E-8</v>
      </c>
    </row>
    <row r="383" spans="1:3" x14ac:dyDescent="0.3">
      <c r="A383" s="4">
        <v>0.66606481481481483</v>
      </c>
      <c r="B383">
        <v>44.5</v>
      </c>
      <c r="C383">
        <f t="shared" si="6"/>
        <v>2.1877616239495494E-8</v>
      </c>
    </row>
    <row r="384" spans="1:3" x14ac:dyDescent="0.3">
      <c r="A384" s="4">
        <v>0.666412037037037</v>
      </c>
      <c r="B384">
        <v>44.5</v>
      </c>
      <c r="C384">
        <f t="shared" si="6"/>
        <v>2.1877616239495494E-8</v>
      </c>
    </row>
    <row r="385" spans="1:3" x14ac:dyDescent="0.3">
      <c r="A385" s="4">
        <v>0.66675925925925927</v>
      </c>
      <c r="B385">
        <v>44.6</v>
      </c>
      <c r="C385">
        <f t="shared" si="6"/>
        <v>2.2387211385683365E-8</v>
      </c>
    </row>
    <row r="386" spans="1:3" x14ac:dyDescent="0.3">
      <c r="A386" s="4">
        <v>0.66710648148148144</v>
      </c>
      <c r="B386">
        <v>44.7</v>
      </c>
      <c r="C386">
        <f t="shared" si="6"/>
        <v>2.2908676527677776E-8</v>
      </c>
    </row>
    <row r="387" spans="1:3" x14ac:dyDescent="0.3">
      <c r="A387" s="4">
        <v>0.66745370370370372</v>
      </c>
      <c r="B387">
        <v>44.6</v>
      </c>
      <c r="C387">
        <f t="shared" si="6"/>
        <v>2.2387211385683365E-8</v>
      </c>
    </row>
    <row r="388" spans="1:3" x14ac:dyDescent="0.3">
      <c r="A388" s="4">
        <v>0.66780092592592588</v>
      </c>
      <c r="B388">
        <v>44.6</v>
      </c>
      <c r="C388">
        <f t="shared" si="6"/>
        <v>2.2387211385683365E-8</v>
      </c>
    </row>
    <row r="389" spans="1:3" x14ac:dyDescent="0.3">
      <c r="A389" s="4">
        <v>0.66814814814814816</v>
      </c>
      <c r="B389">
        <v>44.6</v>
      </c>
      <c r="C389">
        <f t="shared" si="6"/>
        <v>2.2387211385683365E-8</v>
      </c>
    </row>
    <row r="390" spans="1:3" x14ac:dyDescent="0.3">
      <c r="A390" s="4">
        <v>0.66849537037037032</v>
      </c>
      <c r="B390">
        <v>44.5</v>
      </c>
      <c r="C390">
        <f t="shared" si="6"/>
        <v>2.1877616239495494E-8</v>
      </c>
    </row>
    <row r="391" spans="1:3" x14ac:dyDescent="0.3">
      <c r="A391" s="4">
        <v>0.6688425925925926</v>
      </c>
      <c r="B391">
        <v>44.5</v>
      </c>
      <c r="C391">
        <f t="shared" si="6"/>
        <v>2.1877616239495494E-8</v>
      </c>
    </row>
    <row r="392" spans="1:3" x14ac:dyDescent="0.3">
      <c r="A392" s="4">
        <v>0.66918981481481477</v>
      </c>
      <c r="B392">
        <v>44.5</v>
      </c>
      <c r="C392">
        <f t="shared" si="6"/>
        <v>2.1877616239495494E-8</v>
      </c>
    </row>
    <row r="393" spans="1:3" x14ac:dyDescent="0.3">
      <c r="A393" s="4">
        <v>0.66953703703703704</v>
      </c>
      <c r="B393">
        <v>44.4</v>
      </c>
      <c r="C393">
        <f t="shared" si="6"/>
        <v>2.1379620895022368E-8</v>
      </c>
    </row>
    <row r="394" spans="1:3" x14ac:dyDescent="0.3">
      <c r="A394" s="4">
        <v>0.66988425925925921</v>
      </c>
      <c r="B394">
        <v>44.3</v>
      </c>
      <c r="C394">
        <f t="shared" si="6"/>
        <v>2.0892961308540368E-8</v>
      </c>
    </row>
    <row r="395" spans="1:3" x14ac:dyDescent="0.3">
      <c r="A395" s="4">
        <v>0.67023148148148148</v>
      </c>
      <c r="B395">
        <v>44.3</v>
      </c>
      <c r="C395">
        <f t="shared" si="6"/>
        <v>2.0892961308540368E-8</v>
      </c>
    </row>
    <row r="396" spans="1:3" x14ac:dyDescent="0.3">
      <c r="A396" s="4">
        <v>0.67057870370370365</v>
      </c>
      <c r="B396">
        <v>44.2</v>
      </c>
      <c r="C396">
        <f t="shared" si="6"/>
        <v>2.0417379446695271E-8</v>
      </c>
    </row>
    <row r="397" spans="1:3" x14ac:dyDescent="0.3">
      <c r="A397" s="4">
        <v>0.67092592592592593</v>
      </c>
      <c r="B397">
        <v>44.2</v>
      </c>
      <c r="C397">
        <f t="shared" si="6"/>
        <v>2.0417379446695271E-8</v>
      </c>
    </row>
    <row r="398" spans="1:3" x14ac:dyDescent="0.3">
      <c r="A398" s="4">
        <v>0.6712731481481482</v>
      </c>
      <c r="B398">
        <v>44.1</v>
      </c>
      <c r="C398">
        <f t="shared" si="6"/>
        <v>1.9952623149688773E-8</v>
      </c>
    </row>
    <row r="399" spans="1:3" x14ac:dyDescent="0.3">
      <c r="A399" s="4">
        <v>0.67162037037037037</v>
      </c>
      <c r="B399">
        <v>44.1</v>
      </c>
      <c r="C399">
        <f t="shared" si="6"/>
        <v>1.9952623149688773E-8</v>
      </c>
    </row>
    <row r="400" spans="1:3" x14ac:dyDescent="0.3">
      <c r="A400" s="4">
        <v>0.67196759259259264</v>
      </c>
      <c r="B400">
        <v>44</v>
      </c>
      <c r="C400">
        <f t="shared" si="6"/>
        <v>1.9498445997580434E-8</v>
      </c>
    </row>
    <row r="401" spans="1:3" x14ac:dyDescent="0.3">
      <c r="A401" s="4">
        <v>0.67231481481481481</v>
      </c>
      <c r="B401">
        <v>43.9</v>
      </c>
      <c r="C401">
        <f t="shared" si="6"/>
        <v>1.9054607179632522E-8</v>
      </c>
    </row>
    <row r="402" spans="1:3" x14ac:dyDescent="0.3">
      <c r="A402" s="4">
        <v>0.67266203703703709</v>
      </c>
      <c r="B402">
        <v>43.9</v>
      </c>
      <c r="C402">
        <f t="shared" si="6"/>
        <v>1.9054607179632522E-8</v>
      </c>
    </row>
    <row r="403" spans="1:3" x14ac:dyDescent="0.3">
      <c r="A403" s="4">
        <v>0.67300925925925925</v>
      </c>
      <c r="B403">
        <v>43.8</v>
      </c>
      <c r="C403">
        <f t="shared" si="6"/>
        <v>1.8620871366628663E-8</v>
      </c>
    </row>
    <row r="404" spans="1:3" x14ac:dyDescent="0.3">
      <c r="A404" s="4">
        <v>0.67335648148148153</v>
      </c>
      <c r="B404">
        <v>43.8</v>
      </c>
      <c r="C404">
        <f t="shared" si="6"/>
        <v>1.8620871366628663E-8</v>
      </c>
    </row>
    <row r="405" spans="1:3" x14ac:dyDescent="0.3">
      <c r="A405" s="4">
        <v>0.67370370370370369</v>
      </c>
      <c r="B405">
        <v>43.7</v>
      </c>
      <c r="C405">
        <f t="shared" si="6"/>
        <v>1.8197008586099822E-8</v>
      </c>
    </row>
    <row r="406" spans="1:3" x14ac:dyDescent="0.3">
      <c r="A406" s="4">
        <v>0.67405092592592597</v>
      </c>
      <c r="B406">
        <v>43.6</v>
      </c>
      <c r="C406">
        <f t="shared" si="6"/>
        <v>1.7782794100389218E-8</v>
      </c>
    </row>
    <row r="407" spans="1:3" x14ac:dyDescent="0.3">
      <c r="A407" s="4">
        <v>0.67439814814814814</v>
      </c>
      <c r="B407">
        <v>43.5</v>
      </c>
      <c r="C407">
        <f t="shared" si="6"/>
        <v>1.7378008287493747E-8</v>
      </c>
    </row>
    <row r="408" spans="1:3" x14ac:dyDescent="0.3">
      <c r="A408" s="4">
        <v>0.67474537037037041</v>
      </c>
      <c r="B408">
        <v>43.5</v>
      </c>
      <c r="C408">
        <f t="shared" si="6"/>
        <v>1.7378008287493747E-8</v>
      </c>
    </row>
    <row r="409" spans="1:3" x14ac:dyDescent="0.3">
      <c r="A409" s="4">
        <v>0.67509259259259258</v>
      </c>
      <c r="B409">
        <v>43.4</v>
      </c>
      <c r="C409">
        <f t="shared" si="6"/>
        <v>1.6982436524617439E-8</v>
      </c>
    </row>
    <row r="410" spans="1:3" x14ac:dyDescent="0.3">
      <c r="A410" s="2" t="s">
        <v>61</v>
      </c>
      <c r="C410">
        <f>SUM(C240:C409)</f>
        <v>67.371624535537876</v>
      </c>
    </row>
    <row r="412" spans="1:3" x14ac:dyDescent="0.3">
      <c r="A412" s="2" t="s">
        <v>62</v>
      </c>
      <c r="C412">
        <f>30/60*C410</f>
        <v>33.685812267768938</v>
      </c>
    </row>
    <row r="414" spans="1:3" x14ac:dyDescent="0.3">
      <c r="A414" s="2" t="s">
        <v>65</v>
      </c>
    </row>
    <row r="415" spans="1:3" x14ac:dyDescent="0.3">
      <c r="A415" s="2" t="s">
        <v>58</v>
      </c>
      <c r="B415" s="2" t="s">
        <v>59</v>
      </c>
      <c r="C415" s="2" t="s">
        <v>60</v>
      </c>
    </row>
    <row r="416" spans="1:3" x14ac:dyDescent="0.3">
      <c r="A416" s="4">
        <v>0.66609953703703706</v>
      </c>
      <c r="B416">
        <v>34.700000000000003</v>
      </c>
      <c r="C416">
        <f>10^((B416-121.1)/10)</f>
        <v>2.2908676527677749E-9</v>
      </c>
    </row>
    <row r="417" spans="1:3" x14ac:dyDescent="0.3">
      <c r="A417" s="4">
        <v>0.66645833333333337</v>
      </c>
      <c r="B417">
        <v>34.700000000000003</v>
      </c>
      <c r="C417">
        <f t="shared" ref="C417:C480" si="7">10^((B417-121.1)/10)</f>
        <v>2.2908676527677749E-9</v>
      </c>
    </row>
    <row r="418" spans="1:3" x14ac:dyDescent="0.3">
      <c r="A418" s="4">
        <v>0.66680555555555554</v>
      </c>
      <c r="B418">
        <v>34.700000000000003</v>
      </c>
      <c r="C418">
        <f t="shared" si="7"/>
        <v>2.2908676527677749E-9</v>
      </c>
    </row>
    <row r="419" spans="1:3" x14ac:dyDescent="0.3">
      <c r="A419" s="4">
        <v>0.66714120370370367</v>
      </c>
      <c r="B419">
        <v>34.700000000000003</v>
      </c>
      <c r="C419">
        <f t="shared" si="7"/>
        <v>2.2908676527677749E-9</v>
      </c>
    </row>
    <row r="420" spans="1:3" x14ac:dyDescent="0.3">
      <c r="A420" s="4">
        <v>0.66748842592592594</v>
      </c>
      <c r="B420">
        <v>34.700000000000003</v>
      </c>
      <c r="C420">
        <f t="shared" si="7"/>
        <v>2.2908676527677749E-9</v>
      </c>
    </row>
    <row r="421" spans="1:3" x14ac:dyDescent="0.3">
      <c r="A421" s="4">
        <v>0.66783564814814811</v>
      </c>
      <c r="B421">
        <v>34.700000000000003</v>
      </c>
      <c r="C421">
        <f t="shared" si="7"/>
        <v>2.2908676527677749E-9</v>
      </c>
    </row>
    <row r="422" spans="1:3" x14ac:dyDescent="0.3">
      <c r="A422" s="4">
        <v>0.66818287037037039</v>
      </c>
      <c r="B422">
        <v>34.700000000000003</v>
      </c>
      <c r="C422">
        <f t="shared" si="7"/>
        <v>2.2908676527677749E-9</v>
      </c>
    </row>
    <row r="423" spans="1:3" x14ac:dyDescent="0.3">
      <c r="A423" s="4">
        <v>0.6685416666666667</v>
      </c>
      <c r="B423">
        <v>34.700000000000003</v>
      </c>
      <c r="C423">
        <f t="shared" si="7"/>
        <v>2.2908676527677749E-9</v>
      </c>
    </row>
    <row r="424" spans="1:3" x14ac:dyDescent="0.3">
      <c r="A424" s="4">
        <v>0.66887731481481483</v>
      </c>
      <c r="B424">
        <v>34.700000000000003</v>
      </c>
      <c r="C424">
        <f t="shared" si="7"/>
        <v>2.2908676527677749E-9</v>
      </c>
    </row>
    <row r="425" spans="1:3" x14ac:dyDescent="0.3">
      <c r="A425" s="4">
        <v>0.66922453703703699</v>
      </c>
      <c r="B425">
        <v>34.700000000000003</v>
      </c>
      <c r="C425">
        <f t="shared" si="7"/>
        <v>2.2908676527677749E-9</v>
      </c>
    </row>
    <row r="426" spans="1:3" x14ac:dyDescent="0.3">
      <c r="A426" s="4">
        <v>0.66958333333333331</v>
      </c>
      <c r="B426">
        <v>35</v>
      </c>
      <c r="C426">
        <f t="shared" si="7"/>
        <v>2.4547089156850316E-9</v>
      </c>
    </row>
    <row r="427" spans="1:3" x14ac:dyDescent="0.3">
      <c r="A427" s="4">
        <v>0.66991898148148143</v>
      </c>
      <c r="B427">
        <v>35.4</v>
      </c>
      <c r="C427">
        <f t="shared" si="7"/>
        <v>2.6915348039269159E-9</v>
      </c>
    </row>
    <row r="428" spans="1:3" x14ac:dyDescent="0.3">
      <c r="A428" s="4">
        <v>0.67026620370370371</v>
      </c>
      <c r="B428">
        <v>36.9</v>
      </c>
      <c r="C428">
        <f t="shared" si="7"/>
        <v>3.8018939632056208E-9</v>
      </c>
    </row>
    <row r="429" spans="1:3" x14ac:dyDescent="0.3">
      <c r="A429" s="4">
        <v>0.67062500000000003</v>
      </c>
      <c r="B429">
        <v>41.5</v>
      </c>
      <c r="C429">
        <f t="shared" si="7"/>
        <v>1.0964781961431866E-8</v>
      </c>
    </row>
    <row r="430" spans="1:3" x14ac:dyDescent="0.3">
      <c r="A430" s="4">
        <v>0.67097222222222219</v>
      </c>
      <c r="B430">
        <v>46.7</v>
      </c>
      <c r="C430">
        <f t="shared" si="7"/>
        <v>3.6307805477010135E-8</v>
      </c>
    </row>
    <row r="431" spans="1:3" x14ac:dyDescent="0.3">
      <c r="A431" s="4">
        <v>0.67131944444444447</v>
      </c>
      <c r="B431">
        <v>53.4</v>
      </c>
      <c r="C431">
        <f t="shared" si="7"/>
        <v>1.6982436524617456E-7</v>
      </c>
    </row>
    <row r="432" spans="1:3" x14ac:dyDescent="0.3">
      <c r="A432" s="4">
        <v>0.6716550925925926</v>
      </c>
      <c r="B432">
        <v>58.3</v>
      </c>
      <c r="C432">
        <f t="shared" si="7"/>
        <v>5.2480746024977233E-7</v>
      </c>
    </row>
    <row r="433" spans="1:3" x14ac:dyDescent="0.3">
      <c r="A433" s="4">
        <v>0.67200231481481476</v>
      </c>
      <c r="B433">
        <v>63.3</v>
      </c>
      <c r="C433">
        <f t="shared" si="7"/>
        <v>1.6595869074375609E-6</v>
      </c>
    </row>
    <row r="434" spans="1:3" x14ac:dyDescent="0.3">
      <c r="A434" s="4">
        <v>0.67234953703703704</v>
      </c>
      <c r="B434">
        <v>66.2</v>
      </c>
      <c r="C434">
        <f t="shared" si="7"/>
        <v>3.2359365692962856E-6</v>
      </c>
    </row>
    <row r="435" spans="1:3" x14ac:dyDescent="0.3">
      <c r="A435" s="4">
        <v>0.67270833333333335</v>
      </c>
      <c r="B435">
        <v>71.400000000000006</v>
      </c>
      <c r="C435">
        <f t="shared" si="7"/>
        <v>1.0715193052376079E-5</v>
      </c>
    </row>
    <row r="436" spans="1:3" x14ac:dyDescent="0.3">
      <c r="A436" s="4">
        <v>0.67305555555555552</v>
      </c>
      <c r="B436">
        <v>76.400000000000006</v>
      </c>
      <c r="C436">
        <f t="shared" si="7"/>
        <v>3.3884415613920317E-5</v>
      </c>
    </row>
    <row r="437" spans="1:3" x14ac:dyDescent="0.3">
      <c r="A437" s="4">
        <v>0.67340277777777779</v>
      </c>
      <c r="B437">
        <v>80.400000000000006</v>
      </c>
      <c r="C437">
        <f t="shared" si="7"/>
        <v>8.5113803820237934E-5</v>
      </c>
    </row>
    <row r="438" spans="1:3" x14ac:dyDescent="0.3">
      <c r="A438" s="4">
        <v>0.67374999999999996</v>
      </c>
      <c r="B438">
        <v>83.1</v>
      </c>
      <c r="C438">
        <f t="shared" si="7"/>
        <v>1.584893192461112E-4</v>
      </c>
    </row>
    <row r="439" spans="1:3" x14ac:dyDescent="0.3">
      <c r="A439" s="4">
        <v>0.6740856481481482</v>
      </c>
      <c r="B439">
        <v>84.5</v>
      </c>
      <c r="C439">
        <f t="shared" si="7"/>
        <v>2.1877616239495551E-4</v>
      </c>
    </row>
    <row r="440" spans="1:3" x14ac:dyDescent="0.3">
      <c r="A440" s="4">
        <v>0.6744444444444444</v>
      </c>
      <c r="B440">
        <v>86.4</v>
      </c>
      <c r="C440">
        <f t="shared" si="7"/>
        <v>3.3884415613920328E-4</v>
      </c>
    </row>
    <row r="441" spans="1:3" x14ac:dyDescent="0.3">
      <c r="A441" s="4">
        <v>0.67479166666666668</v>
      </c>
      <c r="B441">
        <v>87.9</v>
      </c>
      <c r="C441">
        <f t="shared" si="7"/>
        <v>4.7863009232263908E-4</v>
      </c>
    </row>
    <row r="442" spans="1:3" x14ac:dyDescent="0.3">
      <c r="A442" s="4">
        <v>0.67513888888888884</v>
      </c>
      <c r="B442">
        <v>88.6</v>
      </c>
      <c r="C442">
        <f t="shared" si="7"/>
        <v>5.6234132519034856E-4</v>
      </c>
    </row>
    <row r="443" spans="1:3" x14ac:dyDescent="0.3">
      <c r="A443" s="4">
        <v>0.67548611111111112</v>
      </c>
      <c r="B443">
        <v>88.9</v>
      </c>
      <c r="C443">
        <f t="shared" si="7"/>
        <v>6.025595860743592E-4</v>
      </c>
    </row>
    <row r="444" spans="1:3" x14ac:dyDescent="0.3">
      <c r="A444" s="4">
        <v>0.67583333333333329</v>
      </c>
      <c r="B444">
        <v>90.6</v>
      </c>
      <c r="C444">
        <f t="shared" si="7"/>
        <v>8.9125093813374539E-4</v>
      </c>
    </row>
    <row r="445" spans="1:3" x14ac:dyDescent="0.3">
      <c r="A445" s="4">
        <v>0.67616898148148152</v>
      </c>
      <c r="B445">
        <v>91.7</v>
      </c>
      <c r="C445">
        <f t="shared" si="7"/>
        <v>1.1481536214968844E-3</v>
      </c>
    </row>
    <row r="446" spans="1:3" x14ac:dyDescent="0.3">
      <c r="A446" s="4">
        <v>0.67652777777777773</v>
      </c>
      <c r="B446">
        <v>92.3</v>
      </c>
      <c r="C446">
        <f t="shared" si="7"/>
        <v>1.3182567385564071E-3</v>
      </c>
    </row>
    <row r="447" spans="1:3" x14ac:dyDescent="0.3">
      <c r="A447" s="4">
        <v>0.67686342592592597</v>
      </c>
      <c r="B447">
        <v>92.6</v>
      </c>
      <c r="C447">
        <f t="shared" si="7"/>
        <v>1.4125375446227527E-3</v>
      </c>
    </row>
    <row r="448" spans="1:3" x14ac:dyDescent="0.3">
      <c r="A448" s="4">
        <v>0.67722222222222217</v>
      </c>
      <c r="B448">
        <v>93.3</v>
      </c>
      <c r="C448">
        <f t="shared" si="7"/>
        <v>1.6595869074375606E-3</v>
      </c>
    </row>
    <row r="449" spans="1:3" x14ac:dyDescent="0.3">
      <c r="A449" s="4">
        <v>0.67755787037037041</v>
      </c>
      <c r="B449">
        <v>93.3</v>
      </c>
      <c r="C449">
        <f t="shared" si="7"/>
        <v>1.6595869074375606E-3</v>
      </c>
    </row>
    <row r="450" spans="1:3" x14ac:dyDescent="0.3">
      <c r="A450" s="4">
        <v>0.67791666666666661</v>
      </c>
      <c r="B450">
        <v>93.8</v>
      </c>
      <c r="C450">
        <f t="shared" si="7"/>
        <v>1.862087136662868E-3</v>
      </c>
    </row>
    <row r="451" spans="1:3" x14ac:dyDescent="0.3">
      <c r="A451" s="4">
        <v>0.67825231481481485</v>
      </c>
      <c r="B451">
        <v>93.9</v>
      </c>
      <c r="C451">
        <f t="shared" si="7"/>
        <v>1.905460717963251E-3</v>
      </c>
    </row>
    <row r="452" spans="1:3" x14ac:dyDescent="0.3">
      <c r="A452" s="4">
        <v>0.67859953703703701</v>
      </c>
      <c r="B452">
        <v>93</v>
      </c>
      <c r="C452">
        <f t="shared" si="7"/>
        <v>1.5488166189124818E-3</v>
      </c>
    </row>
    <row r="453" spans="1:3" x14ac:dyDescent="0.3">
      <c r="A453" s="4">
        <v>0.67894675925925929</v>
      </c>
      <c r="B453">
        <v>96.2</v>
      </c>
      <c r="C453">
        <f t="shared" si="7"/>
        <v>3.2359365692962846E-3</v>
      </c>
    </row>
    <row r="454" spans="1:3" x14ac:dyDescent="0.3">
      <c r="A454" s="4">
        <v>0.67930555555555561</v>
      </c>
      <c r="B454">
        <v>99.2</v>
      </c>
      <c r="C454">
        <f t="shared" si="7"/>
        <v>6.4565422903465645E-3</v>
      </c>
    </row>
    <row r="455" spans="1:3" x14ac:dyDescent="0.3">
      <c r="A455" s="4">
        <v>0.67965277777777777</v>
      </c>
      <c r="B455">
        <v>102.1</v>
      </c>
      <c r="C455">
        <f t="shared" si="7"/>
        <v>1.2589254117941664E-2</v>
      </c>
    </row>
    <row r="456" spans="1:3" x14ac:dyDescent="0.3">
      <c r="A456" s="4">
        <v>0.68</v>
      </c>
      <c r="B456">
        <v>104.1</v>
      </c>
      <c r="C456">
        <f t="shared" si="7"/>
        <v>1.9952623149688792E-2</v>
      </c>
    </row>
    <row r="457" spans="1:3" x14ac:dyDescent="0.3">
      <c r="A457" s="4">
        <v>0.68033564814814818</v>
      </c>
      <c r="B457">
        <v>106.7</v>
      </c>
      <c r="C457">
        <f t="shared" si="7"/>
        <v>3.6307805477010201E-2</v>
      </c>
    </row>
    <row r="458" spans="1:3" x14ac:dyDescent="0.3">
      <c r="A458" s="4">
        <v>0.68068287037037034</v>
      </c>
      <c r="B458">
        <v>106</v>
      </c>
      <c r="C458">
        <f t="shared" si="7"/>
        <v>3.0902954325135939E-2</v>
      </c>
    </row>
    <row r="459" spans="1:3" x14ac:dyDescent="0.3">
      <c r="A459" s="4">
        <v>0.68103009259259262</v>
      </c>
      <c r="B459">
        <v>107.3</v>
      </c>
      <c r="C459">
        <f t="shared" si="7"/>
        <v>4.1686938347033554E-2</v>
      </c>
    </row>
    <row r="460" spans="1:3" x14ac:dyDescent="0.3">
      <c r="A460" s="4">
        <v>0.68138888888888893</v>
      </c>
      <c r="B460">
        <v>110.3</v>
      </c>
      <c r="C460">
        <f t="shared" si="7"/>
        <v>8.3176377110267152E-2</v>
      </c>
    </row>
    <row r="461" spans="1:3" x14ac:dyDescent="0.3">
      <c r="A461" s="4">
        <v>0.6817361111111111</v>
      </c>
      <c r="B461">
        <v>113</v>
      </c>
      <c r="C461">
        <f t="shared" si="7"/>
        <v>0.15488166189124833</v>
      </c>
    </row>
    <row r="462" spans="1:3" x14ac:dyDescent="0.3">
      <c r="A462" s="4">
        <v>0.68208333333333337</v>
      </c>
      <c r="B462">
        <v>115</v>
      </c>
      <c r="C462">
        <f t="shared" si="7"/>
        <v>0.2454708915685033</v>
      </c>
    </row>
    <row r="463" spans="1:3" x14ac:dyDescent="0.3">
      <c r="A463" s="4">
        <v>0.68243055555555554</v>
      </c>
      <c r="B463">
        <v>116.9</v>
      </c>
      <c r="C463">
        <f t="shared" si="7"/>
        <v>0.38018939632056215</v>
      </c>
    </row>
    <row r="464" spans="1:3" x14ac:dyDescent="0.3">
      <c r="A464" s="4">
        <v>0.68277777777777782</v>
      </c>
      <c r="B464">
        <v>118.6</v>
      </c>
      <c r="C464">
        <f t="shared" si="7"/>
        <v>0.56234132519034907</v>
      </c>
    </row>
    <row r="465" spans="1:3" x14ac:dyDescent="0.3">
      <c r="A465" s="4">
        <v>0.68312499999999998</v>
      </c>
      <c r="B465">
        <v>120.7</v>
      </c>
      <c r="C465">
        <f t="shared" si="7"/>
        <v>0.91201083935591154</v>
      </c>
    </row>
    <row r="466" spans="1:3" x14ac:dyDescent="0.3">
      <c r="A466" s="4">
        <v>0.68346064814814811</v>
      </c>
      <c r="B466">
        <v>118.5</v>
      </c>
      <c r="C466">
        <f t="shared" si="7"/>
        <v>0.54954087385762518</v>
      </c>
    </row>
    <row r="467" spans="1:3" x14ac:dyDescent="0.3">
      <c r="A467" s="4">
        <v>0.68381944444444442</v>
      </c>
      <c r="B467">
        <v>118.2</v>
      </c>
      <c r="C467">
        <f t="shared" si="7"/>
        <v>0.51286138399136583</v>
      </c>
    </row>
    <row r="468" spans="1:3" x14ac:dyDescent="0.3">
      <c r="A468" s="4">
        <v>0.6841666666666667</v>
      </c>
      <c r="B468">
        <v>118.6</v>
      </c>
      <c r="C468">
        <f t="shared" si="7"/>
        <v>0.56234132519034907</v>
      </c>
    </row>
    <row r="469" spans="1:3" x14ac:dyDescent="0.3">
      <c r="A469" s="5">
        <v>0.68451388888888887</v>
      </c>
      <c r="B469" s="6">
        <v>121.5</v>
      </c>
      <c r="C469" s="6">
        <f t="shared" si="7"/>
        <v>1.0964781961431864</v>
      </c>
    </row>
    <row r="470" spans="1:3" x14ac:dyDescent="0.3">
      <c r="A470" s="5">
        <v>0.68486111111111114</v>
      </c>
      <c r="B470" s="6">
        <v>124.1</v>
      </c>
      <c r="C470" s="6">
        <f t="shared" si="7"/>
        <v>1.9952623149688797</v>
      </c>
    </row>
    <row r="471" spans="1:3" x14ac:dyDescent="0.3">
      <c r="A471" s="5">
        <v>0.68519675925925927</v>
      </c>
      <c r="B471" s="6">
        <v>120.9</v>
      </c>
      <c r="C471" s="6">
        <f t="shared" si="7"/>
        <v>0.95499258602143855</v>
      </c>
    </row>
    <row r="472" spans="1:3" x14ac:dyDescent="0.3">
      <c r="A472" s="5">
        <v>0.68555555555555558</v>
      </c>
      <c r="B472" s="6">
        <v>122.6</v>
      </c>
      <c r="C472" s="6">
        <f t="shared" si="7"/>
        <v>1.4125375446227544</v>
      </c>
    </row>
    <row r="473" spans="1:3" x14ac:dyDescent="0.3">
      <c r="A473" s="5">
        <v>0.68590277777777775</v>
      </c>
      <c r="B473" s="6">
        <v>124.7</v>
      </c>
      <c r="C473" s="6">
        <f t="shared" si="7"/>
        <v>2.290867652767778</v>
      </c>
    </row>
    <row r="474" spans="1:3" x14ac:dyDescent="0.3">
      <c r="A474" s="5">
        <v>0.68625000000000003</v>
      </c>
      <c r="B474" s="6">
        <v>120.7</v>
      </c>
      <c r="C474" s="6">
        <f t="shared" si="7"/>
        <v>0.91201083935591154</v>
      </c>
    </row>
    <row r="475" spans="1:3" x14ac:dyDescent="0.3">
      <c r="A475" s="5">
        <v>0.68659722222222219</v>
      </c>
      <c r="B475" s="6">
        <v>123.5</v>
      </c>
      <c r="C475" s="6">
        <f t="shared" si="7"/>
        <v>1.7378008287493778</v>
      </c>
    </row>
    <row r="476" spans="1:3" x14ac:dyDescent="0.3">
      <c r="A476" s="5">
        <v>0.68694444444444447</v>
      </c>
      <c r="B476" s="6">
        <v>123.2</v>
      </c>
      <c r="C476" s="6">
        <f t="shared" si="7"/>
        <v>1.6218100973589331</v>
      </c>
    </row>
    <row r="477" spans="1:3" x14ac:dyDescent="0.3">
      <c r="A477" s="5">
        <v>0.6872800925925926</v>
      </c>
      <c r="B477" s="6">
        <v>121.6</v>
      </c>
      <c r="C477" s="6">
        <f t="shared" si="7"/>
        <v>1.1220184543019636</v>
      </c>
    </row>
    <row r="478" spans="1:3" x14ac:dyDescent="0.3">
      <c r="A478" s="5">
        <v>0.68763888888888891</v>
      </c>
      <c r="B478" s="6">
        <v>124.5</v>
      </c>
      <c r="C478" s="6">
        <f t="shared" si="7"/>
        <v>2.1877616239495556</v>
      </c>
    </row>
    <row r="479" spans="1:3" x14ac:dyDescent="0.3">
      <c r="A479" s="5">
        <v>0.68798611111111108</v>
      </c>
      <c r="B479" s="6">
        <v>121.8</v>
      </c>
      <c r="C479" s="6">
        <f t="shared" si="7"/>
        <v>1.1748975549395304</v>
      </c>
    </row>
    <row r="480" spans="1:3" x14ac:dyDescent="0.3">
      <c r="A480" s="5">
        <v>0.68833333333333335</v>
      </c>
      <c r="B480" s="6">
        <v>122.1</v>
      </c>
      <c r="C480" s="6">
        <f t="shared" si="7"/>
        <v>1.2589254117941673</v>
      </c>
    </row>
    <row r="481" spans="1:3" x14ac:dyDescent="0.3">
      <c r="A481" s="5">
        <v>0.68866898148148148</v>
      </c>
      <c r="B481" s="6">
        <v>124.6</v>
      </c>
      <c r="C481" s="6">
        <f t="shared" ref="C481:C537" si="8">10^((B481-121.1)/10)</f>
        <v>2.2387211385683394</v>
      </c>
    </row>
    <row r="482" spans="1:3" x14ac:dyDescent="0.3">
      <c r="A482" s="5">
        <v>0.68901620370370376</v>
      </c>
      <c r="B482" s="6">
        <v>120.3</v>
      </c>
      <c r="C482" s="6">
        <f t="shared" si="8"/>
        <v>0.83176377110267163</v>
      </c>
    </row>
    <row r="483" spans="1:3" x14ac:dyDescent="0.3">
      <c r="A483" s="5">
        <v>0.68936342592592592</v>
      </c>
      <c r="B483" s="6">
        <v>123</v>
      </c>
      <c r="C483" s="6">
        <f t="shared" si="8"/>
        <v>1.5488166189124835</v>
      </c>
    </row>
    <row r="484" spans="1:3" x14ac:dyDescent="0.3">
      <c r="A484" s="5">
        <v>0.68972222222222224</v>
      </c>
      <c r="B484" s="6">
        <v>124.6</v>
      </c>
      <c r="C484" s="6">
        <f t="shared" si="8"/>
        <v>2.2387211385683394</v>
      </c>
    </row>
    <row r="485" spans="1:3" x14ac:dyDescent="0.3">
      <c r="A485" s="5">
        <v>0.69005787037037036</v>
      </c>
      <c r="B485" s="6">
        <v>121.1</v>
      </c>
      <c r="C485" s="6">
        <f t="shared" si="8"/>
        <v>1</v>
      </c>
    </row>
    <row r="486" spans="1:3" x14ac:dyDescent="0.3">
      <c r="A486" s="5">
        <v>0.69041666666666668</v>
      </c>
      <c r="B486" s="6">
        <v>124.5</v>
      </c>
      <c r="C486" s="6">
        <f t="shared" si="8"/>
        <v>2.1877616239495556</v>
      </c>
    </row>
    <row r="487" spans="1:3" x14ac:dyDescent="0.3">
      <c r="A487" s="5">
        <v>0.69076388888888884</v>
      </c>
      <c r="B487" s="6">
        <v>121</v>
      </c>
      <c r="C487" s="6">
        <f t="shared" si="8"/>
        <v>0.977237220955812</v>
      </c>
    </row>
    <row r="488" spans="1:3" x14ac:dyDescent="0.3">
      <c r="A488" s="5">
        <v>0.69111111111111112</v>
      </c>
      <c r="B488" s="6">
        <v>122.3</v>
      </c>
      <c r="C488" s="6">
        <f t="shared" si="8"/>
        <v>1.3182567385564079</v>
      </c>
    </row>
    <row r="489" spans="1:3" x14ac:dyDescent="0.3">
      <c r="A489" s="5">
        <v>0.69145833333333329</v>
      </c>
      <c r="B489" s="6">
        <v>122.3</v>
      </c>
      <c r="C489" s="6">
        <f t="shared" si="8"/>
        <v>1.3182567385564079</v>
      </c>
    </row>
    <row r="490" spans="1:3" x14ac:dyDescent="0.3">
      <c r="A490" s="5">
        <v>0.69180555555555556</v>
      </c>
      <c r="B490" s="6">
        <v>121.3</v>
      </c>
      <c r="C490" s="6">
        <f t="shared" si="8"/>
        <v>1.0471285480509003</v>
      </c>
    </row>
    <row r="491" spans="1:3" x14ac:dyDescent="0.3">
      <c r="A491" s="5">
        <v>0.69215277777777773</v>
      </c>
      <c r="B491" s="6">
        <v>124</v>
      </c>
      <c r="C491" s="6">
        <f t="shared" si="8"/>
        <v>1.9498445997580482</v>
      </c>
    </row>
    <row r="492" spans="1:3" x14ac:dyDescent="0.3">
      <c r="A492" s="5">
        <v>0.6925</v>
      </c>
      <c r="B492" s="6">
        <v>121.1</v>
      </c>
      <c r="C492" s="6">
        <f t="shared" si="8"/>
        <v>1</v>
      </c>
    </row>
    <row r="493" spans="1:3" x14ac:dyDescent="0.3">
      <c r="A493" s="5">
        <v>0.69283564814814813</v>
      </c>
      <c r="B493" s="6">
        <v>122.4</v>
      </c>
      <c r="C493" s="6">
        <f t="shared" si="8"/>
        <v>1.3489628825916571</v>
      </c>
    </row>
    <row r="494" spans="1:3" x14ac:dyDescent="0.3">
      <c r="A494" s="5">
        <v>0.69319444444444445</v>
      </c>
      <c r="B494" s="6">
        <v>123.8</v>
      </c>
      <c r="C494" s="6">
        <f t="shared" si="8"/>
        <v>1.8620871366628688</v>
      </c>
    </row>
    <row r="495" spans="1:3" x14ac:dyDescent="0.3">
      <c r="A495" s="5">
        <v>0.69354166666666661</v>
      </c>
      <c r="B495" s="6">
        <v>120.6</v>
      </c>
      <c r="C495" s="6">
        <f t="shared" si="8"/>
        <v>0.89125093813374545</v>
      </c>
    </row>
    <row r="496" spans="1:3" x14ac:dyDescent="0.3">
      <c r="A496" s="5">
        <v>0.69388888888888889</v>
      </c>
      <c r="B496" s="6">
        <v>120.5</v>
      </c>
      <c r="C496" s="6">
        <f t="shared" si="8"/>
        <v>0.87096358995608181</v>
      </c>
    </row>
    <row r="497" spans="1:3" x14ac:dyDescent="0.3">
      <c r="A497" s="4">
        <v>0.69423611111111116</v>
      </c>
      <c r="B497">
        <v>115.2</v>
      </c>
      <c r="C497">
        <f t="shared" si="8"/>
        <v>0.25703957827688678</v>
      </c>
    </row>
    <row r="498" spans="1:3" x14ac:dyDescent="0.3">
      <c r="A498" s="4">
        <v>0.69458333333333333</v>
      </c>
      <c r="B498">
        <v>112.9</v>
      </c>
      <c r="C498">
        <f t="shared" si="8"/>
        <v>0.15135612484362121</v>
      </c>
    </row>
    <row r="499" spans="1:3" x14ac:dyDescent="0.3">
      <c r="A499" s="4">
        <v>0.69493055555555561</v>
      </c>
      <c r="B499">
        <v>105.2</v>
      </c>
      <c r="C499">
        <f t="shared" si="8"/>
        <v>2.5703957827688674E-2</v>
      </c>
    </row>
    <row r="500" spans="1:3" x14ac:dyDescent="0.3">
      <c r="A500" s="4">
        <v>0.69527777777777777</v>
      </c>
      <c r="B500">
        <v>87.7</v>
      </c>
      <c r="C500">
        <f t="shared" si="8"/>
        <v>4.5708818961487586E-4</v>
      </c>
    </row>
    <row r="501" spans="1:3" x14ac:dyDescent="0.3">
      <c r="A501" s="4">
        <v>0.69562500000000005</v>
      </c>
      <c r="B501">
        <v>81.8</v>
      </c>
      <c r="C501">
        <f t="shared" si="8"/>
        <v>1.1748975549395299E-4</v>
      </c>
    </row>
    <row r="502" spans="1:3" x14ac:dyDescent="0.3">
      <c r="A502" s="4">
        <v>0.69597222222222221</v>
      </c>
      <c r="B502">
        <v>77.7</v>
      </c>
      <c r="C502">
        <f t="shared" si="8"/>
        <v>4.570881896148753E-5</v>
      </c>
    </row>
    <row r="503" spans="1:3" x14ac:dyDescent="0.3">
      <c r="A503" s="4">
        <v>0.69631944444444449</v>
      </c>
      <c r="B503">
        <v>73.900000000000006</v>
      </c>
      <c r="C503">
        <f t="shared" si="8"/>
        <v>1.9054607179632518E-5</v>
      </c>
    </row>
    <row r="504" spans="1:3" x14ac:dyDescent="0.3">
      <c r="A504" s="4">
        <v>0.69666666666666666</v>
      </c>
      <c r="B504">
        <v>70.599999999999994</v>
      </c>
      <c r="C504">
        <f t="shared" si="8"/>
        <v>8.9125093813374425E-6</v>
      </c>
    </row>
    <row r="505" spans="1:3" x14ac:dyDescent="0.3">
      <c r="A505" s="4">
        <v>0.69701388888888893</v>
      </c>
      <c r="B505">
        <v>67.599999999999994</v>
      </c>
      <c r="C505">
        <f t="shared" si="8"/>
        <v>4.4668359215096296E-6</v>
      </c>
    </row>
    <row r="506" spans="1:3" x14ac:dyDescent="0.3">
      <c r="A506" s="4">
        <v>0.6973611111111111</v>
      </c>
      <c r="B506">
        <v>65.099999999999994</v>
      </c>
      <c r="C506">
        <f t="shared" si="8"/>
        <v>2.5118864315095806E-6</v>
      </c>
    </row>
    <row r="507" spans="1:3" x14ac:dyDescent="0.3">
      <c r="A507" s="4">
        <v>0.69770833333333337</v>
      </c>
      <c r="B507">
        <v>62.9</v>
      </c>
      <c r="C507">
        <f t="shared" si="8"/>
        <v>1.5135612484362091E-6</v>
      </c>
    </row>
    <row r="508" spans="1:3" x14ac:dyDescent="0.3">
      <c r="A508" s="4">
        <v>0.69805555555555554</v>
      </c>
      <c r="B508">
        <v>61</v>
      </c>
      <c r="C508">
        <f t="shared" si="8"/>
        <v>9.7723722095580961E-7</v>
      </c>
    </row>
    <row r="509" spans="1:3" x14ac:dyDescent="0.3">
      <c r="A509" s="4">
        <v>0.69840277777777782</v>
      </c>
      <c r="B509">
        <v>59.3</v>
      </c>
      <c r="C509">
        <f t="shared" si="8"/>
        <v>6.6069344800759506E-7</v>
      </c>
    </row>
    <row r="510" spans="1:3" x14ac:dyDescent="0.3">
      <c r="A510" s="4">
        <v>0.69874999999999998</v>
      </c>
      <c r="B510">
        <v>57.6</v>
      </c>
      <c r="C510">
        <f t="shared" si="8"/>
        <v>4.4668359215096327E-7</v>
      </c>
    </row>
    <row r="511" spans="1:3" x14ac:dyDescent="0.3">
      <c r="A511" s="4">
        <v>0.69909722222222226</v>
      </c>
      <c r="B511">
        <v>56.2</v>
      </c>
      <c r="C511">
        <f t="shared" si="8"/>
        <v>3.2359365692962822E-7</v>
      </c>
    </row>
    <row r="512" spans="1:3" x14ac:dyDescent="0.3">
      <c r="A512" s="4">
        <v>0.69944444444444442</v>
      </c>
      <c r="B512">
        <v>55</v>
      </c>
      <c r="C512">
        <f t="shared" si="8"/>
        <v>2.4547089156850283E-7</v>
      </c>
    </row>
    <row r="513" spans="1:3" x14ac:dyDescent="0.3">
      <c r="A513" s="4">
        <v>0.6997916666666667</v>
      </c>
      <c r="B513">
        <v>53.8</v>
      </c>
      <c r="C513">
        <f t="shared" si="8"/>
        <v>1.8620871366628682E-7</v>
      </c>
    </row>
    <row r="514" spans="1:3" x14ac:dyDescent="0.3">
      <c r="A514" s="4">
        <v>0.70013888888888887</v>
      </c>
      <c r="B514">
        <v>53.1</v>
      </c>
      <c r="C514">
        <f t="shared" si="8"/>
        <v>1.5848931924611122E-7</v>
      </c>
    </row>
    <row r="515" spans="1:3" x14ac:dyDescent="0.3">
      <c r="A515" s="4">
        <v>0.70048611111111114</v>
      </c>
      <c r="B515">
        <v>52.7</v>
      </c>
      <c r="C515">
        <f t="shared" si="8"/>
        <v>1.4454397707459295E-7</v>
      </c>
    </row>
    <row r="516" spans="1:3" x14ac:dyDescent="0.3">
      <c r="A516" s="4">
        <v>0.70083333333333331</v>
      </c>
      <c r="B516">
        <v>52.3</v>
      </c>
      <c r="C516">
        <f t="shared" si="8"/>
        <v>1.3182567385564048E-7</v>
      </c>
    </row>
    <row r="517" spans="1:3" x14ac:dyDescent="0.3">
      <c r="A517" s="4">
        <v>0.70118055555555558</v>
      </c>
      <c r="B517">
        <v>50.1</v>
      </c>
      <c r="C517">
        <f t="shared" si="8"/>
        <v>7.943282347242818E-8</v>
      </c>
    </row>
    <row r="518" spans="1:3" x14ac:dyDescent="0.3">
      <c r="A518" s="4">
        <v>0.70152777777777775</v>
      </c>
      <c r="B518">
        <v>49.2</v>
      </c>
      <c r="C518">
        <f t="shared" si="8"/>
        <v>6.4565422903465636E-8</v>
      </c>
    </row>
    <row r="519" spans="1:3" x14ac:dyDescent="0.3">
      <c r="A519" s="4">
        <v>0.70187500000000003</v>
      </c>
      <c r="B519">
        <v>48.7</v>
      </c>
      <c r="C519">
        <f t="shared" si="8"/>
        <v>5.7543993733715791E-8</v>
      </c>
    </row>
    <row r="520" spans="1:3" x14ac:dyDescent="0.3">
      <c r="A520" s="4">
        <v>0.70222222222222219</v>
      </c>
      <c r="B520">
        <v>47.9</v>
      </c>
      <c r="C520">
        <f t="shared" si="8"/>
        <v>4.7863009232263948E-8</v>
      </c>
    </row>
    <row r="521" spans="1:3" x14ac:dyDescent="0.3">
      <c r="A521" s="4">
        <v>0.70256944444444447</v>
      </c>
      <c r="B521">
        <v>47.3</v>
      </c>
      <c r="C521">
        <f t="shared" si="8"/>
        <v>4.1686938347033516E-8</v>
      </c>
    </row>
    <row r="522" spans="1:3" x14ac:dyDescent="0.3">
      <c r="A522" s="4">
        <v>0.70291666666666663</v>
      </c>
      <c r="B522">
        <v>46.7</v>
      </c>
      <c r="C522">
        <f t="shared" si="8"/>
        <v>3.6307805477010135E-8</v>
      </c>
    </row>
    <row r="523" spans="1:3" x14ac:dyDescent="0.3">
      <c r="A523" s="4">
        <v>0.70326388888888891</v>
      </c>
      <c r="B523">
        <v>46.2</v>
      </c>
      <c r="C523">
        <f t="shared" si="8"/>
        <v>3.2359365692962842E-8</v>
      </c>
    </row>
    <row r="524" spans="1:3" x14ac:dyDescent="0.3">
      <c r="A524" s="4">
        <v>0.70361111111111108</v>
      </c>
      <c r="B524">
        <v>45.7</v>
      </c>
      <c r="C524">
        <f t="shared" si="8"/>
        <v>2.884031503126609E-8</v>
      </c>
    </row>
    <row r="525" spans="1:3" x14ac:dyDescent="0.3">
      <c r="A525" s="4">
        <v>0.70395833333333335</v>
      </c>
      <c r="B525">
        <v>45.3</v>
      </c>
      <c r="C525">
        <f t="shared" si="8"/>
        <v>2.6302679918953758E-8</v>
      </c>
    </row>
    <row r="526" spans="1:3" x14ac:dyDescent="0.3">
      <c r="A526" s="4">
        <v>0.70430555555555552</v>
      </c>
      <c r="B526">
        <v>44.9</v>
      </c>
      <c r="C526">
        <f t="shared" si="8"/>
        <v>2.3988329190194944E-8</v>
      </c>
    </row>
    <row r="527" spans="1:3" x14ac:dyDescent="0.3">
      <c r="A527" s="4">
        <v>0.70465277777777779</v>
      </c>
      <c r="B527">
        <v>44.9</v>
      </c>
      <c r="C527">
        <f t="shared" si="8"/>
        <v>2.3988329190194944E-8</v>
      </c>
    </row>
    <row r="528" spans="1:3" x14ac:dyDescent="0.3">
      <c r="A528" s="4">
        <v>0.70499999999999996</v>
      </c>
      <c r="B528">
        <v>44.8</v>
      </c>
      <c r="C528">
        <f t="shared" si="8"/>
        <v>2.3442288153199181E-8</v>
      </c>
    </row>
    <row r="529" spans="1:3" x14ac:dyDescent="0.3">
      <c r="A529" s="4">
        <v>0.70534722222222224</v>
      </c>
      <c r="B529">
        <v>44.7</v>
      </c>
      <c r="C529">
        <f t="shared" si="8"/>
        <v>2.2908676527677776E-8</v>
      </c>
    </row>
    <row r="530" spans="1:3" x14ac:dyDescent="0.3">
      <c r="A530" s="4">
        <v>0.7056944444444444</v>
      </c>
      <c r="B530">
        <v>44.7</v>
      </c>
      <c r="C530">
        <f t="shared" si="8"/>
        <v>2.2908676527677776E-8</v>
      </c>
    </row>
    <row r="531" spans="1:3" x14ac:dyDescent="0.3">
      <c r="A531" s="4">
        <v>0.70604166666666668</v>
      </c>
      <c r="B531">
        <v>44.7</v>
      </c>
      <c r="C531">
        <f t="shared" si="8"/>
        <v>2.2908676527677776E-8</v>
      </c>
    </row>
    <row r="532" spans="1:3" x14ac:dyDescent="0.3">
      <c r="A532" s="4">
        <v>0.70638888888888884</v>
      </c>
      <c r="B532">
        <v>44.8</v>
      </c>
      <c r="C532">
        <f t="shared" si="8"/>
        <v>2.3442288153199181E-8</v>
      </c>
    </row>
    <row r="533" spans="1:3" x14ac:dyDescent="0.3">
      <c r="A533" s="4">
        <v>0.70673611111111112</v>
      </c>
      <c r="B533">
        <v>45</v>
      </c>
      <c r="C533">
        <f t="shared" si="8"/>
        <v>2.4547089156850259E-8</v>
      </c>
    </row>
    <row r="534" spans="1:3" x14ac:dyDescent="0.3">
      <c r="A534" s="4">
        <v>0.70708333333333329</v>
      </c>
      <c r="B534">
        <v>45.1</v>
      </c>
      <c r="C534">
        <f t="shared" si="8"/>
        <v>2.5118864315095751E-8</v>
      </c>
    </row>
    <row r="535" spans="1:3" x14ac:dyDescent="0.3">
      <c r="A535" s="4">
        <v>0.70743055555555556</v>
      </c>
      <c r="B535">
        <v>45.1</v>
      </c>
      <c r="C535">
        <f t="shared" si="8"/>
        <v>2.5118864315095751E-8</v>
      </c>
    </row>
    <row r="536" spans="1:3" x14ac:dyDescent="0.3">
      <c r="A536" s="4">
        <v>0.70777777777777773</v>
      </c>
      <c r="B536">
        <v>45.1</v>
      </c>
      <c r="C536">
        <f t="shared" si="8"/>
        <v>2.5118864315095751E-8</v>
      </c>
    </row>
    <row r="537" spans="1:3" x14ac:dyDescent="0.3">
      <c r="A537" s="4">
        <v>0.708125</v>
      </c>
      <c r="B537">
        <v>45</v>
      </c>
      <c r="C537">
        <f t="shared" si="8"/>
        <v>2.4547089156850259E-8</v>
      </c>
    </row>
    <row r="538" spans="1:3" x14ac:dyDescent="0.3">
      <c r="A538" s="2" t="s">
        <v>61</v>
      </c>
      <c r="C538">
        <f>SUM(C416:C537)</f>
        <v>44.959743063318534</v>
      </c>
    </row>
    <row r="540" spans="1:3" x14ac:dyDescent="0.3">
      <c r="A540" s="2" t="s">
        <v>62</v>
      </c>
      <c r="C540">
        <f>30/60*C538</f>
        <v>22.479871531659267</v>
      </c>
    </row>
    <row r="542" spans="1:3" x14ac:dyDescent="0.3">
      <c r="A542" s="2" t="s">
        <v>66</v>
      </c>
    </row>
    <row r="543" spans="1:3" x14ac:dyDescent="0.3">
      <c r="A543" s="2" t="s">
        <v>58</v>
      </c>
      <c r="B543" s="2" t="s">
        <v>59</v>
      </c>
      <c r="C543" s="2" t="s">
        <v>60</v>
      </c>
    </row>
    <row r="544" spans="1:3" x14ac:dyDescent="0.3">
      <c r="A544" s="4">
        <v>0.69695601851851852</v>
      </c>
      <c r="B544">
        <v>36.9</v>
      </c>
      <c r="C544">
        <f>10^((B544-121.1)/10)</f>
        <v>3.8018939632056208E-9</v>
      </c>
    </row>
    <row r="545" spans="1:3" x14ac:dyDescent="0.3">
      <c r="A545" s="4">
        <v>0.69729166666666664</v>
      </c>
      <c r="B545">
        <v>36.4</v>
      </c>
      <c r="C545">
        <f t="shared" ref="C545:C608" si="9">10^((B545-121.1)/10)</f>
        <v>3.3884415613920228E-9</v>
      </c>
    </row>
    <row r="546" spans="1:3" x14ac:dyDescent="0.3">
      <c r="A546" s="4">
        <v>0.69763888888888892</v>
      </c>
      <c r="B546">
        <v>36.4</v>
      </c>
      <c r="C546">
        <f t="shared" si="9"/>
        <v>3.3884415613920228E-9</v>
      </c>
    </row>
    <row r="547" spans="1:3" x14ac:dyDescent="0.3">
      <c r="A547" s="4">
        <v>0.69799768518518523</v>
      </c>
      <c r="B547">
        <v>37.799999999999997</v>
      </c>
      <c r="C547">
        <f t="shared" si="9"/>
        <v>4.6773514128719724E-9</v>
      </c>
    </row>
    <row r="548" spans="1:3" x14ac:dyDescent="0.3">
      <c r="A548" s="4">
        <v>0.69833333333333336</v>
      </c>
      <c r="B548">
        <v>41.6</v>
      </c>
      <c r="C548">
        <f t="shared" si="9"/>
        <v>1.1220184543019609E-8</v>
      </c>
    </row>
    <row r="549" spans="1:3" x14ac:dyDescent="0.3">
      <c r="A549" s="4">
        <v>0.69868055555555553</v>
      </c>
      <c r="B549">
        <v>47.3</v>
      </c>
      <c r="C549">
        <f t="shared" si="9"/>
        <v>4.1686938347033516E-8</v>
      </c>
    </row>
    <row r="550" spans="1:3" x14ac:dyDescent="0.3">
      <c r="A550" s="4">
        <v>0.6990277777777778</v>
      </c>
      <c r="B550">
        <v>55.6</v>
      </c>
      <c r="C550">
        <f t="shared" si="9"/>
        <v>2.8183829312644502E-7</v>
      </c>
    </row>
    <row r="551" spans="1:3" x14ac:dyDescent="0.3">
      <c r="A551" s="4">
        <v>0.69937499999999997</v>
      </c>
      <c r="B551">
        <v>66.2</v>
      </c>
      <c r="C551">
        <f t="shared" si="9"/>
        <v>3.2359365692962856E-6</v>
      </c>
    </row>
    <row r="552" spans="1:3" x14ac:dyDescent="0.3">
      <c r="A552" s="4">
        <v>0.69973379629629628</v>
      </c>
      <c r="B552">
        <v>75.3</v>
      </c>
      <c r="C552">
        <f t="shared" si="9"/>
        <v>2.6302679918953804E-5</v>
      </c>
    </row>
    <row r="553" spans="1:3" x14ac:dyDescent="0.3">
      <c r="A553" s="4">
        <v>0.70006944444444441</v>
      </c>
      <c r="B553">
        <v>88</v>
      </c>
      <c r="C553">
        <f t="shared" si="9"/>
        <v>4.8977881936844653E-4</v>
      </c>
    </row>
    <row r="554" spans="1:3" x14ac:dyDescent="0.3">
      <c r="A554" s="4">
        <v>0.70041666666666669</v>
      </c>
      <c r="B554">
        <v>96.3</v>
      </c>
      <c r="C554">
        <f t="shared" si="9"/>
        <v>3.3113112148259126E-3</v>
      </c>
    </row>
    <row r="555" spans="1:3" x14ac:dyDescent="0.3">
      <c r="A555" s="4">
        <v>0.700775462962963</v>
      </c>
      <c r="B555">
        <v>99.8</v>
      </c>
      <c r="C555">
        <f t="shared" si="9"/>
        <v>7.4131024130091741E-3</v>
      </c>
    </row>
    <row r="556" spans="1:3" x14ac:dyDescent="0.3">
      <c r="A556" s="4">
        <v>0.70111111111111113</v>
      </c>
      <c r="B556">
        <v>102</v>
      </c>
      <c r="C556">
        <f t="shared" si="9"/>
        <v>1.230268770812382E-2</v>
      </c>
    </row>
    <row r="557" spans="1:3" x14ac:dyDescent="0.3">
      <c r="A557" s="4">
        <v>0.70145833333333329</v>
      </c>
      <c r="B557">
        <v>103.4</v>
      </c>
      <c r="C557">
        <f t="shared" si="9"/>
        <v>1.6982436524617475E-2</v>
      </c>
    </row>
    <row r="558" spans="1:3" x14ac:dyDescent="0.3">
      <c r="A558" s="4">
        <v>0.70181712962962961</v>
      </c>
      <c r="B558">
        <v>104.4</v>
      </c>
      <c r="C558">
        <f t="shared" si="9"/>
        <v>2.1379620895022367E-2</v>
      </c>
    </row>
    <row r="559" spans="1:3" x14ac:dyDescent="0.3">
      <c r="A559" s="4">
        <v>0.70215277777777774</v>
      </c>
      <c r="B559">
        <v>105.3</v>
      </c>
      <c r="C559">
        <f t="shared" si="9"/>
        <v>2.6302679918953832E-2</v>
      </c>
    </row>
    <row r="560" spans="1:3" x14ac:dyDescent="0.3">
      <c r="A560" s="4">
        <v>0.70251157407407405</v>
      </c>
      <c r="B560">
        <v>106</v>
      </c>
      <c r="C560">
        <f t="shared" si="9"/>
        <v>3.0902954325135939E-2</v>
      </c>
    </row>
    <row r="561" spans="1:3" x14ac:dyDescent="0.3">
      <c r="A561" s="4">
        <v>0.70284722222222218</v>
      </c>
      <c r="B561">
        <v>106.7</v>
      </c>
      <c r="C561">
        <f t="shared" si="9"/>
        <v>3.6307805477010201E-2</v>
      </c>
    </row>
    <row r="562" spans="1:3" x14ac:dyDescent="0.3">
      <c r="A562" s="4">
        <v>0.70320601851851849</v>
      </c>
      <c r="B562">
        <v>107.5</v>
      </c>
      <c r="C562">
        <f t="shared" si="9"/>
        <v>4.3651583224016646E-2</v>
      </c>
    </row>
    <row r="563" spans="1:3" x14ac:dyDescent="0.3">
      <c r="A563" s="4">
        <v>0.70354166666666662</v>
      </c>
      <c r="B563">
        <v>108.1</v>
      </c>
      <c r="C563">
        <f t="shared" si="9"/>
        <v>5.0118723362727206E-2</v>
      </c>
    </row>
    <row r="564" spans="1:3" x14ac:dyDescent="0.3">
      <c r="A564" s="4">
        <v>0.70390046296296294</v>
      </c>
      <c r="B564">
        <v>108.8</v>
      </c>
      <c r="C564">
        <f t="shared" si="9"/>
        <v>5.8884365535558904E-2</v>
      </c>
    </row>
    <row r="565" spans="1:3" x14ac:dyDescent="0.3">
      <c r="A565" s="4">
        <v>0.70423611111111106</v>
      </c>
      <c r="B565">
        <v>109.4</v>
      </c>
      <c r="C565">
        <f t="shared" si="9"/>
        <v>6.7608297539198337E-2</v>
      </c>
    </row>
    <row r="566" spans="1:3" x14ac:dyDescent="0.3">
      <c r="A566" s="4">
        <v>0.70458333333333334</v>
      </c>
      <c r="B566">
        <v>110.1</v>
      </c>
      <c r="C566">
        <f t="shared" si="9"/>
        <v>7.9432823472428096E-2</v>
      </c>
    </row>
    <row r="567" spans="1:3" x14ac:dyDescent="0.3">
      <c r="A567" s="4">
        <v>0.70494212962962965</v>
      </c>
      <c r="B567">
        <v>110.7</v>
      </c>
      <c r="C567">
        <f t="shared" si="9"/>
        <v>9.1201083935591148E-2</v>
      </c>
    </row>
    <row r="568" spans="1:3" x14ac:dyDescent="0.3">
      <c r="A568" s="4">
        <v>0.70527777777777778</v>
      </c>
      <c r="B568">
        <v>111.4</v>
      </c>
      <c r="C568">
        <f t="shared" si="9"/>
        <v>0.10715193052376093</v>
      </c>
    </row>
    <row r="569" spans="1:3" x14ac:dyDescent="0.3">
      <c r="A569" s="4">
        <v>0.7056365740740741</v>
      </c>
      <c r="B569">
        <v>111.3</v>
      </c>
      <c r="C569">
        <f t="shared" si="9"/>
        <v>0.10471285480509</v>
      </c>
    </row>
    <row r="570" spans="1:3" x14ac:dyDescent="0.3">
      <c r="A570" s="4">
        <v>0.70597222222222222</v>
      </c>
      <c r="B570">
        <v>110.2</v>
      </c>
      <c r="C570">
        <f t="shared" si="9"/>
        <v>8.1283051616410043E-2</v>
      </c>
    </row>
    <row r="571" spans="1:3" x14ac:dyDescent="0.3">
      <c r="A571" s="4">
        <v>0.7063194444444445</v>
      </c>
      <c r="B571">
        <v>111.7</v>
      </c>
      <c r="C571">
        <f t="shared" si="9"/>
        <v>0.11481536214968847</v>
      </c>
    </row>
    <row r="572" spans="1:3" x14ac:dyDescent="0.3">
      <c r="A572" s="4">
        <v>0.7066782407407407</v>
      </c>
      <c r="B572">
        <v>112.9</v>
      </c>
      <c r="C572">
        <f t="shared" si="9"/>
        <v>0.15135612484362121</v>
      </c>
    </row>
    <row r="573" spans="1:3" x14ac:dyDescent="0.3">
      <c r="A573" s="4">
        <v>0.70702546296296298</v>
      </c>
      <c r="B573">
        <v>112.1</v>
      </c>
      <c r="C573">
        <f t="shared" si="9"/>
        <v>0.12589254117941667</v>
      </c>
    </row>
    <row r="574" spans="1:3" x14ac:dyDescent="0.3">
      <c r="A574" s="4">
        <v>0.70736111111111111</v>
      </c>
      <c r="B574">
        <v>111.6</v>
      </c>
      <c r="C574">
        <f t="shared" si="9"/>
        <v>0.11220184543019632</v>
      </c>
    </row>
    <row r="575" spans="1:3" x14ac:dyDescent="0.3">
      <c r="A575" s="4">
        <v>0.70771990740740742</v>
      </c>
      <c r="B575">
        <v>111</v>
      </c>
      <c r="C575">
        <f t="shared" si="9"/>
        <v>9.7723722095581195E-2</v>
      </c>
    </row>
    <row r="576" spans="1:3" x14ac:dyDescent="0.3">
      <c r="A576" s="4">
        <v>0.70806712962962959</v>
      </c>
      <c r="B576">
        <v>110.4</v>
      </c>
      <c r="C576">
        <f t="shared" si="9"/>
        <v>8.5113803820237838E-2</v>
      </c>
    </row>
    <row r="577" spans="1:3" x14ac:dyDescent="0.3">
      <c r="A577" s="4">
        <v>0.70841435185185186</v>
      </c>
      <c r="B577">
        <v>114.1</v>
      </c>
      <c r="C577">
        <f t="shared" si="9"/>
        <v>0.19952623149688795</v>
      </c>
    </row>
    <row r="578" spans="1:3" x14ac:dyDescent="0.3">
      <c r="A578" s="4">
        <v>0.70874999999999999</v>
      </c>
      <c r="B578">
        <v>114.6</v>
      </c>
      <c r="C578">
        <f t="shared" si="9"/>
        <v>0.22387211385683392</v>
      </c>
    </row>
    <row r="579" spans="1:3" x14ac:dyDescent="0.3">
      <c r="A579" s="4">
        <v>0.70910879629629631</v>
      </c>
      <c r="B579">
        <v>113.8</v>
      </c>
      <c r="C579">
        <f t="shared" si="9"/>
        <v>0.1862087136662868</v>
      </c>
    </row>
    <row r="580" spans="1:3" x14ac:dyDescent="0.3">
      <c r="A580" s="4">
        <v>0.70944444444444443</v>
      </c>
      <c r="B580">
        <v>113.2</v>
      </c>
      <c r="C580">
        <f t="shared" si="9"/>
        <v>0.16218100973589328</v>
      </c>
    </row>
    <row r="581" spans="1:3" x14ac:dyDescent="0.3">
      <c r="A581" s="4">
        <v>0.70980324074074075</v>
      </c>
      <c r="B581">
        <v>112.7</v>
      </c>
      <c r="C581">
        <f t="shared" si="9"/>
        <v>0.14454397707459299</v>
      </c>
    </row>
    <row r="582" spans="1:3" x14ac:dyDescent="0.3">
      <c r="A582" s="4">
        <v>0.71013888888888888</v>
      </c>
      <c r="B582">
        <v>110.8</v>
      </c>
      <c r="C582">
        <f t="shared" si="9"/>
        <v>9.3325430079699109E-2</v>
      </c>
    </row>
    <row r="583" spans="1:3" x14ac:dyDescent="0.3">
      <c r="A583" s="4">
        <v>0.71049768518518519</v>
      </c>
      <c r="B583">
        <v>111</v>
      </c>
      <c r="C583">
        <f t="shared" si="9"/>
        <v>9.7723722095581195E-2</v>
      </c>
    </row>
    <row r="584" spans="1:3" x14ac:dyDescent="0.3">
      <c r="A584" s="4">
        <v>0.71084490740740736</v>
      </c>
      <c r="B584">
        <v>116.8</v>
      </c>
      <c r="C584">
        <f t="shared" si="9"/>
        <v>0.37153522909717274</v>
      </c>
    </row>
    <row r="585" spans="1:3" x14ac:dyDescent="0.3">
      <c r="A585" s="4">
        <v>0.71119212962962963</v>
      </c>
      <c r="B585">
        <v>117</v>
      </c>
      <c r="C585">
        <f t="shared" si="9"/>
        <v>0.38904514499428111</v>
      </c>
    </row>
    <row r="586" spans="1:3" x14ac:dyDescent="0.3">
      <c r="A586" s="4">
        <v>0.7115393518518518</v>
      </c>
      <c r="B586">
        <v>116.5</v>
      </c>
      <c r="C586">
        <f t="shared" si="9"/>
        <v>0.34673685045253205</v>
      </c>
    </row>
    <row r="587" spans="1:3" x14ac:dyDescent="0.3">
      <c r="A587" s="4">
        <v>0.71188657407407407</v>
      </c>
      <c r="B587">
        <v>115.8</v>
      </c>
      <c r="C587">
        <f t="shared" si="9"/>
        <v>0.29512092266663875</v>
      </c>
    </row>
    <row r="588" spans="1:3" x14ac:dyDescent="0.3">
      <c r="A588" s="4">
        <v>0.7122222222222222</v>
      </c>
      <c r="B588">
        <v>115.4</v>
      </c>
      <c r="C588">
        <f t="shared" si="9"/>
        <v>0.26915348039269227</v>
      </c>
    </row>
    <row r="589" spans="1:3" x14ac:dyDescent="0.3">
      <c r="A589" s="4">
        <v>0.71256944444444448</v>
      </c>
      <c r="B589">
        <v>105.2</v>
      </c>
      <c r="C589">
        <f t="shared" si="9"/>
        <v>2.5703957827688674E-2</v>
      </c>
    </row>
    <row r="590" spans="1:3" x14ac:dyDescent="0.3">
      <c r="A590" s="4">
        <v>0.71291666666666664</v>
      </c>
      <c r="B590">
        <v>80.8</v>
      </c>
      <c r="C590">
        <f t="shared" si="9"/>
        <v>9.3325430079699222E-5</v>
      </c>
    </row>
    <row r="591" spans="1:3" x14ac:dyDescent="0.3">
      <c r="A591" s="4">
        <v>0.71327546296296296</v>
      </c>
      <c r="B591">
        <v>75</v>
      </c>
      <c r="C591">
        <f t="shared" si="9"/>
        <v>2.4547089156850296E-5</v>
      </c>
    </row>
    <row r="592" spans="1:3" x14ac:dyDescent="0.3">
      <c r="A592" s="4">
        <v>0.71361111111111108</v>
      </c>
      <c r="B592">
        <v>72</v>
      </c>
      <c r="C592">
        <f t="shared" si="9"/>
        <v>1.2302687708123824E-5</v>
      </c>
    </row>
    <row r="593" spans="1:3" x14ac:dyDescent="0.3">
      <c r="A593" s="4">
        <v>0.71395833333333336</v>
      </c>
      <c r="B593">
        <v>68.400000000000006</v>
      </c>
      <c r="C593">
        <f t="shared" si="9"/>
        <v>5.3703179637025402E-6</v>
      </c>
    </row>
    <row r="594" spans="1:3" x14ac:dyDescent="0.3">
      <c r="A594" s="4">
        <v>0.71431712962962968</v>
      </c>
      <c r="B594">
        <v>65.8</v>
      </c>
      <c r="C594">
        <f t="shared" si="9"/>
        <v>2.9512092266663841E-6</v>
      </c>
    </row>
    <row r="595" spans="1:3" x14ac:dyDescent="0.3">
      <c r="A595" s="4">
        <v>0.71466435185185184</v>
      </c>
      <c r="B595">
        <v>64.400000000000006</v>
      </c>
      <c r="C595">
        <f t="shared" si="9"/>
        <v>2.1379620895022339E-6</v>
      </c>
    </row>
    <row r="596" spans="1:3" x14ac:dyDescent="0.3">
      <c r="A596" s="4">
        <v>0.71501157407407412</v>
      </c>
      <c r="B596">
        <v>63.4</v>
      </c>
      <c r="C596">
        <f t="shared" si="9"/>
        <v>1.6982436524617446E-6</v>
      </c>
    </row>
    <row r="597" spans="1:3" x14ac:dyDescent="0.3">
      <c r="A597" s="4">
        <v>0.71535879629629628</v>
      </c>
      <c r="B597">
        <v>62.5</v>
      </c>
      <c r="C597">
        <f t="shared" si="9"/>
        <v>1.3803842646028861E-6</v>
      </c>
    </row>
    <row r="598" spans="1:3" x14ac:dyDescent="0.3">
      <c r="A598" s="4">
        <v>0.71570601851851856</v>
      </c>
      <c r="B598">
        <v>61.8</v>
      </c>
      <c r="C598">
        <f t="shared" si="9"/>
        <v>1.1748975549395291E-6</v>
      </c>
    </row>
    <row r="599" spans="1:3" x14ac:dyDescent="0.3">
      <c r="A599" s="4">
        <v>0.71605324074074073</v>
      </c>
      <c r="B599">
        <v>61.1</v>
      </c>
      <c r="C599">
        <f t="shared" si="9"/>
        <v>1.0000000000000004E-6</v>
      </c>
    </row>
    <row r="600" spans="1:3" x14ac:dyDescent="0.3">
      <c r="A600" s="4">
        <v>0.716400462962963</v>
      </c>
      <c r="B600">
        <v>60.6</v>
      </c>
      <c r="C600">
        <f t="shared" si="9"/>
        <v>8.9125093813374635E-7</v>
      </c>
    </row>
    <row r="601" spans="1:3" x14ac:dyDescent="0.3">
      <c r="A601" s="4">
        <v>0.71674768518518517</v>
      </c>
      <c r="B601">
        <v>60.1</v>
      </c>
      <c r="C601">
        <f t="shared" si="9"/>
        <v>7.9432823472428114E-7</v>
      </c>
    </row>
    <row r="602" spans="1:3" x14ac:dyDescent="0.3">
      <c r="A602" s="4">
        <v>0.71709490740740744</v>
      </c>
      <c r="B602">
        <v>59.7</v>
      </c>
      <c r="C602">
        <f t="shared" si="9"/>
        <v>7.2443596007499143E-7</v>
      </c>
    </row>
    <row r="603" spans="1:3" x14ac:dyDescent="0.3">
      <c r="A603" s="4">
        <v>0.71744212962962961</v>
      </c>
      <c r="B603">
        <v>59.3</v>
      </c>
      <c r="C603">
        <f t="shared" si="9"/>
        <v>6.6069344800759506E-7</v>
      </c>
    </row>
    <row r="604" spans="1:3" x14ac:dyDescent="0.3">
      <c r="A604" s="4">
        <v>0.71778935185185189</v>
      </c>
      <c r="B604">
        <v>58.4</v>
      </c>
      <c r="C604">
        <f t="shared" si="9"/>
        <v>5.3703179637025244E-7</v>
      </c>
    </row>
    <row r="605" spans="1:3" x14ac:dyDescent="0.3">
      <c r="A605" s="4">
        <v>0.71813657407407405</v>
      </c>
      <c r="B605">
        <v>57.5</v>
      </c>
      <c r="C605">
        <f t="shared" si="9"/>
        <v>4.365158322401661E-7</v>
      </c>
    </row>
    <row r="606" spans="1:3" x14ac:dyDescent="0.3">
      <c r="A606" s="4">
        <v>0.71848379629629633</v>
      </c>
      <c r="B606">
        <v>57.1</v>
      </c>
      <c r="C606">
        <f t="shared" si="9"/>
        <v>3.9810717055349682E-7</v>
      </c>
    </row>
    <row r="607" spans="1:3" x14ac:dyDescent="0.3">
      <c r="A607" s="4">
        <v>0.71883101851851849</v>
      </c>
      <c r="B607">
        <v>56.7</v>
      </c>
      <c r="C607">
        <f t="shared" si="9"/>
        <v>3.630780547701011E-7</v>
      </c>
    </row>
    <row r="608" spans="1:3" x14ac:dyDescent="0.3">
      <c r="A608" s="4">
        <v>0.71917824074074077</v>
      </c>
      <c r="B608">
        <v>56.1</v>
      </c>
      <c r="C608">
        <f t="shared" si="9"/>
        <v>3.1622776601683734E-7</v>
      </c>
    </row>
    <row r="609" spans="1:3" x14ac:dyDescent="0.3">
      <c r="A609" s="4">
        <v>0.71952546296296294</v>
      </c>
      <c r="B609">
        <v>54.4</v>
      </c>
      <c r="C609">
        <f t="shared" ref="C609:C633" si="10">10^((B609-121.1)/10)</f>
        <v>2.1379620895022356E-7</v>
      </c>
    </row>
    <row r="610" spans="1:3" x14ac:dyDescent="0.3">
      <c r="A610" s="4">
        <v>0.71987268518518521</v>
      </c>
      <c r="B610">
        <v>52.7</v>
      </c>
      <c r="C610">
        <f t="shared" si="10"/>
        <v>1.4454397707459295E-7</v>
      </c>
    </row>
    <row r="611" spans="1:3" x14ac:dyDescent="0.3">
      <c r="A611" s="4">
        <v>0.72020833333333334</v>
      </c>
      <c r="B611">
        <v>51.4</v>
      </c>
      <c r="C611">
        <f t="shared" si="10"/>
        <v>1.0715193052376092E-7</v>
      </c>
    </row>
    <row r="612" spans="1:3" x14ac:dyDescent="0.3">
      <c r="A612" s="4">
        <v>0.72056712962962965</v>
      </c>
      <c r="B612">
        <v>50.1</v>
      </c>
      <c r="C612">
        <f t="shared" si="10"/>
        <v>7.943282347242818E-8</v>
      </c>
    </row>
    <row r="613" spans="1:3" x14ac:dyDescent="0.3">
      <c r="A613" s="4">
        <v>0.72091435185185182</v>
      </c>
      <c r="B613">
        <v>49.1</v>
      </c>
      <c r="C613">
        <f t="shared" si="10"/>
        <v>6.3095734448019177E-8</v>
      </c>
    </row>
    <row r="614" spans="1:3" x14ac:dyDescent="0.3">
      <c r="A614" s="4">
        <v>0.7212615740740741</v>
      </c>
      <c r="B614">
        <v>48.2</v>
      </c>
      <c r="C614">
        <f t="shared" si="10"/>
        <v>5.1286138399136593E-8</v>
      </c>
    </row>
    <row r="615" spans="1:3" x14ac:dyDescent="0.3">
      <c r="A615" s="4">
        <v>0.72160879629629626</v>
      </c>
      <c r="B615">
        <v>47.4</v>
      </c>
      <c r="C615">
        <f t="shared" si="10"/>
        <v>4.2657951880159239E-8</v>
      </c>
    </row>
    <row r="616" spans="1:3" x14ac:dyDescent="0.3">
      <c r="A616" s="4">
        <v>0.72195601851851854</v>
      </c>
      <c r="B616">
        <v>46.7</v>
      </c>
      <c r="C616">
        <f t="shared" si="10"/>
        <v>3.6307805477010135E-8</v>
      </c>
    </row>
    <row r="617" spans="1:3" x14ac:dyDescent="0.3">
      <c r="A617" s="4">
        <v>0.7223032407407407</v>
      </c>
      <c r="B617">
        <v>46.1</v>
      </c>
      <c r="C617">
        <f t="shared" si="10"/>
        <v>3.1622776601683699E-8</v>
      </c>
    </row>
    <row r="618" spans="1:3" x14ac:dyDescent="0.3">
      <c r="A618" s="4">
        <v>0.72265046296296298</v>
      </c>
      <c r="B618">
        <v>45.5</v>
      </c>
      <c r="C618">
        <f t="shared" si="10"/>
        <v>2.75422870333816E-8</v>
      </c>
    </row>
    <row r="619" spans="1:3" x14ac:dyDescent="0.3">
      <c r="A619" s="4">
        <v>0.72299768518518515</v>
      </c>
      <c r="B619">
        <v>45</v>
      </c>
      <c r="C619">
        <f t="shared" si="10"/>
        <v>2.4547089156850259E-8</v>
      </c>
    </row>
    <row r="620" spans="1:3" x14ac:dyDescent="0.3">
      <c r="A620" s="4">
        <v>0.72334490740740742</v>
      </c>
      <c r="B620">
        <v>44.8</v>
      </c>
      <c r="C620">
        <f t="shared" si="10"/>
        <v>2.3442288153199181E-8</v>
      </c>
    </row>
    <row r="621" spans="1:3" x14ac:dyDescent="0.3">
      <c r="A621" s="4">
        <v>0.72369212962962959</v>
      </c>
      <c r="B621">
        <v>44.7</v>
      </c>
      <c r="C621">
        <f t="shared" si="10"/>
        <v>2.2908676527677776E-8</v>
      </c>
    </row>
    <row r="622" spans="1:3" x14ac:dyDescent="0.3">
      <c r="A622" s="4">
        <v>0.72403935185185186</v>
      </c>
      <c r="B622">
        <v>44.6</v>
      </c>
      <c r="C622">
        <f t="shared" si="10"/>
        <v>2.2387211385683365E-8</v>
      </c>
    </row>
    <row r="623" spans="1:3" x14ac:dyDescent="0.3">
      <c r="A623" s="4">
        <v>0.72438657407407403</v>
      </c>
      <c r="B623">
        <v>44.5</v>
      </c>
      <c r="C623">
        <f t="shared" si="10"/>
        <v>2.1877616239495494E-8</v>
      </c>
    </row>
    <row r="624" spans="1:3" x14ac:dyDescent="0.3">
      <c r="A624" s="4">
        <v>0.72473379629629631</v>
      </c>
      <c r="B624">
        <v>44.5</v>
      </c>
      <c r="C624">
        <f t="shared" si="10"/>
        <v>2.1877616239495494E-8</v>
      </c>
    </row>
    <row r="625" spans="1:3" x14ac:dyDescent="0.3">
      <c r="A625" s="4">
        <v>0.72508101851851847</v>
      </c>
      <c r="B625">
        <v>44.5</v>
      </c>
      <c r="C625">
        <f t="shared" si="10"/>
        <v>2.1877616239495494E-8</v>
      </c>
    </row>
    <row r="626" spans="1:3" x14ac:dyDescent="0.3">
      <c r="A626" s="4">
        <v>0.72542824074074075</v>
      </c>
      <c r="B626">
        <v>44.5</v>
      </c>
      <c r="C626">
        <f t="shared" si="10"/>
        <v>2.1877616239495494E-8</v>
      </c>
    </row>
    <row r="627" spans="1:3" x14ac:dyDescent="0.3">
      <c r="A627" s="4">
        <v>0.72577546296296291</v>
      </c>
      <c r="B627">
        <v>44.7</v>
      </c>
      <c r="C627">
        <f t="shared" si="10"/>
        <v>2.2908676527677776E-8</v>
      </c>
    </row>
    <row r="628" spans="1:3" x14ac:dyDescent="0.3">
      <c r="A628" s="4">
        <v>0.72612268518518519</v>
      </c>
      <c r="B628">
        <v>44.8</v>
      </c>
      <c r="C628">
        <f t="shared" si="10"/>
        <v>2.3442288153199181E-8</v>
      </c>
    </row>
    <row r="629" spans="1:3" x14ac:dyDescent="0.3">
      <c r="A629" s="4">
        <v>0.72646990740740736</v>
      </c>
      <c r="B629">
        <v>44.8</v>
      </c>
      <c r="C629">
        <f t="shared" si="10"/>
        <v>2.3442288153199181E-8</v>
      </c>
    </row>
    <row r="630" spans="1:3" x14ac:dyDescent="0.3">
      <c r="A630" s="4">
        <v>0.72681712962962963</v>
      </c>
      <c r="B630">
        <v>44.8</v>
      </c>
      <c r="C630">
        <f t="shared" si="10"/>
        <v>2.3442288153199181E-8</v>
      </c>
    </row>
    <row r="631" spans="1:3" x14ac:dyDescent="0.3">
      <c r="A631" s="4">
        <v>0.72715277777777776</v>
      </c>
      <c r="B631">
        <v>44.8</v>
      </c>
      <c r="C631">
        <f t="shared" si="10"/>
        <v>2.3442288153199181E-8</v>
      </c>
    </row>
    <row r="632" spans="1:3" x14ac:dyDescent="0.3">
      <c r="A632" s="4">
        <v>0.72751157407407407</v>
      </c>
      <c r="B632">
        <v>44.8</v>
      </c>
      <c r="C632">
        <f t="shared" si="10"/>
        <v>2.3442288153199181E-8</v>
      </c>
    </row>
    <row r="633" spans="1:3" x14ac:dyDescent="0.3">
      <c r="A633" s="4">
        <v>0.72785879629629635</v>
      </c>
      <c r="B633">
        <v>44.8</v>
      </c>
      <c r="C633">
        <f t="shared" si="10"/>
        <v>2.3442288153199181E-8</v>
      </c>
    </row>
    <row r="634" spans="1:3" x14ac:dyDescent="0.3">
      <c r="A634" s="2" t="s">
        <v>61</v>
      </c>
      <c r="C634">
        <f>SUM(C544:C633)</f>
        <v>4.3313993145710681</v>
      </c>
    </row>
    <row r="636" spans="1:3" x14ac:dyDescent="0.3">
      <c r="A636" s="2" t="s">
        <v>62</v>
      </c>
      <c r="C636">
        <f>30/60*C634</f>
        <v>2.165699657285534</v>
      </c>
    </row>
    <row r="638" spans="1:3" x14ac:dyDescent="0.3">
      <c r="A638" s="2" t="s">
        <v>67</v>
      </c>
    </row>
    <row r="639" spans="1:3" x14ac:dyDescent="0.3">
      <c r="A639" s="2" t="s">
        <v>58</v>
      </c>
      <c r="B639" s="2" t="s">
        <v>59</v>
      </c>
      <c r="C639" s="2" t="s">
        <v>60</v>
      </c>
    </row>
    <row r="640" spans="1:3" x14ac:dyDescent="0.3">
      <c r="A640" s="4">
        <v>0.71103009259259264</v>
      </c>
      <c r="B640">
        <v>36.299999999999997</v>
      </c>
      <c r="C640">
        <f>10^((B640-121.1)/10)</f>
        <v>3.3113112148258966E-9</v>
      </c>
    </row>
    <row r="641" spans="1:3" x14ac:dyDescent="0.3">
      <c r="A641" s="4">
        <v>0.71136574074074077</v>
      </c>
      <c r="B641">
        <v>36.299999999999997</v>
      </c>
      <c r="C641">
        <f t="shared" ref="C641:C704" si="11">10^((B641-121.1)/10)</f>
        <v>3.3113112148258966E-9</v>
      </c>
    </row>
    <row r="642" spans="1:3" x14ac:dyDescent="0.3">
      <c r="A642" s="4">
        <v>0.71172453703703709</v>
      </c>
      <c r="B642">
        <v>36.200000000000003</v>
      </c>
      <c r="C642">
        <f t="shared" si="11"/>
        <v>3.2359365692962919E-9</v>
      </c>
    </row>
    <row r="643" spans="1:3" x14ac:dyDescent="0.3">
      <c r="A643" s="4">
        <v>0.71206018518518521</v>
      </c>
      <c r="B643">
        <v>36.1</v>
      </c>
      <c r="C643">
        <f t="shared" si="11"/>
        <v>3.1622776601683779E-9</v>
      </c>
    </row>
    <row r="644" spans="1:3" x14ac:dyDescent="0.3">
      <c r="A644" s="4">
        <v>0.71240740740740738</v>
      </c>
      <c r="B644">
        <v>36.1</v>
      </c>
      <c r="C644">
        <f t="shared" si="11"/>
        <v>3.1622776601683779E-9</v>
      </c>
    </row>
    <row r="645" spans="1:3" x14ac:dyDescent="0.3">
      <c r="A645" s="4">
        <v>0.71275462962962965</v>
      </c>
      <c r="B645">
        <v>36.200000000000003</v>
      </c>
      <c r="C645">
        <f t="shared" si="11"/>
        <v>3.2359365692962919E-9</v>
      </c>
    </row>
    <row r="646" spans="1:3" x14ac:dyDescent="0.3">
      <c r="A646" s="4">
        <v>0.71310185185185182</v>
      </c>
      <c r="B646">
        <v>36.299999999999997</v>
      </c>
      <c r="C646">
        <f t="shared" si="11"/>
        <v>3.3113112148258966E-9</v>
      </c>
    </row>
    <row r="647" spans="1:3" x14ac:dyDescent="0.3">
      <c r="A647" s="4">
        <v>0.7134490740740741</v>
      </c>
      <c r="B647">
        <v>36.700000000000003</v>
      </c>
      <c r="C647">
        <f t="shared" si="11"/>
        <v>3.6307805477010094E-9</v>
      </c>
    </row>
    <row r="648" spans="1:3" x14ac:dyDescent="0.3">
      <c r="A648" s="4">
        <v>0.71380787037037041</v>
      </c>
      <c r="B648">
        <v>38.9</v>
      </c>
      <c r="C648">
        <f t="shared" si="11"/>
        <v>6.0255958607435797E-9</v>
      </c>
    </row>
    <row r="649" spans="1:3" x14ac:dyDescent="0.3">
      <c r="A649" s="4">
        <v>0.71415509259259258</v>
      </c>
      <c r="B649">
        <v>43.9</v>
      </c>
      <c r="C649">
        <f t="shared" si="11"/>
        <v>1.9054607179632522E-8</v>
      </c>
    </row>
    <row r="650" spans="1:3" x14ac:dyDescent="0.3">
      <c r="A650" s="4">
        <v>0.71450231481481485</v>
      </c>
      <c r="B650">
        <v>52.6</v>
      </c>
      <c r="C650">
        <f t="shared" si="11"/>
        <v>1.4125375446227539E-7</v>
      </c>
    </row>
    <row r="651" spans="1:3" x14ac:dyDescent="0.3">
      <c r="A651" s="4">
        <v>0.71484953703703702</v>
      </c>
      <c r="B651">
        <v>60.1</v>
      </c>
      <c r="C651">
        <f t="shared" si="11"/>
        <v>7.9432823472428114E-7</v>
      </c>
    </row>
    <row r="652" spans="1:3" x14ac:dyDescent="0.3">
      <c r="A652" s="4">
        <v>0.71518518518518515</v>
      </c>
      <c r="B652">
        <v>74.599999999999994</v>
      </c>
      <c r="C652">
        <f t="shared" si="11"/>
        <v>2.2387211385683359E-5</v>
      </c>
    </row>
    <row r="653" spans="1:3" x14ac:dyDescent="0.3">
      <c r="A653" s="4">
        <v>0.71553240740740742</v>
      </c>
      <c r="B653">
        <v>90.3</v>
      </c>
      <c r="C653">
        <f t="shared" si="11"/>
        <v>8.317637711026712E-4</v>
      </c>
    </row>
    <row r="654" spans="1:3" x14ac:dyDescent="0.3">
      <c r="A654" s="4">
        <v>0.71587962962962959</v>
      </c>
      <c r="B654">
        <v>97.1</v>
      </c>
      <c r="C654">
        <f t="shared" si="11"/>
        <v>3.9810717055349717E-3</v>
      </c>
    </row>
    <row r="655" spans="1:3" x14ac:dyDescent="0.3">
      <c r="A655" s="4">
        <v>0.71622685185185186</v>
      </c>
      <c r="B655">
        <v>100.3</v>
      </c>
      <c r="C655">
        <f t="shared" si="11"/>
        <v>8.3176377110267125E-3</v>
      </c>
    </row>
    <row r="656" spans="1:3" x14ac:dyDescent="0.3">
      <c r="A656" s="4">
        <v>0.71657407407407403</v>
      </c>
      <c r="B656">
        <v>102.2</v>
      </c>
      <c r="C656">
        <f t="shared" si="11"/>
        <v>1.2882495516931356E-2</v>
      </c>
    </row>
    <row r="657" spans="1:3" x14ac:dyDescent="0.3">
      <c r="A657" s="4">
        <v>0.71692129629629631</v>
      </c>
      <c r="B657">
        <v>103.6</v>
      </c>
      <c r="C657">
        <f t="shared" si="11"/>
        <v>1.7782794100389226E-2</v>
      </c>
    </row>
    <row r="658" spans="1:3" x14ac:dyDescent="0.3">
      <c r="A658" s="4">
        <v>0.71726851851851847</v>
      </c>
      <c r="B658">
        <v>104.7</v>
      </c>
      <c r="C658">
        <f t="shared" si="11"/>
        <v>2.2908676527677762E-2</v>
      </c>
    </row>
    <row r="659" spans="1:3" x14ac:dyDescent="0.3">
      <c r="A659" s="4">
        <v>0.71761574074074075</v>
      </c>
      <c r="B659">
        <v>105.7</v>
      </c>
      <c r="C659">
        <f t="shared" si="11"/>
        <v>2.8840315031266113E-2</v>
      </c>
    </row>
    <row r="660" spans="1:3" x14ac:dyDescent="0.3">
      <c r="A660" s="4">
        <v>0.71797453703703706</v>
      </c>
      <c r="B660">
        <v>106.2</v>
      </c>
      <c r="C660">
        <f t="shared" si="11"/>
        <v>3.2359365692962883E-2</v>
      </c>
    </row>
    <row r="661" spans="1:3" x14ac:dyDescent="0.3">
      <c r="A661" s="4">
        <v>0.71831018518518519</v>
      </c>
      <c r="B661">
        <v>101.4</v>
      </c>
      <c r="C661">
        <f t="shared" si="11"/>
        <v>1.0715193052376086E-2</v>
      </c>
    </row>
    <row r="662" spans="1:3" x14ac:dyDescent="0.3">
      <c r="A662" s="4">
        <v>0.71865740740740736</v>
      </c>
      <c r="B662">
        <v>103.2</v>
      </c>
      <c r="C662">
        <f t="shared" si="11"/>
        <v>1.6218100973589333E-2</v>
      </c>
    </row>
    <row r="663" spans="1:3" x14ac:dyDescent="0.3">
      <c r="A663" s="4">
        <v>0.71900462962962963</v>
      </c>
      <c r="B663">
        <v>105.7</v>
      </c>
      <c r="C663">
        <f t="shared" si="11"/>
        <v>2.8840315031266113E-2</v>
      </c>
    </row>
    <row r="664" spans="1:3" x14ac:dyDescent="0.3">
      <c r="A664" s="4">
        <v>0.71936342592592595</v>
      </c>
      <c r="B664">
        <v>107.6</v>
      </c>
      <c r="C664">
        <f t="shared" si="11"/>
        <v>4.4668359215096293E-2</v>
      </c>
    </row>
    <row r="665" spans="1:3" x14ac:dyDescent="0.3">
      <c r="A665" s="4">
        <v>0.71969907407407407</v>
      </c>
      <c r="B665">
        <v>108.8</v>
      </c>
      <c r="C665">
        <f t="shared" si="11"/>
        <v>5.8884365535558904E-2</v>
      </c>
    </row>
    <row r="666" spans="1:3" x14ac:dyDescent="0.3">
      <c r="A666" s="4">
        <v>0.72004629629629635</v>
      </c>
      <c r="B666">
        <v>109.8</v>
      </c>
      <c r="C666">
        <f t="shared" si="11"/>
        <v>7.4131024130091802E-2</v>
      </c>
    </row>
    <row r="667" spans="1:3" x14ac:dyDescent="0.3">
      <c r="A667" s="4">
        <v>0.72040509259259256</v>
      </c>
      <c r="B667">
        <v>110.5</v>
      </c>
      <c r="C667">
        <f t="shared" si="11"/>
        <v>8.7096358995608178E-2</v>
      </c>
    </row>
    <row r="668" spans="1:3" x14ac:dyDescent="0.3">
      <c r="A668" s="4">
        <v>0.72074074074074079</v>
      </c>
      <c r="B668">
        <v>110</v>
      </c>
      <c r="C668">
        <f t="shared" si="11"/>
        <v>7.7624711662869272E-2</v>
      </c>
    </row>
    <row r="669" spans="1:3" x14ac:dyDescent="0.3">
      <c r="A669" s="4">
        <v>0.72108796296296296</v>
      </c>
      <c r="B669">
        <v>101.1</v>
      </c>
      <c r="C669">
        <f t="shared" si="11"/>
        <v>0.01</v>
      </c>
    </row>
    <row r="670" spans="1:3" x14ac:dyDescent="0.3">
      <c r="A670" s="4">
        <v>0.72144675925925927</v>
      </c>
      <c r="B670">
        <v>98</v>
      </c>
      <c r="C670">
        <f t="shared" si="11"/>
        <v>4.8977881936844653E-3</v>
      </c>
    </row>
    <row r="671" spans="1:3" x14ac:dyDescent="0.3">
      <c r="A671" s="4">
        <v>0.72179398148148144</v>
      </c>
      <c r="B671">
        <v>99.6</v>
      </c>
      <c r="C671">
        <f t="shared" si="11"/>
        <v>7.0794578438413795E-3</v>
      </c>
    </row>
    <row r="672" spans="1:3" x14ac:dyDescent="0.3">
      <c r="A672" s="4">
        <v>0.72214120370370372</v>
      </c>
      <c r="B672">
        <v>99</v>
      </c>
      <c r="C672">
        <f t="shared" si="11"/>
        <v>6.1659500186148257E-3</v>
      </c>
    </row>
    <row r="673" spans="1:3" x14ac:dyDescent="0.3">
      <c r="A673" s="4">
        <v>0.72247685185185184</v>
      </c>
      <c r="B673">
        <v>98.2</v>
      </c>
      <c r="C673">
        <f t="shared" si="11"/>
        <v>5.1286138399136566E-3</v>
      </c>
    </row>
    <row r="674" spans="1:3" x14ac:dyDescent="0.3">
      <c r="A674" s="4">
        <v>0.72282407407407412</v>
      </c>
      <c r="B674">
        <v>97</v>
      </c>
      <c r="C674">
        <f t="shared" si="11"/>
        <v>3.8904514499428092E-3</v>
      </c>
    </row>
    <row r="675" spans="1:3" x14ac:dyDescent="0.3">
      <c r="A675" s="4">
        <v>0.72317129629629628</v>
      </c>
      <c r="B675">
        <v>95.5</v>
      </c>
      <c r="C675">
        <f t="shared" si="11"/>
        <v>2.7542287033381677E-3</v>
      </c>
    </row>
    <row r="676" spans="1:3" x14ac:dyDescent="0.3">
      <c r="A676" s="4">
        <v>0.7235300925925926</v>
      </c>
      <c r="B676">
        <v>93.1</v>
      </c>
      <c r="C676">
        <f t="shared" si="11"/>
        <v>1.5848931924611134E-3</v>
      </c>
    </row>
    <row r="677" spans="1:3" x14ac:dyDescent="0.3">
      <c r="A677" s="4">
        <v>0.72386574074074073</v>
      </c>
      <c r="B677">
        <v>93</v>
      </c>
      <c r="C677">
        <f t="shared" si="11"/>
        <v>1.5488166189124818E-3</v>
      </c>
    </row>
    <row r="678" spans="1:3" x14ac:dyDescent="0.3">
      <c r="A678" s="4">
        <v>0.72422453703703704</v>
      </c>
      <c r="B678">
        <v>89.7</v>
      </c>
      <c r="C678">
        <f t="shared" si="11"/>
        <v>7.2443596007499059E-4</v>
      </c>
    </row>
    <row r="679" spans="1:3" x14ac:dyDescent="0.3">
      <c r="A679" s="4">
        <v>0.72457175925925921</v>
      </c>
      <c r="B679">
        <v>87.9</v>
      </c>
      <c r="C679">
        <f t="shared" si="11"/>
        <v>4.7863009232263908E-4</v>
      </c>
    </row>
    <row r="680" spans="1:3" x14ac:dyDescent="0.3">
      <c r="A680" s="4">
        <v>0.72491898148148148</v>
      </c>
      <c r="B680">
        <v>87.6</v>
      </c>
      <c r="C680">
        <f t="shared" si="11"/>
        <v>4.4668359215096267E-4</v>
      </c>
    </row>
    <row r="681" spans="1:3" x14ac:dyDescent="0.3">
      <c r="A681" s="4">
        <v>0.72526620370370365</v>
      </c>
      <c r="B681">
        <v>87.2</v>
      </c>
      <c r="C681">
        <f t="shared" si="11"/>
        <v>4.0738027780411331E-4</v>
      </c>
    </row>
    <row r="682" spans="1:3" x14ac:dyDescent="0.3">
      <c r="A682" s="4">
        <v>0.72561342592592593</v>
      </c>
      <c r="B682">
        <v>86.9</v>
      </c>
      <c r="C682">
        <f t="shared" si="11"/>
        <v>3.8018939632056183E-4</v>
      </c>
    </row>
    <row r="683" spans="1:3" x14ac:dyDescent="0.3">
      <c r="A683" s="4">
        <v>0.7259606481481482</v>
      </c>
      <c r="B683">
        <v>87.1</v>
      </c>
      <c r="C683">
        <f t="shared" si="11"/>
        <v>3.9810717055349708E-4</v>
      </c>
    </row>
    <row r="684" spans="1:3" x14ac:dyDescent="0.3">
      <c r="A684" s="4">
        <v>0.72629629629629633</v>
      </c>
      <c r="B684">
        <v>86.6</v>
      </c>
      <c r="C684">
        <f t="shared" si="11"/>
        <v>3.5481338923357516E-4</v>
      </c>
    </row>
    <row r="685" spans="1:3" x14ac:dyDescent="0.3">
      <c r="A685" s="4">
        <v>0.72665509259259264</v>
      </c>
      <c r="B685">
        <v>86.1</v>
      </c>
      <c r="C685">
        <f t="shared" si="11"/>
        <v>3.1622776601683783E-4</v>
      </c>
    </row>
    <row r="686" spans="1:3" x14ac:dyDescent="0.3">
      <c r="A686" s="4">
        <v>0.72700231481481481</v>
      </c>
      <c r="B686">
        <v>85.5</v>
      </c>
      <c r="C686">
        <f t="shared" si="11"/>
        <v>2.7542287033381673E-4</v>
      </c>
    </row>
    <row r="687" spans="1:3" x14ac:dyDescent="0.3">
      <c r="A687" s="4">
        <v>0.72734953703703709</v>
      </c>
      <c r="B687">
        <v>85.2</v>
      </c>
      <c r="C687">
        <f t="shared" si="11"/>
        <v>2.5703957827688696E-4</v>
      </c>
    </row>
    <row r="688" spans="1:3" x14ac:dyDescent="0.3">
      <c r="A688" s="4">
        <v>0.72769675925925925</v>
      </c>
      <c r="B688">
        <v>84.9</v>
      </c>
      <c r="C688">
        <f t="shared" si="11"/>
        <v>2.3988329190194969E-4</v>
      </c>
    </row>
    <row r="689" spans="1:3" x14ac:dyDescent="0.3">
      <c r="A689" s="4">
        <v>0.72804398148148153</v>
      </c>
      <c r="B689">
        <v>84.7</v>
      </c>
      <c r="C689">
        <f t="shared" si="11"/>
        <v>2.2908676527677756E-4</v>
      </c>
    </row>
    <row r="690" spans="1:3" x14ac:dyDescent="0.3">
      <c r="A690" s="4">
        <v>0.72839120370370369</v>
      </c>
      <c r="B690">
        <v>84.7</v>
      </c>
      <c r="C690">
        <f t="shared" si="11"/>
        <v>2.2908676527677756E-4</v>
      </c>
    </row>
    <row r="691" spans="1:3" x14ac:dyDescent="0.3">
      <c r="A691" s="4">
        <v>0.72873842592592597</v>
      </c>
      <c r="B691">
        <v>84.4</v>
      </c>
      <c r="C691">
        <f t="shared" si="11"/>
        <v>2.1379620895022348E-4</v>
      </c>
    </row>
    <row r="692" spans="1:3" x14ac:dyDescent="0.3">
      <c r="A692" s="4">
        <v>0.72908564814814814</v>
      </c>
      <c r="B692">
        <v>84.2</v>
      </c>
      <c r="C692">
        <f t="shared" si="11"/>
        <v>2.0417379446695326E-4</v>
      </c>
    </row>
    <row r="693" spans="1:3" x14ac:dyDescent="0.3">
      <c r="A693" s="4">
        <v>0.72943287037037041</v>
      </c>
      <c r="B693">
        <v>83.3</v>
      </c>
      <c r="C693">
        <f t="shared" si="11"/>
        <v>1.6595869074375585E-4</v>
      </c>
    </row>
    <row r="694" spans="1:3" x14ac:dyDescent="0.3">
      <c r="A694" s="4">
        <v>0.72978009259259258</v>
      </c>
      <c r="B694">
        <v>82.1</v>
      </c>
      <c r="C694">
        <f t="shared" si="11"/>
        <v>1.2589254117941672E-4</v>
      </c>
    </row>
    <row r="695" spans="1:3" x14ac:dyDescent="0.3">
      <c r="A695" s="4">
        <v>0.73012731481481485</v>
      </c>
      <c r="B695">
        <v>81.5</v>
      </c>
      <c r="C695">
        <f t="shared" si="11"/>
        <v>1.0964781961431857E-4</v>
      </c>
    </row>
    <row r="696" spans="1:3" x14ac:dyDescent="0.3">
      <c r="A696" s="4">
        <v>0.73046296296296298</v>
      </c>
      <c r="B696">
        <v>95.1</v>
      </c>
      <c r="C696">
        <f t="shared" si="11"/>
        <v>2.5118864315095777E-3</v>
      </c>
    </row>
    <row r="697" spans="1:3" x14ac:dyDescent="0.3">
      <c r="A697" s="4">
        <v>0.73081018518518515</v>
      </c>
      <c r="B697">
        <v>102.9</v>
      </c>
      <c r="C697">
        <f t="shared" si="11"/>
        <v>1.5135612484362116E-2</v>
      </c>
    </row>
    <row r="698" spans="1:3" x14ac:dyDescent="0.3">
      <c r="A698" s="4">
        <v>0.73116898148148146</v>
      </c>
      <c r="B698">
        <v>106.5</v>
      </c>
      <c r="C698">
        <f t="shared" si="11"/>
        <v>3.4673685045253186E-2</v>
      </c>
    </row>
    <row r="699" spans="1:3" x14ac:dyDescent="0.3">
      <c r="A699" s="4">
        <v>0.73151620370370374</v>
      </c>
      <c r="B699">
        <v>113.3</v>
      </c>
      <c r="C699">
        <f t="shared" si="11"/>
        <v>0.16595869074375616</v>
      </c>
    </row>
    <row r="700" spans="1:3" x14ac:dyDescent="0.3">
      <c r="A700" s="4">
        <v>0.7318634259259259</v>
      </c>
      <c r="B700">
        <v>114.8</v>
      </c>
      <c r="C700">
        <f t="shared" si="11"/>
        <v>0.23442288153199239</v>
      </c>
    </row>
    <row r="701" spans="1:3" x14ac:dyDescent="0.3">
      <c r="A701" s="4">
        <v>0.73219907407407403</v>
      </c>
      <c r="B701">
        <v>113.8</v>
      </c>
      <c r="C701">
        <f t="shared" si="11"/>
        <v>0.1862087136662868</v>
      </c>
    </row>
    <row r="702" spans="1:3" x14ac:dyDescent="0.3">
      <c r="A702" s="4">
        <v>0.73255787037037035</v>
      </c>
      <c r="B702">
        <v>112.9</v>
      </c>
      <c r="C702">
        <f t="shared" si="11"/>
        <v>0.15135612484362121</v>
      </c>
    </row>
    <row r="703" spans="1:3" x14ac:dyDescent="0.3">
      <c r="A703" s="4">
        <v>0.73290509259259262</v>
      </c>
      <c r="B703">
        <v>112.2</v>
      </c>
      <c r="C703">
        <f t="shared" si="11"/>
        <v>0.12882495516931364</v>
      </c>
    </row>
    <row r="704" spans="1:3" x14ac:dyDescent="0.3">
      <c r="A704" s="4">
        <v>0.73325231481481479</v>
      </c>
      <c r="B704">
        <v>111.4</v>
      </c>
      <c r="C704">
        <f t="shared" si="11"/>
        <v>0.10715193052376093</v>
      </c>
    </row>
    <row r="705" spans="1:3" x14ac:dyDescent="0.3">
      <c r="A705" s="4">
        <v>0.73359953703703706</v>
      </c>
      <c r="B705">
        <v>110.8</v>
      </c>
      <c r="C705">
        <f t="shared" ref="C705:C768" si="12">10^((B705-121.1)/10)</f>
        <v>9.3325430079699109E-2</v>
      </c>
    </row>
    <row r="706" spans="1:3" x14ac:dyDescent="0.3">
      <c r="A706" s="4">
        <v>0.73394675925925923</v>
      </c>
      <c r="B706">
        <v>111.4</v>
      </c>
      <c r="C706">
        <f t="shared" si="12"/>
        <v>0.10715193052376093</v>
      </c>
    </row>
    <row r="707" spans="1:3" x14ac:dyDescent="0.3">
      <c r="A707" s="4">
        <v>0.73429398148148151</v>
      </c>
      <c r="B707">
        <v>115.9</v>
      </c>
      <c r="C707">
        <f t="shared" si="12"/>
        <v>0.30199517204020232</v>
      </c>
    </row>
    <row r="708" spans="1:3" x14ac:dyDescent="0.3">
      <c r="A708" s="4">
        <v>0.73464120370370367</v>
      </c>
      <c r="B708">
        <v>115.8</v>
      </c>
      <c r="C708">
        <f t="shared" si="12"/>
        <v>0.29512092266663875</v>
      </c>
    </row>
    <row r="709" spans="1:3" x14ac:dyDescent="0.3">
      <c r="A709" s="4">
        <v>0.73498842592592595</v>
      </c>
      <c r="B709">
        <v>115</v>
      </c>
      <c r="C709">
        <f t="shared" si="12"/>
        <v>0.2454708915685033</v>
      </c>
    </row>
    <row r="710" spans="1:3" x14ac:dyDescent="0.3">
      <c r="A710" s="4">
        <v>0.73533564814814811</v>
      </c>
      <c r="B710">
        <v>114.3</v>
      </c>
      <c r="C710">
        <f t="shared" si="12"/>
        <v>0.20892961308540403</v>
      </c>
    </row>
    <row r="711" spans="1:3" x14ac:dyDescent="0.3">
      <c r="A711" s="4">
        <v>0.73568287037037039</v>
      </c>
      <c r="B711">
        <v>113.8</v>
      </c>
      <c r="C711">
        <f t="shared" si="12"/>
        <v>0.1862087136662868</v>
      </c>
    </row>
    <row r="712" spans="1:3" x14ac:dyDescent="0.3">
      <c r="A712" s="4">
        <v>0.73603009259259256</v>
      </c>
      <c r="B712">
        <v>113.2</v>
      </c>
      <c r="C712">
        <f t="shared" si="12"/>
        <v>0.16218100973589328</v>
      </c>
    </row>
    <row r="713" spans="1:3" x14ac:dyDescent="0.3">
      <c r="A713" s="4">
        <v>0.73637731481481483</v>
      </c>
      <c r="B713">
        <v>112.6</v>
      </c>
      <c r="C713">
        <f t="shared" si="12"/>
        <v>0.14125375446227542</v>
      </c>
    </row>
    <row r="714" spans="1:3" x14ac:dyDescent="0.3">
      <c r="A714" s="4">
        <v>0.736724537037037</v>
      </c>
      <c r="B714">
        <v>112</v>
      </c>
      <c r="C714">
        <f t="shared" si="12"/>
        <v>0.1230268770812383</v>
      </c>
    </row>
    <row r="715" spans="1:3" x14ac:dyDescent="0.3">
      <c r="A715" s="4">
        <v>0.73707175925925927</v>
      </c>
      <c r="B715">
        <v>111.5</v>
      </c>
      <c r="C715">
        <f t="shared" si="12"/>
        <v>0.10964781961431865</v>
      </c>
    </row>
    <row r="716" spans="1:3" x14ac:dyDescent="0.3">
      <c r="A716" s="4">
        <v>0.73741898148148144</v>
      </c>
      <c r="B716">
        <v>110.9</v>
      </c>
      <c r="C716">
        <f t="shared" si="12"/>
        <v>9.5499258602143797E-2</v>
      </c>
    </row>
    <row r="717" spans="1:3" x14ac:dyDescent="0.3">
      <c r="A717" s="4">
        <v>0.73775462962962968</v>
      </c>
      <c r="B717">
        <v>110.9</v>
      </c>
      <c r="C717">
        <f t="shared" si="12"/>
        <v>9.5499258602143797E-2</v>
      </c>
    </row>
    <row r="718" spans="1:3" x14ac:dyDescent="0.3">
      <c r="A718" s="4">
        <v>0.73811342592592588</v>
      </c>
      <c r="B718">
        <v>115.2</v>
      </c>
      <c r="C718">
        <f t="shared" si="12"/>
        <v>0.25703957827688678</v>
      </c>
    </row>
    <row r="719" spans="1:3" x14ac:dyDescent="0.3">
      <c r="A719" s="4">
        <v>0.73846064814814816</v>
      </c>
      <c r="B719">
        <v>115.6</v>
      </c>
      <c r="C719">
        <f t="shared" si="12"/>
        <v>0.28183829312644532</v>
      </c>
    </row>
    <row r="720" spans="1:3" x14ac:dyDescent="0.3">
      <c r="A720" s="4">
        <v>0.73879629629629628</v>
      </c>
      <c r="B720">
        <v>114.8</v>
      </c>
      <c r="C720">
        <f t="shared" si="12"/>
        <v>0.23442288153199239</v>
      </c>
    </row>
    <row r="721" spans="1:3" x14ac:dyDescent="0.3">
      <c r="A721" s="4">
        <v>0.7391550925925926</v>
      </c>
      <c r="B721">
        <v>114.2</v>
      </c>
      <c r="C721">
        <f t="shared" si="12"/>
        <v>0.20417379446695327</v>
      </c>
    </row>
    <row r="722" spans="1:3" x14ac:dyDescent="0.3">
      <c r="A722" s="4">
        <v>0.73950231481481477</v>
      </c>
      <c r="B722">
        <v>113.6</v>
      </c>
      <c r="C722">
        <f t="shared" si="12"/>
        <v>0.17782794100389224</v>
      </c>
    </row>
    <row r="723" spans="1:3" x14ac:dyDescent="0.3">
      <c r="A723" s="4">
        <v>0.73984953703703704</v>
      </c>
      <c r="B723">
        <v>113.1</v>
      </c>
      <c r="C723">
        <f t="shared" si="12"/>
        <v>0.15848931924611132</v>
      </c>
    </row>
    <row r="724" spans="1:3" x14ac:dyDescent="0.3">
      <c r="A724" s="4">
        <v>0.74019675925925921</v>
      </c>
      <c r="B724">
        <v>112.5</v>
      </c>
      <c r="C724">
        <f t="shared" si="12"/>
        <v>0.13803842646028863</v>
      </c>
    </row>
    <row r="725" spans="1:3" x14ac:dyDescent="0.3">
      <c r="A725" s="4">
        <v>0.74054398148148148</v>
      </c>
      <c r="B725">
        <v>112</v>
      </c>
      <c r="C725">
        <f t="shared" si="12"/>
        <v>0.1230268770812383</v>
      </c>
    </row>
    <row r="726" spans="1:3" x14ac:dyDescent="0.3">
      <c r="A726" s="4">
        <v>0.74089120370370365</v>
      </c>
      <c r="B726">
        <v>111.5</v>
      </c>
      <c r="C726">
        <f t="shared" si="12"/>
        <v>0.10964781961431865</v>
      </c>
    </row>
    <row r="727" spans="1:3" x14ac:dyDescent="0.3">
      <c r="A727" s="4">
        <v>0.74123842592592593</v>
      </c>
      <c r="B727">
        <v>111.1</v>
      </c>
      <c r="C727">
        <f t="shared" si="12"/>
        <v>0.1</v>
      </c>
    </row>
    <row r="728" spans="1:3" x14ac:dyDescent="0.3">
      <c r="A728" s="4">
        <v>0.7415856481481482</v>
      </c>
      <c r="B728">
        <v>110.5</v>
      </c>
      <c r="C728">
        <f t="shared" si="12"/>
        <v>8.7096358995608178E-2</v>
      </c>
    </row>
    <row r="729" spans="1:3" x14ac:dyDescent="0.3">
      <c r="A729" s="4">
        <v>0.74193287037037037</v>
      </c>
      <c r="B729">
        <v>113.4</v>
      </c>
      <c r="C729">
        <f t="shared" si="12"/>
        <v>0.16982436524617484</v>
      </c>
    </row>
    <row r="730" spans="1:3" x14ac:dyDescent="0.3">
      <c r="A730" s="4">
        <v>0.74228009259259264</v>
      </c>
      <c r="B730">
        <v>115.9</v>
      </c>
      <c r="C730">
        <f t="shared" si="12"/>
        <v>0.30199517204020232</v>
      </c>
    </row>
    <row r="731" spans="1:3" x14ac:dyDescent="0.3">
      <c r="A731" s="4">
        <v>0.74262731481481481</v>
      </c>
      <c r="B731">
        <v>115.2</v>
      </c>
      <c r="C731">
        <f t="shared" si="12"/>
        <v>0.25703957827688678</v>
      </c>
    </row>
    <row r="732" spans="1:3" x14ac:dyDescent="0.3">
      <c r="A732" s="4">
        <v>0.74297453703703709</v>
      </c>
      <c r="B732">
        <v>114.5</v>
      </c>
      <c r="C732">
        <f t="shared" si="12"/>
        <v>0.21877616239495548</v>
      </c>
    </row>
    <row r="733" spans="1:3" x14ac:dyDescent="0.3">
      <c r="A733" s="4">
        <v>0.74332175925925925</v>
      </c>
      <c r="B733">
        <v>113.9</v>
      </c>
      <c r="C733">
        <f t="shared" si="12"/>
        <v>0.19054607179632518</v>
      </c>
    </row>
    <row r="734" spans="1:3" x14ac:dyDescent="0.3">
      <c r="A734" s="4">
        <v>0.74366898148148153</v>
      </c>
      <c r="B734">
        <v>113.4</v>
      </c>
      <c r="C734">
        <f t="shared" si="12"/>
        <v>0.16982436524617484</v>
      </c>
    </row>
    <row r="735" spans="1:3" x14ac:dyDescent="0.3">
      <c r="A735" s="4">
        <v>0.74401620370370369</v>
      </c>
      <c r="B735">
        <v>112.9</v>
      </c>
      <c r="C735">
        <f t="shared" si="12"/>
        <v>0.15135612484362121</v>
      </c>
    </row>
    <row r="736" spans="1:3" x14ac:dyDescent="0.3">
      <c r="A736" s="4">
        <v>0.74436342592592597</v>
      </c>
      <c r="B736">
        <v>112.3</v>
      </c>
      <c r="C736">
        <f t="shared" si="12"/>
        <v>0.13182567385564076</v>
      </c>
    </row>
    <row r="737" spans="1:3" x14ac:dyDescent="0.3">
      <c r="A737" s="4">
        <v>0.74471064814814814</v>
      </c>
      <c r="B737">
        <v>111.8</v>
      </c>
      <c r="C737">
        <f t="shared" si="12"/>
        <v>0.117489755493953</v>
      </c>
    </row>
    <row r="738" spans="1:3" x14ac:dyDescent="0.3">
      <c r="A738" s="4">
        <v>0.74505787037037041</v>
      </c>
      <c r="B738">
        <v>111.4</v>
      </c>
      <c r="C738">
        <f t="shared" si="12"/>
        <v>0.10715193052376093</v>
      </c>
    </row>
    <row r="739" spans="1:3" x14ac:dyDescent="0.3">
      <c r="A739" s="4">
        <v>0.74540509259259258</v>
      </c>
      <c r="B739">
        <v>110.9</v>
      </c>
      <c r="C739">
        <f t="shared" si="12"/>
        <v>9.5499258602143797E-2</v>
      </c>
    </row>
    <row r="740" spans="1:3" x14ac:dyDescent="0.3">
      <c r="A740" s="4">
        <v>0.74575231481481485</v>
      </c>
      <c r="B740">
        <v>103.9</v>
      </c>
      <c r="C740">
        <f t="shared" si="12"/>
        <v>1.9054607179632515E-2</v>
      </c>
    </row>
    <row r="741" spans="1:3" x14ac:dyDescent="0.3">
      <c r="A741" s="4">
        <v>0.74609953703703702</v>
      </c>
      <c r="B741">
        <v>83.3</v>
      </c>
      <c r="C741">
        <f t="shared" si="12"/>
        <v>1.6595869074375585E-4</v>
      </c>
    </row>
    <row r="742" spans="1:3" x14ac:dyDescent="0.3">
      <c r="A742" s="4">
        <v>0.7464467592592593</v>
      </c>
      <c r="B742">
        <v>74.8</v>
      </c>
      <c r="C742">
        <f t="shared" si="12"/>
        <v>2.3442288153199218E-5</v>
      </c>
    </row>
    <row r="743" spans="1:3" x14ac:dyDescent="0.3">
      <c r="A743" s="4">
        <v>0.74679398148148146</v>
      </c>
      <c r="B743">
        <v>71.7</v>
      </c>
      <c r="C743">
        <f t="shared" si="12"/>
        <v>1.1481536214968819E-5</v>
      </c>
    </row>
    <row r="744" spans="1:3" x14ac:dyDescent="0.3">
      <c r="A744" s="4">
        <v>0.74714120370370374</v>
      </c>
      <c r="B744">
        <v>68.5</v>
      </c>
      <c r="C744">
        <f t="shared" si="12"/>
        <v>5.4954087385762383E-6</v>
      </c>
    </row>
    <row r="745" spans="1:3" x14ac:dyDescent="0.3">
      <c r="A745" s="4">
        <v>0.7474884259259259</v>
      </c>
      <c r="B745">
        <v>65.5</v>
      </c>
      <c r="C745">
        <f t="shared" si="12"/>
        <v>2.7542287033381663E-6</v>
      </c>
    </row>
    <row r="746" spans="1:3" x14ac:dyDescent="0.3">
      <c r="A746" s="4">
        <v>0.74783564814814818</v>
      </c>
      <c r="B746">
        <v>62.9</v>
      </c>
      <c r="C746">
        <f t="shared" si="12"/>
        <v>1.5135612484362091E-6</v>
      </c>
    </row>
    <row r="747" spans="1:3" x14ac:dyDescent="0.3">
      <c r="A747" s="4">
        <v>0.74818287037037035</v>
      </c>
      <c r="B747">
        <v>60.5</v>
      </c>
      <c r="C747">
        <f t="shared" si="12"/>
        <v>8.7096358995607992E-7</v>
      </c>
    </row>
    <row r="748" spans="1:3" x14ac:dyDescent="0.3">
      <c r="A748" s="4">
        <v>0.74853009259259262</v>
      </c>
      <c r="B748">
        <v>58.6</v>
      </c>
      <c r="C748">
        <f t="shared" si="12"/>
        <v>5.6234132519034967E-7</v>
      </c>
    </row>
    <row r="749" spans="1:3" x14ac:dyDescent="0.3">
      <c r="A749" s="4">
        <v>0.74887731481481479</v>
      </c>
      <c r="B749">
        <v>56.8</v>
      </c>
      <c r="C749">
        <f t="shared" si="12"/>
        <v>3.7153522909717226E-7</v>
      </c>
    </row>
    <row r="750" spans="1:3" x14ac:dyDescent="0.3">
      <c r="A750" s="4">
        <v>0.74922453703703706</v>
      </c>
      <c r="B750">
        <v>55.3</v>
      </c>
      <c r="C750">
        <f t="shared" si="12"/>
        <v>2.6302679918953789E-7</v>
      </c>
    </row>
    <row r="751" spans="1:3" x14ac:dyDescent="0.3">
      <c r="A751" s="4">
        <v>0.74957175925925923</v>
      </c>
      <c r="B751">
        <v>54</v>
      </c>
      <c r="C751">
        <f t="shared" si="12"/>
        <v>1.9498445997580458E-7</v>
      </c>
    </row>
    <row r="752" spans="1:3" x14ac:dyDescent="0.3">
      <c r="A752" s="4">
        <v>0.74991898148148151</v>
      </c>
      <c r="B752">
        <v>52.8</v>
      </c>
      <c r="C752">
        <f t="shared" si="12"/>
        <v>1.479108388168204E-7</v>
      </c>
    </row>
    <row r="753" spans="1:3" x14ac:dyDescent="0.3">
      <c r="A753" s="4">
        <v>0.75026620370370367</v>
      </c>
      <c r="B753">
        <v>51.6</v>
      </c>
      <c r="C753">
        <f t="shared" si="12"/>
        <v>1.1220184543019621E-7</v>
      </c>
    </row>
    <row r="754" spans="1:3" x14ac:dyDescent="0.3">
      <c r="A754" s="4">
        <v>0.75061342592592595</v>
      </c>
      <c r="B754">
        <v>50.5</v>
      </c>
      <c r="C754">
        <f t="shared" si="12"/>
        <v>8.7096358995608061E-8</v>
      </c>
    </row>
    <row r="755" spans="1:3" x14ac:dyDescent="0.3">
      <c r="A755" s="4">
        <v>0.75096064814814811</v>
      </c>
      <c r="B755">
        <v>49.6</v>
      </c>
      <c r="C755">
        <f t="shared" si="12"/>
        <v>7.0794578438413597E-8</v>
      </c>
    </row>
    <row r="756" spans="1:3" x14ac:dyDescent="0.3">
      <c r="A756" s="4">
        <v>0.75130787037037039</v>
      </c>
      <c r="B756">
        <v>48.8</v>
      </c>
      <c r="C756">
        <f t="shared" si="12"/>
        <v>5.8884365535558776E-8</v>
      </c>
    </row>
    <row r="757" spans="1:3" x14ac:dyDescent="0.3">
      <c r="A757" s="4">
        <v>0.75165509259259256</v>
      </c>
      <c r="B757">
        <v>48</v>
      </c>
      <c r="C757">
        <f t="shared" si="12"/>
        <v>4.8977881936844561E-8</v>
      </c>
    </row>
    <row r="758" spans="1:3" x14ac:dyDescent="0.3">
      <c r="A758" s="4">
        <v>0.75200231481481483</v>
      </c>
      <c r="B758">
        <v>47.4</v>
      </c>
      <c r="C758">
        <f t="shared" si="12"/>
        <v>4.2657951880159239E-8</v>
      </c>
    </row>
    <row r="759" spans="1:3" x14ac:dyDescent="0.3">
      <c r="A759" s="4">
        <v>0.752349537037037</v>
      </c>
      <c r="B759">
        <v>46.8</v>
      </c>
      <c r="C759">
        <f t="shared" si="12"/>
        <v>3.7153522909717246E-8</v>
      </c>
    </row>
    <row r="760" spans="1:3" x14ac:dyDescent="0.3">
      <c r="A760" s="4">
        <v>0.75269675925925927</v>
      </c>
      <c r="B760">
        <v>46.3</v>
      </c>
      <c r="C760">
        <f t="shared" si="12"/>
        <v>3.3113112148259124E-8</v>
      </c>
    </row>
    <row r="761" spans="1:3" x14ac:dyDescent="0.3">
      <c r="A761" s="4">
        <v>0.75304398148148144</v>
      </c>
      <c r="B761">
        <v>45.9</v>
      </c>
      <c r="C761">
        <f t="shared" si="12"/>
        <v>3.0199517204020188E-8</v>
      </c>
    </row>
    <row r="762" spans="1:3" x14ac:dyDescent="0.3">
      <c r="A762" s="4">
        <v>0.75339120370370372</v>
      </c>
      <c r="B762">
        <v>45.4</v>
      </c>
      <c r="C762">
        <f t="shared" si="12"/>
        <v>2.691534803926919E-8</v>
      </c>
    </row>
    <row r="763" spans="1:3" x14ac:dyDescent="0.3">
      <c r="A763" s="4">
        <v>0.75373842592592588</v>
      </c>
      <c r="B763">
        <v>45</v>
      </c>
      <c r="C763">
        <f t="shared" si="12"/>
        <v>2.4547089156850259E-8</v>
      </c>
    </row>
    <row r="764" spans="1:3" x14ac:dyDescent="0.3">
      <c r="A764" s="4">
        <v>0.75408564814814816</v>
      </c>
      <c r="B764">
        <v>44.8</v>
      </c>
      <c r="C764">
        <f t="shared" si="12"/>
        <v>2.3442288153199181E-8</v>
      </c>
    </row>
    <row r="765" spans="1:3" x14ac:dyDescent="0.3">
      <c r="A765" s="4">
        <v>0.75443287037037032</v>
      </c>
      <c r="B765">
        <v>44.7</v>
      </c>
      <c r="C765">
        <f t="shared" si="12"/>
        <v>2.2908676527677776E-8</v>
      </c>
    </row>
    <row r="766" spans="1:3" x14ac:dyDescent="0.3">
      <c r="A766" s="4">
        <v>0.7547800925925926</v>
      </c>
      <c r="B766">
        <v>44.6</v>
      </c>
      <c r="C766">
        <f t="shared" si="12"/>
        <v>2.2387211385683365E-8</v>
      </c>
    </row>
    <row r="767" spans="1:3" x14ac:dyDescent="0.3">
      <c r="A767" s="4">
        <v>0.75512731481481477</v>
      </c>
      <c r="B767">
        <v>44.4</v>
      </c>
      <c r="C767">
        <f t="shared" si="12"/>
        <v>2.1379620895022368E-8</v>
      </c>
    </row>
    <row r="768" spans="1:3" x14ac:dyDescent="0.3">
      <c r="A768" s="4">
        <v>0.75547453703703704</v>
      </c>
      <c r="B768">
        <v>44.3</v>
      </c>
      <c r="C768">
        <f t="shared" si="12"/>
        <v>2.0892961308540368E-8</v>
      </c>
    </row>
    <row r="769" spans="1:3" x14ac:dyDescent="0.3">
      <c r="A769" s="4">
        <v>0.75582175925925921</v>
      </c>
      <c r="B769">
        <v>44.3</v>
      </c>
      <c r="C769">
        <f t="shared" ref="C769:C773" si="13">10^((B769-121.1)/10)</f>
        <v>2.0892961308540368E-8</v>
      </c>
    </row>
    <row r="770" spans="1:3" x14ac:dyDescent="0.3">
      <c r="A770" s="4">
        <v>0.75616898148148148</v>
      </c>
      <c r="B770">
        <v>44.5</v>
      </c>
      <c r="C770">
        <f t="shared" si="13"/>
        <v>2.1877616239495494E-8</v>
      </c>
    </row>
    <row r="771" spans="1:3" x14ac:dyDescent="0.3">
      <c r="A771" s="4">
        <v>0.75651620370370365</v>
      </c>
      <c r="B771">
        <v>44.6</v>
      </c>
      <c r="C771">
        <f t="shared" si="13"/>
        <v>2.2387211385683365E-8</v>
      </c>
    </row>
    <row r="772" spans="1:3" x14ac:dyDescent="0.3">
      <c r="A772" s="4">
        <v>0.75686342592592593</v>
      </c>
      <c r="B772">
        <v>44.6</v>
      </c>
      <c r="C772">
        <f t="shared" si="13"/>
        <v>2.2387211385683365E-8</v>
      </c>
    </row>
    <row r="773" spans="1:3" x14ac:dyDescent="0.3">
      <c r="A773" s="4">
        <v>0.7572106481481482</v>
      </c>
      <c r="B773">
        <v>44.6</v>
      </c>
      <c r="C773">
        <f t="shared" si="13"/>
        <v>2.2387211385683365E-8</v>
      </c>
    </row>
    <row r="774" spans="1:3" x14ac:dyDescent="0.3">
      <c r="A774" s="2" t="s">
        <v>61</v>
      </c>
      <c r="C774">
        <f>SUM(C640:C773)</f>
        <v>7.5684659161514327</v>
      </c>
    </row>
    <row r="776" spans="1:3" x14ac:dyDescent="0.3">
      <c r="A776" s="2" t="s">
        <v>62</v>
      </c>
      <c r="C776">
        <f>30/60*C774</f>
        <v>3.7842329580757164</v>
      </c>
    </row>
    <row r="778" spans="1:3" x14ac:dyDescent="0.3">
      <c r="A778" s="2" t="s">
        <v>220</v>
      </c>
    </row>
    <row r="779" spans="1:3" x14ac:dyDescent="0.3">
      <c r="A779" s="2" t="s">
        <v>58</v>
      </c>
      <c r="B779" s="2" t="s">
        <v>59</v>
      </c>
      <c r="C779" s="2" t="s">
        <v>60</v>
      </c>
    </row>
    <row r="780" spans="1:3" x14ac:dyDescent="0.3">
      <c r="A780" s="4">
        <v>0.44972222222222225</v>
      </c>
      <c r="B780">
        <v>32.299999999999997</v>
      </c>
      <c r="C780">
        <f>10^((B780-121.1)/10)</f>
        <v>1.3182567385564066E-9</v>
      </c>
    </row>
    <row r="781" spans="1:3" x14ac:dyDescent="0.3">
      <c r="A781" s="4">
        <v>0.45006944444444447</v>
      </c>
      <c r="B781">
        <v>32.299999999999997</v>
      </c>
      <c r="C781">
        <f t="shared" ref="C781:C844" si="14">10^((B781-121.1)/10)</f>
        <v>1.3182567385564066E-9</v>
      </c>
    </row>
    <row r="782" spans="1:3" x14ac:dyDescent="0.3">
      <c r="A782" s="4">
        <v>0.45041666666666669</v>
      </c>
      <c r="B782">
        <v>32.200000000000003</v>
      </c>
      <c r="C782">
        <f t="shared" si="14"/>
        <v>1.2882495516931335E-9</v>
      </c>
    </row>
    <row r="783" spans="1:3" x14ac:dyDescent="0.3">
      <c r="A783" s="4">
        <v>0.45076388888888891</v>
      </c>
      <c r="B783">
        <v>32.1</v>
      </c>
      <c r="C783">
        <f t="shared" si="14"/>
        <v>1.2589254117941623E-9</v>
      </c>
    </row>
    <row r="784" spans="1:3" x14ac:dyDescent="0.3">
      <c r="A784" s="4">
        <v>0.45111111111111113</v>
      </c>
      <c r="B784">
        <v>33</v>
      </c>
      <c r="C784">
        <f t="shared" si="14"/>
        <v>1.5488166189124852E-9</v>
      </c>
    </row>
    <row r="785" spans="1:3" x14ac:dyDescent="0.3">
      <c r="A785" s="4">
        <v>0.45145833333333335</v>
      </c>
      <c r="B785">
        <v>36.200000000000003</v>
      </c>
      <c r="C785">
        <f t="shared" si="14"/>
        <v>3.2359365692962919E-9</v>
      </c>
    </row>
    <row r="786" spans="1:3" x14ac:dyDescent="0.3">
      <c r="A786" s="4">
        <v>0.45180555555555557</v>
      </c>
      <c r="B786">
        <v>41.2</v>
      </c>
      <c r="C786">
        <f t="shared" si="14"/>
        <v>1.0232929922807522E-8</v>
      </c>
    </row>
    <row r="787" spans="1:3" x14ac:dyDescent="0.3">
      <c r="A787" s="4">
        <v>0.45215277777777779</v>
      </c>
      <c r="B787">
        <v>46.5</v>
      </c>
      <c r="C787">
        <f t="shared" si="14"/>
        <v>3.4673685045253171E-8</v>
      </c>
    </row>
    <row r="788" spans="1:3" x14ac:dyDescent="0.3">
      <c r="A788" s="4">
        <v>0.45250000000000001</v>
      </c>
      <c r="B788">
        <v>51.6</v>
      </c>
      <c r="C788">
        <f t="shared" si="14"/>
        <v>1.1220184543019621E-7</v>
      </c>
    </row>
    <row r="789" spans="1:3" x14ac:dyDescent="0.3">
      <c r="A789" s="4">
        <v>0.45284722222222223</v>
      </c>
      <c r="B789">
        <v>55.8</v>
      </c>
      <c r="C789">
        <f t="shared" si="14"/>
        <v>2.9512092266663867E-7</v>
      </c>
    </row>
    <row r="790" spans="1:3" x14ac:dyDescent="0.3">
      <c r="A790" s="4">
        <v>0.45319444444444446</v>
      </c>
      <c r="B790">
        <v>60.6</v>
      </c>
      <c r="C790">
        <f t="shared" si="14"/>
        <v>8.9125093813374635E-7</v>
      </c>
    </row>
    <row r="791" spans="1:3" x14ac:dyDescent="0.3">
      <c r="A791" s="4">
        <v>0.45354166666666668</v>
      </c>
      <c r="B791">
        <v>64.400000000000006</v>
      </c>
      <c r="C791">
        <f t="shared" si="14"/>
        <v>2.1379620895022339E-6</v>
      </c>
    </row>
    <row r="792" spans="1:3" x14ac:dyDescent="0.3">
      <c r="A792" s="4">
        <v>0.4538888888888889</v>
      </c>
      <c r="B792">
        <v>67</v>
      </c>
      <c r="C792">
        <f t="shared" si="14"/>
        <v>3.8904514499428068E-6</v>
      </c>
    </row>
    <row r="793" spans="1:3" x14ac:dyDescent="0.3">
      <c r="A793" s="4">
        <v>0.45423611111111112</v>
      </c>
      <c r="B793">
        <v>69.2</v>
      </c>
      <c r="C793">
        <f t="shared" si="14"/>
        <v>6.456542290346554E-6</v>
      </c>
    </row>
    <row r="794" spans="1:3" x14ac:dyDescent="0.3">
      <c r="A794" s="4">
        <v>0.45458333333333334</v>
      </c>
      <c r="B794">
        <v>70.900000000000006</v>
      </c>
      <c r="C794">
        <f t="shared" si="14"/>
        <v>9.5499258602143773E-6</v>
      </c>
    </row>
    <row r="795" spans="1:3" x14ac:dyDescent="0.3">
      <c r="A795" s="4">
        <v>0.45493055555555556</v>
      </c>
      <c r="B795">
        <v>74.3</v>
      </c>
      <c r="C795">
        <f t="shared" si="14"/>
        <v>2.0892961308540399E-5</v>
      </c>
    </row>
    <row r="796" spans="1:3" x14ac:dyDescent="0.3">
      <c r="A796" s="4">
        <v>0.45527777777777778</v>
      </c>
      <c r="B796">
        <v>78</v>
      </c>
      <c r="C796">
        <f t="shared" si="14"/>
        <v>4.8977881936844635E-5</v>
      </c>
    </row>
    <row r="797" spans="1:3" x14ac:dyDescent="0.3">
      <c r="A797" s="4">
        <v>0.455625</v>
      </c>
      <c r="B797">
        <v>80.5</v>
      </c>
      <c r="C797">
        <f t="shared" si="14"/>
        <v>8.7096358995608029E-5</v>
      </c>
    </row>
    <row r="798" spans="1:3" x14ac:dyDescent="0.3">
      <c r="A798" s="4">
        <v>0.45597222222222222</v>
      </c>
      <c r="B798">
        <v>82.2</v>
      </c>
      <c r="C798">
        <f t="shared" si="14"/>
        <v>1.2882495516931361E-4</v>
      </c>
    </row>
    <row r="799" spans="1:3" x14ac:dyDescent="0.3">
      <c r="A799" s="4">
        <v>0.45631944444444444</v>
      </c>
      <c r="B799">
        <v>83.5</v>
      </c>
      <c r="C799">
        <f t="shared" si="14"/>
        <v>1.737800828749376E-4</v>
      </c>
    </row>
    <row r="800" spans="1:3" x14ac:dyDescent="0.3">
      <c r="A800" s="4">
        <v>0.45666666666666667</v>
      </c>
      <c r="B800">
        <v>84.6</v>
      </c>
      <c r="C800">
        <f t="shared" si="14"/>
        <v>2.2387211385683381E-4</v>
      </c>
    </row>
    <row r="801" spans="1:3" x14ac:dyDescent="0.3">
      <c r="A801" s="4">
        <v>0.45701388888888889</v>
      </c>
      <c r="B801">
        <v>86.3</v>
      </c>
      <c r="C801">
        <f t="shared" si="14"/>
        <v>3.3113112148259094E-4</v>
      </c>
    </row>
    <row r="802" spans="1:3" x14ac:dyDescent="0.3">
      <c r="A802" s="4">
        <v>0.45736111111111111</v>
      </c>
      <c r="B802">
        <v>87.4</v>
      </c>
      <c r="C802">
        <f t="shared" si="14"/>
        <v>4.2657951880159349E-4</v>
      </c>
    </row>
    <row r="803" spans="1:3" x14ac:dyDescent="0.3">
      <c r="A803" s="4">
        <v>0.45770833333333333</v>
      </c>
      <c r="B803">
        <v>89.4</v>
      </c>
      <c r="C803">
        <f t="shared" si="14"/>
        <v>6.7608297539198294E-4</v>
      </c>
    </row>
    <row r="804" spans="1:3" x14ac:dyDescent="0.3">
      <c r="A804" s="4">
        <v>0.45805555555555555</v>
      </c>
      <c r="B804">
        <v>92</v>
      </c>
      <c r="C804">
        <f t="shared" si="14"/>
        <v>1.230268770812383E-3</v>
      </c>
    </row>
    <row r="805" spans="1:3" x14ac:dyDescent="0.3">
      <c r="A805" s="4">
        <v>0.45840277777777777</v>
      </c>
      <c r="B805">
        <v>94</v>
      </c>
      <c r="C805">
        <f t="shared" si="14"/>
        <v>1.9498445997580458E-3</v>
      </c>
    </row>
    <row r="806" spans="1:3" x14ac:dyDescent="0.3">
      <c r="A806" s="4">
        <v>0.45874999999999999</v>
      </c>
      <c r="B806">
        <v>96.7</v>
      </c>
      <c r="C806">
        <f t="shared" si="14"/>
        <v>3.6307805477010205E-3</v>
      </c>
    </row>
    <row r="807" spans="1:3" x14ac:dyDescent="0.3">
      <c r="A807" s="4">
        <v>0.45909722222222221</v>
      </c>
      <c r="B807">
        <v>99.6</v>
      </c>
      <c r="C807">
        <f t="shared" si="14"/>
        <v>7.0794578438413795E-3</v>
      </c>
    </row>
    <row r="808" spans="1:3" x14ac:dyDescent="0.3">
      <c r="A808" s="4">
        <v>0.45944444444444443</v>
      </c>
      <c r="B808">
        <v>102.9</v>
      </c>
      <c r="C808">
        <f t="shared" si="14"/>
        <v>1.5135612484362116E-2</v>
      </c>
    </row>
    <row r="809" spans="1:3" x14ac:dyDescent="0.3">
      <c r="A809" s="4">
        <v>0.45979166666666665</v>
      </c>
      <c r="B809">
        <v>106</v>
      </c>
      <c r="C809">
        <f t="shared" si="14"/>
        <v>3.0902954325135939E-2</v>
      </c>
    </row>
    <row r="810" spans="1:3" x14ac:dyDescent="0.3">
      <c r="A810" s="4">
        <v>0.46013888888888888</v>
      </c>
      <c r="B810">
        <v>108.3</v>
      </c>
      <c r="C810">
        <f t="shared" si="14"/>
        <v>5.2480746024977279E-2</v>
      </c>
    </row>
    <row r="811" spans="1:3" x14ac:dyDescent="0.3">
      <c r="A811" s="4">
        <v>0.4604861111111111</v>
      </c>
      <c r="B811">
        <v>109.9</v>
      </c>
      <c r="C811">
        <f t="shared" si="14"/>
        <v>7.585775750291858E-2</v>
      </c>
    </row>
    <row r="812" spans="1:3" x14ac:dyDescent="0.3">
      <c r="A812" s="4">
        <v>0.46083333333333332</v>
      </c>
      <c r="B812">
        <v>111.1</v>
      </c>
      <c r="C812">
        <f t="shared" si="14"/>
        <v>0.1</v>
      </c>
    </row>
    <row r="813" spans="1:3" x14ac:dyDescent="0.3">
      <c r="A813" s="4">
        <v>0.46118055555555554</v>
      </c>
      <c r="B813">
        <v>111.3</v>
      </c>
      <c r="C813">
        <f t="shared" si="14"/>
        <v>0.10471285480509</v>
      </c>
    </row>
    <row r="814" spans="1:3" x14ac:dyDescent="0.3">
      <c r="A814" s="4">
        <v>0.46152777777777776</v>
      </c>
      <c r="B814">
        <v>110.2</v>
      </c>
      <c r="C814">
        <f t="shared" si="14"/>
        <v>8.1283051616410043E-2</v>
      </c>
    </row>
    <row r="815" spans="1:3" x14ac:dyDescent="0.3">
      <c r="A815" s="4">
        <v>0.46187499999999998</v>
      </c>
      <c r="B815">
        <v>109</v>
      </c>
      <c r="C815">
        <f t="shared" si="14"/>
        <v>6.1659500186148276E-2</v>
      </c>
    </row>
    <row r="816" spans="1:3" x14ac:dyDescent="0.3">
      <c r="A816" s="4">
        <v>0.4622222222222222</v>
      </c>
      <c r="B816">
        <v>111.5</v>
      </c>
      <c r="C816">
        <f t="shared" si="14"/>
        <v>0.10964781961431865</v>
      </c>
    </row>
    <row r="817" spans="1:3" x14ac:dyDescent="0.3">
      <c r="A817" s="4">
        <v>0.46256944444444442</v>
      </c>
      <c r="B817">
        <v>113.4</v>
      </c>
      <c r="C817">
        <f t="shared" si="14"/>
        <v>0.16982436524617484</v>
      </c>
    </row>
    <row r="818" spans="1:3" x14ac:dyDescent="0.3">
      <c r="A818" s="4">
        <v>0.46291666666666664</v>
      </c>
      <c r="B818">
        <v>111.1</v>
      </c>
      <c r="C818">
        <f t="shared" si="14"/>
        <v>0.1</v>
      </c>
    </row>
    <row r="819" spans="1:3" x14ac:dyDescent="0.3">
      <c r="A819" s="4">
        <v>0.46326388888888886</v>
      </c>
      <c r="B819">
        <v>112.1</v>
      </c>
      <c r="C819">
        <f t="shared" si="14"/>
        <v>0.12589254117941667</v>
      </c>
    </row>
    <row r="820" spans="1:3" x14ac:dyDescent="0.3">
      <c r="A820" s="4">
        <v>0.46361111111111108</v>
      </c>
      <c r="B820">
        <v>114</v>
      </c>
      <c r="C820">
        <f t="shared" si="14"/>
        <v>0.19498445997580477</v>
      </c>
    </row>
    <row r="821" spans="1:3" x14ac:dyDescent="0.3">
      <c r="A821" s="4">
        <v>0.46395833333333331</v>
      </c>
      <c r="B821">
        <v>111.6</v>
      </c>
      <c r="C821">
        <f t="shared" si="14"/>
        <v>0.11220184543019632</v>
      </c>
    </row>
    <row r="822" spans="1:3" x14ac:dyDescent="0.3">
      <c r="A822" s="4">
        <v>0.46430555555555558</v>
      </c>
      <c r="B822">
        <v>114.2</v>
      </c>
      <c r="C822">
        <f t="shared" si="14"/>
        <v>0.20417379446695327</v>
      </c>
    </row>
    <row r="823" spans="1:3" x14ac:dyDescent="0.3">
      <c r="A823" s="4">
        <v>0.4646527777777778</v>
      </c>
      <c r="B823">
        <v>112.2</v>
      </c>
      <c r="C823">
        <f t="shared" si="14"/>
        <v>0.12882495516931364</v>
      </c>
    </row>
    <row r="824" spans="1:3" x14ac:dyDescent="0.3">
      <c r="A824" s="4">
        <v>0.46500000000000002</v>
      </c>
      <c r="B824">
        <v>113.3</v>
      </c>
      <c r="C824">
        <f t="shared" si="14"/>
        <v>0.16595869074375616</v>
      </c>
    </row>
    <row r="825" spans="1:3" x14ac:dyDescent="0.3">
      <c r="A825" s="4">
        <v>0.46534722222222225</v>
      </c>
      <c r="B825">
        <v>113.3</v>
      </c>
      <c r="C825">
        <f t="shared" si="14"/>
        <v>0.16595869074375616</v>
      </c>
    </row>
    <row r="826" spans="1:3" x14ac:dyDescent="0.3">
      <c r="A826" s="4">
        <v>0.46569444444444447</v>
      </c>
      <c r="B826">
        <v>110.8</v>
      </c>
      <c r="C826">
        <f t="shared" si="14"/>
        <v>9.3325430079699109E-2</v>
      </c>
    </row>
    <row r="827" spans="1:3" x14ac:dyDescent="0.3">
      <c r="A827" s="4">
        <v>0.46604166666666669</v>
      </c>
      <c r="B827">
        <v>115.8</v>
      </c>
      <c r="C827">
        <f t="shared" si="14"/>
        <v>0.29512092266663875</v>
      </c>
    </row>
    <row r="828" spans="1:3" x14ac:dyDescent="0.3">
      <c r="A828" s="4">
        <v>0.46638888888888891</v>
      </c>
      <c r="B828">
        <v>113.8</v>
      </c>
      <c r="C828">
        <f t="shared" si="14"/>
        <v>0.1862087136662868</v>
      </c>
    </row>
    <row r="829" spans="1:3" x14ac:dyDescent="0.3">
      <c r="A829" s="4">
        <v>0.46673611111111113</v>
      </c>
      <c r="B829">
        <v>111.3</v>
      </c>
      <c r="C829">
        <f t="shared" si="14"/>
        <v>0.10471285480509</v>
      </c>
    </row>
    <row r="830" spans="1:3" x14ac:dyDescent="0.3">
      <c r="A830" s="4">
        <v>0.46708333333333335</v>
      </c>
      <c r="B830">
        <v>115.3</v>
      </c>
      <c r="C830">
        <f t="shared" si="14"/>
        <v>0.26302679918953831</v>
      </c>
    </row>
    <row r="831" spans="1:3" x14ac:dyDescent="0.3">
      <c r="A831" s="4">
        <v>0.46743055555555557</v>
      </c>
      <c r="B831">
        <v>114.6</v>
      </c>
      <c r="C831">
        <f t="shared" si="14"/>
        <v>0.22387211385683392</v>
      </c>
    </row>
    <row r="832" spans="1:3" x14ac:dyDescent="0.3">
      <c r="A832" s="4">
        <v>0.46777777777777779</v>
      </c>
      <c r="B832">
        <v>113.1</v>
      </c>
      <c r="C832">
        <f t="shared" si="14"/>
        <v>0.15848931924611132</v>
      </c>
    </row>
    <row r="833" spans="1:3" x14ac:dyDescent="0.3">
      <c r="A833" s="4">
        <v>0.46812500000000001</v>
      </c>
      <c r="B833">
        <v>110.9</v>
      </c>
      <c r="C833">
        <f t="shared" si="14"/>
        <v>9.5499258602143797E-2</v>
      </c>
    </row>
    <row r="834" spans="1:3" x14ac:dyDescent="0.3">
      <c r="A834" s="4">
        <v>0.46847222222222223</v>
      </c>
      <c r="B834">
        <v>116.1</v>
      </c>
      <c r="C834">
        <f t="shared" si="14"/>
        <v>0.31622776601683794</v>
      </c>
    </row>
    <row r="835" spans="1:3" x14ac:dyDescent="0.3">
      <c r="A835" s="4">
        <v>0.46881944444444446</v>
      </c>
      <c r="B835">
        <v>114.8</v>
      </c>
      <c r="C835">
        <f t="shared" si="14"/>
        <v>0.23442288153199239</v>
      </c>
    </row>
    <row r="836" spans="1:3" x14ac:dyDescent="0.3">
      <c r="A836" s="4">
        <v>0.46916666666666668</v>
      </c>
      <c r="B836">
        <v>113.5</v>
      </c>
      <c r="C836">
        <f t="shared" si="14"/>
        <v>0.17378008287493774</v>
      </c>
    </row>
    <row r="837" spans="1:3" x14ac:dyDescent="0.3">
      <c r="A837" s="4">
        <v>0.4695138888888889</v>
      </c>
      <c r="B837">
        <v>112.4</v>
      </c>
      <c r="C837">
        <f t="shared" si="14"/>
        <v>0.13489628825916572</v>
      </c>
    </row>
    <row r="838" spans="1:3" x14ac:dyDescent="0.3">
      <c r="A838" s="4">
        <v>0.46986111111111112</v>
      </c>
      <c r="B838">
        <v>110.7</v>
      </c>
      <c r="C838">
        <f t="shared" si="14"/>
        <v>9.1201083935591148E-2</v>
      </c>
    </row>
    <row r="839" spans="1:3" x14ac:dyDescent="0.3">
      <c r="A839" s="4">
        <v>0.47020833333333334</v>
      </c>
      <c r="B839">
        <v>115.4</v>
      </c>
      <c r="C839">
        <f t="shared" si="14"/>
        <v>0.26915348039269227</v>
      </c>
    </row>
    <row r="840" spans="1:3" x14ac:dyDescent="0.3">
      <c r="A840" s="4">
        <v>0.47055555555555556</v>
      </c>
      <c r="B840">
        <v>114</v>
      </c>
      <c r="C840">
        <f t="shared" si="14"/>
        <v>0.19498445997580477</v>
      </c>
    </row>
    <row r="841" spans="1:3" x14ac:dyDescent="0.3">
      <c r="A841" s="4">
        <v>0.47090277777777778</v>
      </c>
      <c r="B841">
        <v>112.4</v>
      </c>
      <c r="C841">
        <f t="shared" si="14"/>
        <v>0.13489628825916572</v>
      </c>
    </row>
    <row r="842" spans="1:3" x14ac:dyDescent="0.3">
      <c r="A842" s="4">
        <v>0.47125</v>
      </c>
      <c r="B842">
        <v>112.2</v>
      </c>
      <c r="C842">
        <f t="shared" si="14"/>
        <v>0.12882495516931364</v>
      </c>
    </row>
    <row r="843" spans="1:3" x14ac:dyDescent="0.3">
      <c r="A843" s="4">
        <v>0.47159722222222222</v>
      </c>
      <c r="B843">
        <v>114.8</v>
      </c>
      <c r="C843">
        <f t="shared" si="14"/>
        <v>0.23442288153199239</v>
      </c>
    </row>
    <row r="844" spans="1:3" x14ac:dyDescent="0.3">
      <c r="A844" s="4">
        <v>0.47194444444444444</v>
      </c>
      <c r="B844">
        <v>113.6</v>
      </c>
      <c r="C844">
        <f t="shared" si="14"/>
        <v>0.17782794100389224</v>
      </c>
    </row>
    <row r="845" spans="1:3" x14ac:dyDescent="0.3">
      <c r="A845" s="4">
        <v>0.47229166666666667</v>
      </c>
      <c r="B845">
        <v>111.3</v>
      </c>
      <c r="C845">
        <f t="shared" ref="C845:C908" si="15">10^((B845-121.1)/10)</f>
        <v>0.10471285480509</v>
      </c>
    </row>
    <row r="846" spans="1:3" x14ac:dyDescent="0.3">
      <c r="A846" s="4">
        <v>0.47263888888888889</v>
      </c>
      <c r="B846">
        <v>114.6</v>
      </c>
      <c r="C846">
        <f t="shared" si="15"/>
        <v>0.22387211385683392</v>
      </c>
    </row>
    <row r="847" spans="1:3" x14ac:dyDescent="0.3">
      <c r="A847" s="4">
        <v>0.47298611111111111</v>
      </c>
      <c r="B847">
        <v>115</v>
      </c>
      <c r="C847">
        <f t="shared" si="15"/>
        <v>0.2454708915685033</v>
      </c>
    </row>
    <row r="848" spans="1:3" x14ac:dyDescent="0.3">
      <c r="A848" s="4">
        <v>0.47333333333333333</v>
      </c>
      <c r="B848">
        <v>113.4</v>
      </c>
      <c r="C848">
        <f t="shared" si="15"/>
        <v>0.16982436524617484</v>
      </c>
    </row>
    <row r="849" spans="1:3" x14ac:dyDescent="0.3">
      <c r="A849" s="4">
        <v>0.47368055555555555</v>
      </c>
      <c r="B849">
        <v>112.3</v>
      </c>
      <c r="C849">
        <f t="shared" si="15"/>
        <v>0.13182567385564076</v>
      </c>
    </row>
    <row r="850" spans="1:3" x14ac:dyDescent="0.3">
      <c r="A850" s="4">
        <v>0.47402777777777777</v>
      </c>
      <c r="B850">
        <v>111.1</v>
      </c>
      <c r="C850">
        <f t="shared" si="15"/>
        <v>0.1</v>
      </c>
    </row>
    <row r="851" spans="1:3" x14ac:dyDescent="0.3">
      <c r="A851" s="4">
        <v>0.47437499999999999</v>
      </c>
      <c r="B851">
        <v>115.5</v>
      </c>
      <c r="C851">
        <f t="shared" si="15"/>
        <v>0.27542287033381702</v>
      </c>
    </row>
    <row r="852" spans="1:3" x14ac:dyDescent="0.3">
      <c r="A852" s="4">
        <v>0.47472222222222221</v>
      </c>
      <c r="B852">
        <v>114.7</v>
      </c>
      <c r="C852">
        <f t="shared" si="15"/>
        <v>0.22908676527677774</v>
      </c>
    </row>
    <row r="853" spans="1:3" x14ac:dyDescent="0.3">
      <c r="A853" s="4">
        <v>0.47506944444444443</v>
      </c>
      <c r="B853">
        <v>113.3</v>
      </c>
      <c r="C853">
        <f t="shared" si="15"/>
        <v>0.16595869074375616</v>
      </c>
    </row>
    <row r="854" spans="1:3" x14ac:dyDescent="0.3">
      <c r="A854" s="4">
        <v>0.47541666666666665</v>
      </c>
      <c r="B854">
        <v>112.1</v>
      </c>
      <c r="C854">
        <f t="shared" si="15"/>
        <v>0.12589254117941667</v>
      </c>
    </row>
    <row r="855" spans="1:3" x14ac:dyDescent="0.3">
      <c r="A855" s="4">
        <v>0.47576388888888888</v>
      </c>
      <c r="B855">
        <v>111.6</v>
      </c>
      <c r="C855">
        <f t="shared" si="15"/>
        <v>0.11220184543019632</v>
      </c>
    </row>
    <row r="856" spans="1:3" x14ac:dyDescent="0.3">
      <c r="A856" s="4">
        <v>0.4761111111111111</v>
      </c>
      <c r="B856">
        <v>114.7</v>
      </c>
      <c r="C856">
        <f t="shared" si="15"/>
        <v>0.22908676527677774</v>
      </c>
    </row>
    <row r="857" spans="1:3" x14ac:dyDescent="0.3">
      <c r="A857" s="4">
        <v>0.47645833333333332</v>
      </c>
      <c r="B857">
        <v>113.6</v>
      </c>
      <c r="C857">
        <f t="shared" si="15"/>
        <v>0.17782794100389224</v>
      </c>
    </row>
    <row r="858" spans="1:3" x14ac:dyDescent="0.3">
      <c r="A858" s="4">
        <v>0.47680555555555554</v>
      </c>
      <c r="B858">
        <v>112.1</v>
      </c>
      <c r="C858">
        <f t="shared" si="15"/>
        <v>0.12589254117941667</v>
      </c>
    </row>
    <row r="859" spans="1:3" x14ac:dyDescent="0.3">
      <c r="A859" s="4">
        <v>0.47715277777777776</v>
      </c>
      <c r="B859">
        <v>111</v>
      </c>
      <c r="C859">
        <f t="shared" si="15"/>
        <v>9.7723722095581195E-2</v>
      </c>
    </row>
    <row r="860" spans="1:3" x14ac:dyDescent="0.3">
      <c r="A860" s="4">
        <v>0.47749999999999998</v>
      </c>
      <c r="B860">
        <v>114.5</v>
      </c>
      <c r="C860">
        <f t="shared" si="15"/>
        <v>0.21877616239495548</v>
      </c>
    </row>
    <row r="861" spans="1:3" x14ac:dyDescent="0.3">
      <c r="A861" s="4">
        <v>0.4778472222222222</v>
      </c>
      <c r="B861">
        <v>114.1</v>
      </c>
      <c r="C861">
        <f t="shared" si="15"/>
        <v>0.19952623149688795</v>
      </c>
    </row>
    <row r="862" spans="1:3" x14ac:dyDescent="0.3">
      <c r="A862" s="4">
        <v>0.47819444444444442</v>
      </c>
      <c r="B862">
        <v>113.2</v>
      </c>
      <c r="C862">
        <f t="shared" si="15"/>
        <v>0.16218100973589328</v>
      </c>
    </row>
    <row r="863" spans="1:3" x14ac:dyDescent="0.3">
      <c r="A863" s="4">
        <v>0.47854166666666664</v>
      </c>
      <c r="B863">
        <v>111.9</v>
      </c>
      <c r="C863">
        <f t="shared" si="15"/>
        <v>0.12022644346174159</v>
      </c>
    </row>
    <row r="864" spans="1:3" x14ac:dyDescent="0.3">
      <c r="A864" s="4">
        <v>0.47888888888888886</v>
      </c>
      <c r="B864">
        <v>111.2</v>
      </c>
      <c r="C864">
        <f t="shared" si="15"/>
        <v>0.1023292992280756</v>
      </c>
    </row>
    <row r="865" spans="1:3" x14ac:dyDescent="0.3">
      <c r="A865" s="4">
        <v>0.47923611111111108</v>
      </c>
      <c r="B865">
        <v>112.8</v>
      </c>
      <c r="C865">
        <f t="shared" si="15"/>
        <v>0.14791083881682079</v>
      </c>
    </row>
    <row r="866" spans="1:3" x14ac:dyDescent="0.3">
      <c r="A866" s="4">
        <v>0.47958333333333331</v>
      </c>
      <c r="B866">
        <v>113.2</v>
      </c>
      <c r="C866">
        <f t="shared" si="15"/>
        <v>0.16218100973589328</v>
      </c>
    </row>
    <row r="867" spans="1:3" x14ac:dyDescent="0.3">
      <c r="A867" s="4">
        <v>0.47993055555555558</v>
      </c>
      <c r="B867">
        <v>111.8</v>
      </c>
      <c r="C867">
        <f t="shared" si="15"/>
        <v>0.117489755493953</v>
      </c>
    </row>
    <row r="868" spans="1:3" x14ac:dyDescent="0.3">
      <c r="A868" s="4">
        <v>0.4802777777777778</v>
      </c>
      <c r="B868">
        <v>111.3</v>
      </c>
      <c r="C868">
        <f t="shared" si="15"/>
        <v>0.10471285480509</v>
      </c>
    </row>
    <row r="869" spans="1:3" x14ac:dyDescent="0.3">
      <c r="A869" s="4">
        <v>0.48062500000000002</v>
      </c>
      <c r="B869">
        <v>110.9</v>
      </c>
      <c r="C869">
        <f t="shared" si="15"/>
        <v>9.5499258602143797E-2</v>
      </c>
    </row>
    <row r="870" spans="1:3" x14ac:dyDescent="0.3">
      <c r="A870" s="4">
        <v>0.48097222222222225</v>
      </c>
      <c r="B870">
        <v>111.4</v>
      </c>
      <c r="C870">
        <f t="shared" si="15"/>
        <v>0.10715193052376093</v>
      </c>
    </row>
    <row r="871" spans="1:3" x14ac:dyDescent="0.3">
      <c r="A871" s="4">
        <v>0.48131944444444447</v>
      </c>
      <c r="B871">
        <v>113</v>
      </c>
      <c r="C871">
        <f t="shared" si="15"/>
        <v>0.15488166189124833</v>
      </c>
    </row>
    <row r="872" spans="1:3" x14ac:dyDescent="0.3">
      <c r="A872" s="4">
        <v>0.48166666666666669</v>
      </c>
      <c r="B872">
        <v>114.9</v>
      </c>
      <c r="C872">
        <f t="shared" si="15"/>
        <v>0.23988329190194962</v>
      </c>
    </row>
    <row r="873" spans="1:3" x14ac:dyDescent="0.3">
      <c r="A873" s="4">
        <v>0.48201388888888891</v>
      </c>
      <c r="B873">
        <v>110</v>
      </c>
      <c r="C873">
        <f t="shared" si="15"/>
        <v>7.7624711662869272E-2</v>
      </c>
    </row>
    <row r="874" spans="1:3" x14ac:dyDescent="0.3">
      <c r="A874" s="4">
        <v>0.48236111111111113</v>
      </c>
      <c r="B874">
        <v>104.6</v>
      </c>
      <c r="C874">
        <f t="shared" si="15"/>
        <v>2.2387211385683389E-2</v>
      </c>
    </row>
    <row r="875" spans="1:3" x14ac:dyDescent="0.3">
      <c r="A875" s="4">
        <v>0.48270833333333335</v>
      </c>
      <c r="B875">
        <v>84.3</v>
      </c>
      <c r="C875">
        <f t="shared" si="15"/>
        <v>2.0892961308540387E-4</v>
      </c>
    </row>
    <row r="876" spans="1:3" x14ac:dyDescent="0.3">
      <c r="A876" s="4">
        <v>0.48305555555555557</v>
      </c>
      <c r="B876">
        <v>77.099999999999994</v>
      </c>
      <c r="C876">
        <f t="shared" si="15"/>
        <v>3.9810717055349634E-5</v>
      </c>
    </row>
    <row r="877" spans="1:3" x14ac:dyDescent="0.3">
      <c r="A877" s="4">
        <v>0.48340277777777779</v>
      </c>
      <c r="B877">
        <v>73.8</v>
      </c>
      <c r="C877">
        <f t="shared" si="15"/>
        <v>1.8620871366628688E-5</v>
      </c>
    </row>
    <row r="878" spans="1:3" x14ac:dyDescent="0.3">
      <c r="A878" s="4">
        <v>0.48375000000000001</v>
      </c>
      <c r="B878">
        <v>70.599999999999994</v>
      </c>
      <c r="C878">
        <f t="shared" si="15"/>
        <v>8.9125093813374425E-6</v>
      </c>
    </row>
    <row r="879" spans="1:3" x14ac:dyDescent="0.3">
      <c r="A879" s="4">
        <v>0.48409722222222223</v>
      </c>
      <c r="B879">
        <v>67.7</v>
      </c>
      <c r="C879">
        <f t="shared" si="15"/>
        <v>4.570881896148756E-6</v>
      </c>
    </row>
    <row r="880" spans="1:3" x14ac:dyDescent="0.3">
      <c r="A880" s="4">
        <v>0.48444444444444446</v>
      </c>
      <c r="B880">
        <v>64.8</v>
      </c>
      <c r="C880">
        <f t="shared" si="15"/>
        <v>2.3442288153199192E-6</v>
      </c>
    </row>
    <row r="881" spans="1:3" x14ac:dyDescent="0.3">
      <c r="A881" s="4">
        <v>0.48479166666666668</v>
      </c>
      <c r="B881">
        <v>62.5</v>
      </c>
      <c r="C881">
        <f t="shared" si="15"/>
        <v>1.3803842646028861E-6</v>
      </c>
    </row>
    <row r="882" spans="1:3" x14ac:dyDescent="0.3">
      <c r="A882" s="4">
        <v>0.4851388888888889</v>
      </c>
      <c r="B882">
        <v>60.3</v>
      </c>
      <c r="C882">
        <f t="shared" si="15"/>
        <v>8.3176377110266907E-7</v>
      </c>
    </row>
    <row r="883" spans="1:3" x14ac:dyDescent="0.3">
      <c r="A883" s="4">
        <v>0.48548611111111112</v>
      </c>
      <c r="B883">
        <v>58.5</v>
      </c>
      <c r="C883">
        <f t="shared" si="15"/>
        <v>5.4954087385762417E-7</v>
      </c>
    </row>
    <row r="884" spans="1:3" x14ac:dyDescent="0.3">
      <c r="A884" s="4">
        <v>0.48583333333333334</v>
      </c>
      <c r="B884">
        <v>56.7</v>
      </c>
      <c r="C884">
        <f t="shared" si="15"/>
        <v>3.630780547701011E-7</v>
      </c>
    </row>
    <row r="885" spans="1:3" x14ac:dyDescent="0.3">
      <c r="A885" s="4">
        <v>0.48618055555555556</v>
      </c>
      <c r="B885">
        <v>55.2</v>
      </c>
      <c r="C885">
        <f t="shared" si="15"/>
        <v>2.5703957827688658E-7</v>
      </c>
    </row>
    <row r="886" spans="1:3" x14ac:dyDescent="0.3">
      <c r="A886" s="4">
        <v>0.48652777777777778</v>
      </c>
      <c r="B886">
        <v>53.9</v>
      </c>
      <c r="C886">
        <f t="shared" si="15"/>
        <v>1.9054607179632509E-7</v>
      </c>
    </row>
    <row r="887" spans="1:3" x14ac:dyDescent="0.3">
      <c r="A887" s="4">
        <v>0.486875</v>
      </c>
      <c r="B887">
        <v>52.6</v>
      </c>
      <c r="C887">
        <f t="shared" si="15"/>
        <v>1.4125375446227539E-7</v>
      </c>
    </row>
    <row r="888" spans="1:3" x14ac:dyDescent="0.3">
      <c r="A888" s="4">
        <v>0.48722222222222222</v>
      </c>
      <c r="B888">
        <v>51.5</v>
      </c>
      <c r="C888">
        <f t="shared" si="15"/>
        <v>1.0964781961431838E-7</v>
      </c>
    </row>
    <row r="889" spans="1:3" x14ac:dyDescent="0.3">
      <c r="A889" s="4">
        <v>0.48756944444444444</v>
      </c>
      <c r="B889">
        <v>50.5</v>
      </c>
      <c r="C889">
        <f t="shared" si="15"/>
        <v>8.7096358995608061E-8</v>
      </c>
    </row>
    <row r="890" spans="1:3" x14ac:dyDescent="0.3">
      <c r="A890" s="4">
        <v>0.48791666666666667</v>
      </c>
      <c r="B890">
        <v>49.7</v>
      </c>
      <c r="C890">
        <f t="shared" si="15"/>
        <v>7.2443596007499061E-8</v>
      </c>
    </row>
    <row r="891" spans="1:3" x14ac:dyDescent="0.3">
      <c r="A891" s="4">
        <v>0.48826388888888889</v>
      </c>
      <c r="B891">
        <v>48.9</v>
      </c>
      <c r="C891">
        <f t="shared" si="15"/>
        <v>6.0255958607435861E-8</v>
      </c>
    </row>
    <row r="892" spans="1:3" x14ac:dyDescent="0.3">
      <c r="A892" s="4">
        <v>0.48861111111111111</v>
      </c>
      <c r="B892">
        <v>48.2</v>
      </c>
      <c r="C892">
        <f t="shared" si="15"/>
        <v>5.1286138399136593E-8</v>
      </c>
    </row>
    <row r="893" spans="1:3" x14ac:dyDescent="0.3">
      <c r="A893" s="4">
        <v>0.48895833333333333</v>
      </c>
      <c r="B893">
        <v>47.5</v>
      </c>
      <c r="C893">
        <f t="shared" si="15"/>
        <v>4.3651583224016566E-8</v>
      </c>
    </row>
    <row r="894" spans="1:3" x14ac:dyDescent="0.3">
      <c r="A894" s="4">
        <v>0.48930555555555555</v>
      </c>
      <c r="B894">
        <v>46.9</v>
      </c>
      <c r="C894">
        <f t="shared" si="15"/>
        <v>3.8018939632056113E-8</v>
      </c>
    </row>
    <row r="895" spans="1:3" x14ac:dyDescent="0.3">
      <c r="A895" s="4">
        <v>0.48965277777777777</v>
      </c>
      <c r="B895">
        <v>46.4</v>
      </c>
      <c r="C895">
        <f t="shared" si="15"/>
        <v>3.3884415613920266E-8</v>
      </c>
    </row>
    <row r="896" spans="1:3" x14ac:dyDescent="0.3">
      <c r="A896" s="4">
        <v>0.49</v>
      </c>
      <c r="B896">
        <v>45.9</v>
      </c>
      <c r="C896">
        <f t="shared" si="15"/>
        <v>3.0199517204020188E-8</v>
      </c>
    </row>
    <row r="897" spans="1:3" x14ac:dyDescent="0.3">
      <c r="A897" s="4">
        <v>0.49034722222222221</v>
      </c>
      <c r="B897">
        <v>45.5</v>
      </c>
      <c r="C897">
        <f t="shared" si="15"/>
        <v>2.75422870333816E-8</v>
      </c>
    </row>
    <row r="898" spans="1:3" x14ac:dyDescent="0.3">
      <c r="A898" s="4">
        <v>0.49069444444444443</v>
      </c>
      <c r="B898">
        <v>45</v>
      </c>
      <c r="C898">
        <f t="shared" si="15"/>
        <v>2.4547089156850259E-8</v>
      </c>
    </row>
    <row r="899" spans="1:3" x14ac:dyDescent="0.3">
      <c r="A899" s="4">
        <v>0.49104166666666665</v>
      </c>
      <c r="B899">
        <v>44.8</v>
      </c>
      <c r="C899">
        <f t="shared" si="15"/>
        <v>2.3442288153199181E-8</v>
      </c>
    </row>
    <row r="900" spans="1:3" x14ac:dyDescent="0.3">
      <c r="A900" s="4">
        <v>0.49138888888888888</v>
      </c>
      <c r="B900">
        <v>44.5</v>
      </c>
      <c r="C900">
        <f t="shared" si="15"/>
        <v>2.1877616239495494E-8</v>
      </c>
    </row>
    <row r="901" spans="1:3" x14ac:dyDescent="0.3">
      <c r="A901" s="4">
        <v>0.4917361111111111</v>
      </c>
      <c r="B901">
        <v>44.5</v>
      </c>
      <c r="C901">
        <f t="shared" si="15"/>
        <v>2.1877616239495494E-8</v>
      </c>
    </row>
    <row r="902" spans="1:3" x14ac:dyDescent="0.3">
      <c r="A902" s="4">
        <v>0.49208333333333332</v>
      </c>
      <c r="B902">
        <v>44.2</v>
      </c>
      <c r="C902">
        <f t="shared" si="15"/>
        <v>2.0417379446695271E-8</v>
      </c>
    </row>
    <row r="903" spans="1:3" x14ac:dyDescent="0.3">
      <c r="A903" s="4">
        <v>0.49244212962962963</v>
      </c>
      <c r="B903">
        <v>43.8</v>
      </c>
      <c r="C903">
        <f t="shared" si="15"/>
        <v>1.8620871366628663E-8</v>
      </c>
    </row>
    <row r="904" spans="1:3" x14ac:dyDescent="0.3">
      <c r="A904" s="4">
        <v>0.49277777777777776</v>
      </c>
      <c r="B904">
        <v>43.9</v>
      </c>
      <c r="C904">
        <f t="shared" si="15"/>
        <v>1.9054607179632522E-8</v>
      </c>
    </row>
    <row r="905" spans="1:3" x14ac:dyDescent="0.3">
      <c r="A905" s="4">
        <v>0.49312499999999998</v>
      </c>
      <c r="B905">
        <v>44.1</v>
      </c>
      <c r="C905">
        <f t="shared" si="15"/>
        <v>1.9952623149688773E-8</v>
      </c>
    </row>
    <row r="906" spans="1:3" x14ac:dyDescent="0.3">
      <c r="A906" s="4">
        <v>0.4934722222222222</v>
      </c>
      <c r="B906">
        <v>44.2</v>
      </c>
      <c r="C906">
        <f t="shared" si="15"/>
        <v>2.0417379446695271E-8</v>
      </c>
    </row>
    <row r="907" spans="1:3" x14ac:dyDescent="0.3">
      <c r="A907" s="4">
        <v>0.49381944444444442</v>
      </c>
      <c r="B907">
        <v>44.2</v>
      </c>
      <c r="C907">
        <f t="shared" si="15"/>
        <v>2.0417379446695271E-8</v>
      </c>
    </row>
    <row r="908" spans="1:3" x14ac:dyDescent="0.3">
      <c r="A908" s="4">
        <v>0.49416666666666664</v>
      </c>
      <c r="B908">
        <v>44.2</v>
      </c>
      <c r="C908">
        <f t="shared" si="15"/>
        <v>2.0417379446695271E-8</v>
      </c>
    </row>
    <row r="909" spans="1:3" x14ac:dyDescent="0.3">
      <c r="A909" s="4">
        <v>0.49451388888888886</v>
      </c>
      <c r="B909">
        <v>44.2</v>
      </c>
      <c r="C909">
        <f t="shared" ref="C909:C972" si="16">10^((B909-121.1)/10)</f>
        <v>2.0417379446695271E-8</v>
      </c>
    </row>
    <row r="910" spans="1:3" x14ac:dyDescent="0.3">
      <c r="A910" s="4">
        <v>0.49486111111111108</v>
      </c>
      <c r="B910">
        <v>44.2</v>
      </c>
      <c r="C910">
        <f t="shared" si="16"/>
        <v>2.0417379446695271E-8</v>
      </c>
    </row>
    <row r="911" spans="1:3" x14ac:dyDescent="0.3">
      <c r="A911" s="4">
        <v>0.49520833333333331</v>
      </c>
      <c r="B911">
        <v>44.1</v>
      </c>
      <c r="C911">
        <f t="shared" si="16"/>
        <v>1.9952623149688773E-8</v>
      </c>
    </row>
    <row r="912" spans="1:3" x14ac:dyDescent="0.3">
      <c r="A912" s="4">
        <v>0.49555555555555558</v>
      </c>
      <c r="B912">
        <v>44.1</v>
      </c>
      <c r="C912">
        <f t="shared" si="16"/>
        <v>1.9952623149688773E-8</v>
      </c>
    </row>
    <row r="913" spans="1:3" x14ac:dyDescent="0.3">
      <c r="A913" s="4">
        <v>0.4959027777777778</v>
      </c>
      <c r="B913">
        <v>44.1</v>
      </c>
      <c r="C913">
        <f t="shared" si="16"/>
        <v>1.9952623149688773E-8</v>
      </c>
    </row>
    <row r="914" spans="1:3" x14ac:dyDescent="0.3">
      <c r="A914" s="4">
        <v>0.49625000000000002</v>
      </c>
      <c r="B914">
        <v>44</v>
      </c>
      <c r="C914">
        <f t="shared" si="16"/>
        <v>1.9498445997580434E-8</v>
      </c>
    </row>
    <row r="915" spans="1:3" x14ac:dyDescent="0.3">
      <c r="A915" s="4">
        <v>0.49659722222222225</v>
      </c>
      <c r="B915">
        <v>43.9</v>
      </c>
      <c r="C915">
        <f t="shared" si="16"/>
        <v>1.9054607179632522E-8</v>
      </c>
    </row>
    <row r="916" spans="1:3" x14ac:dyDescent="0.3">
      <c r="A916" s="4">
        <v>0.49694444444444447</v>
      </c>
      <c r="B916">
        <v>43.8</v>
      </c>
      <c r="C916">
        <f t="shared" si="16"/>
        <v>1.8620871366628663E-8</v>
      </c>
    </row>
    <row r="917" spans="1:3" x14ac:dyDescent="0.3">
      <c r="A917" s="4">
        <v>0.49729166666666669</v>
      </c>
      <c r="B917">
        <v>43.8</v>
      </c>
      <c r="C917">
        <f t="shared" si="16"/>
        <v>1.8620871366628663E-8</v>
      </c>
    </row>
    <row r="918" spans="1:3" x14ac:dyDescent="0.3">
      <c r="A918" s="4">
        <v>0.49763888888888891</v>
      </c>
      <c r="B918">
        <v>43.7</v>
      </c>
      <c r="C918">
        <f t="shared" si="16"/>
        <v>1.8197008586099822E-8</v>
      </c>
    </row>
    <row r="919" spans="1:3" x14ac:dyDescent="0.3">
      <c r="A919" s="4">
        <v>0.49798611111111113</v>
      </c>
      <c r="B919">
        <v>43.7</v>
      </c>
      <c r="C919">
        <f t="shared" si="16"/>
        <v>1.8197008586099822E-8</v>
      </c>
    </row>
    <row r="920" spans="1:3" x14ac:dyDescent="0.3">
      <c r="A920" s="4">
        <v>0.49833333333333335</v>
      </c>
      <c r="B920">
        <v>43.7</v>
      </c>
      <c r="C920">
        <f t="shared" si="16"/>
        <v>1.8197008586099822E-8</v>
      </c>
    </row>
    <row r="921" spans="1:3" x14ac:dyDescent="0.3">
      <c r="A921" s="4">
        <v>0.49868055555555557</v>
      </c>
      <c r="B921">
        <v>43.6</v>
      </c>
      <c r="C921">
        <f t="shared" si="16"/>
        <v>1.7782794100389218E-8</v>
      </c>
    </row>
    <row r="922" spans="1:3" x14ac:dyDescent="0.3">
      <c r="A922" s="4">
        <v>0.49902777777777779</v>
      </c>
      <c r="B922">
        <v>43.6</v>
      </c>
      <c r="C922">
        <f t="shared" si="16"/>
        <v>1.7782794100389218E-8</v>
      </c>
    </row>
    <row r="923" spans="1:3" x14ac:dyDescent="0.3">
      <c r="A923" s="4">
        <v>0.49937500000000001</v>
      </c>
      <c r="B923">
        <v>43.5</v>
      </c>
      <c r="C923">
        <f t="shared" si="16"/>
        <v>1.7378008287493747E-8</v>
      </c>
    </row>
    <row r="924" spans="1:3" x14ac:dyDescent="0.3">
      <c r="A924" s="4">
        <v>0.49972222222222223</v>
      </c>
      <c r="B924">
        <v>43.5</v>
      </c>
      <c r="C924">
        <f t="shared" si="16"/>
        <v>1.7378008287493747E-8</v>
      </c>
    </row>
    <row r="925" spans="1:3" x14ac:dyDescent="0.3">
      <c r="A925" s="4">
        <v>0.50006944444444446</v>
      </c>
      <c r="B925">
        <v>43.4</v>
      </c>
      <c r="C925">
        <f t="shared" si="16"/>
        <v>1.6982436524617439E-8</v>
      </c>
    </row>
    <row r="926" spans="1:3" x14ac:dyDescent="0.3">
      <c r="A926" s="4">
        <v>0.50041666666666662</v>
      </c>
      <c r="B926">
        <v>43.3</v>
      </c>
      <c r="C926">
        <f t="shared" si="16"/>
        <v>1.65958690743756E-8</v>
      </c>
    </row>
    <row r="927" spans="1:3" x14ac:dyDescent="0.3">
      <c r="A927" s="4">
        <v>0.5007638888888889</v>
      </c>
      <c r="B927">
        <v>43.2</v>
      </c>
      <c r="C927">
        <f t="shared" si="16"/>
        <v>1.6218100973589297E-8</v>
      </c>
    </row>
    <row r="928" spans="1:3" x14ac:dyDescent="0.3">
      <c r="A928" s="4">
        <v>0.50111111111111106</v>
      </c>
      <c r="B928">
        <v>43.1</v>
      </c>
      <c r="C928">
        <f t="shared" si="16"/>
        <v>1.5848931924611133E-8</v>
      </c>
    </row>
    <row r="929" spans="1:3" x14ac:dyDescent="0.3">
      <c r="A929" s="4">
        <v>0.50145833333333334</v>
      </c>
      <c r="B929">
        <v>43</v>
      </c>
      <c r="C929">
        <f t="shared" si="16"/>
        <v>1.5488166189124814E-8</v>
      </c>
    </row>
    <row r="930" spans="1:3" x14ac:dyDescent="0.3">
      <c r="A930" s="4">
        <v>0.5018055555555555</v>
      </c>
      <c r="B930">
        <v>43</v>
      </c>
      <c r="C930">
        <f t="shared" si="16"/>
        <v>1.5488166189124814E-8</v>
      </c>
    </row>
    <row r="931" spans="1:3" x14ac:dyDescent="0.3">
      <c r="A931" s="4">
        <v>0.50215277777777778</v>
      </c>
      <c r="B931">
        <v>42.9</v>
      </c>
      <c r="C931">
        <f t="shared" si="16"/>
        <v>1.5135612484362082E-8</v>
      </c>
    </row>
    <row r="932" spans="1:3" x14ac:dyDescent="0.3">
      <c r="A932" s="4">
        <v>0.50249999999999995</v>
      </c>
      <c r="B932">
        <v>42.9</v>
      </c>
      <c r="C932">
        <f t="shared" si="16"/>
        <v>1.5135612484362082E-8</v>
      </c>
    </row>
    <row r="933" spans="1:3" x14ac:dyDescent="0.3">
      <c r="A933" s="4">
        <v>0.50284722222222222</v>
      </c>
      <c r="B933">
        <v>42.8</v>
      </c>
      <c r="C933">
        <f t="shared" si="16"/>
        <v>1.4791083881682026E-8</v>
      </c>
    </row>
    <row r="934" spans="1:3" x14ac:dyDescent="0.3">
      <c r="A934" s="4">
        <v>0.5031944444444445</v>
      </c>
      <c r="B934">
        <v>42.7</v>
      </c>
      <c r="C934">
        <f t="shared" si="16"/>
        <v>1.4454397707459279E-8</v>
      </c>
    </row>
    <row r="935" spans="1:3" x14ac:dyDescent="0.3">
      <c r="A935" s="4">
        <v>0.50354166666666667</v>
      </c>
      <c r="B935">
        <v>42.6</v>
      </c>
      <c r="C935">
        <f t="shared" si="16"/>
        <v>1.4125375446227547E-8</v>
      </c>
    </row>
    <row r="936" spans="1:3" x14ac:dyDescent="0.3">
      <c r="A936" s="4">
        <v>0.50388888888888894</v>
      </c>
      <c r="B936">
        <v>42.5</v>
      </c>
      <c r="C936">
        <f t="shared" si="16"/>
        <v>1.3803842646028856E-8</v>
      </c>
    </row>
    <row r="937" spans="1:3" x14ac:dyDescent="0.3">
      <c r="A937" s="4">
        <v>0.50423611111111111</v>
      </c>
      <c r="B937">
        <v>42.5</v>
      </c>
      <c r="C937">
        <f t="shared" si="16"/>
        <v>1.3803842646028856E-8</v>
      </c>
    </row>
    <row r="938" spans="1:3" x14ac:dyDescent="0.3">
      <c r="A938" s="4">
        <v>0.50458333333333338</v>
      </c>
      <c r="B938">
        <v>42.4</v>
      </c>
      <c r="C938">
        <f t="shared" si="16"/>
        <v>1.3489628825916543E-8</v>
      </c>
    </row>
    <row r="939" spans="1:3" x14ac:dyDescent="0.3">
      <c r="A939" s="4">
        <v>0.50494212962962959</v>
      </c>
      <c r="B939">
        <v>42.4</v>
      </c>
      <c r="C939">
        <f t="shared" si="16"/>
        <v>1.3489628825916543E-8</v>
      </c>
    </row>
    <row r="940" spans="1:3" x14ac:dyDescent="0.3">
      <c r="A940" s="4">
        <v>0.50527777777777783</v>
      </c>
      <c r="B940">
        <v>42.3</v>
      </c>
      <c r="C940">
        <f t="shared" si="16"/>
        <v>1.3182567385564031E-8</v>
      </c>
    </row>
    <row r="941" spans="1:3" x14ac:dyDescent="0.3">
      <c r="A941" s="4">
        <v>0.50562499999999999</v>
      </c>
      <c r="B941">
        <v>42.2</v>
      </c>
      <c r="C941">
        <f t="shared" si="16"/>
        <v>1.288249551693135E-8</v>
      </c>
    </row>
    <row r="942" spans="1:3" x14ac:dyDescent="0.3">
      <c r="A942" s="4">
        <v>0.50597222222222227</v>
      </c>
      <c r="B942">
        <v>42.2</v>
      </c>
      <c r="C942">
        <f t="shared" si="16"/>
        <v>1.288249551693135E-8</v>
      </c>
    </row>
    <row r="943" spans="1:3" x14ac:dyDescent="0.3">
      <c r="A943" s="4">
        <v>0.50631944444444443</v>
      </c>
      <c r="B943">
        <v>42.2</v>
      </c>
      <c r="C943">
        <f t="shared" si="16"/>
        <v>1.288249551693135E-8</v>
      </c>
    </row>
    <row r="944" spans="1:3" x14ac:dyDescent="0.3">
      <c r="A944" s="4">
        <v>0.50666666666666671</v>
      </c>
      <c r="B944">
        <v>42.1</v>
      </c>
      <c r="C944">
        <f t="shared" si="16"/>
        <v>1.2589254117941638E-8</v>
      </c>
    </row>
    <row r="945" spans="1:3" x14ac:dyDescent="0.3">
      <c r="A945" s="4">
        <v>0.50702546296296291</v>
      </c>
      <c r="B945">
        <v>42</v>
      </c>
      <c r="C945">
        <f t="shared" si="16"/>
        <v>1.2302687708123826E-8</v>
      </c>
    </row>
    <row r="946" spans="1:3" x14ac:dyDescent="0.3">
      <c r="A946" s="4">
        <v>0.50736111111111115</v>
      </c>
      <c r="B946">
        <v>42</v>
      </c>
      <c r="C946">
        <f t="shared" si="16"/>
        <v>1.2302687708123826E-8</v>
      </c>
    </row>
    <row r="947" spans="1:3" x14ac:dyDescent="0.3">
      <c r="A947" s="4">
        <v>0.50770833333333332</v>
      </c>
      <c r="B947">
        <v>41.9</v>
      </c>
      <c r="C947">
        <f t="shared" si="16"/>
        <v>1.2022644346174142E-8</v>
      </c>
    </row>
    <row r="948" spans="1:3" x14ac:dyDescent="0.3">
      <c r="A948" s="4">
        <v>0.50805555555555559</v>
      </c>
      <c r="B948">
        <v>41.9</v>
      </c>
      <c r="C948">
        <f t="shared" si="16"/>
        <v>1.2022644346174142E-8</v>
      </c>
    </row>
    <row r="949" spans="1:3" x14ac:dyDescent="0.3">
      <c r="A949" s="4">
        <v>0.50840277777777776</v>
      </c>
      <c r="B949">
        <v>41.8</v>
      </c>
      <c r="C949">
        <f t="shared" si="16"/>
        <v>1.1748975549395268E-8</v>
      </c>
    </row>
    <row r="950" spans="1:3" x14ac:dyDescent="0.3">
      <c r="A950" s="4">
        <v>0.50875000000000004</v>
      </c>
      <c r="B950">
        <v>41.8</v>
      </c>
      <c r="C950">
        <f t="shared" si="16"/>
        <v>1.1748975549395268E-8</v>
      </c>
    </row>
    <row r="951" spans="1:3" x14ac:dyDescent="0.3">
      <c r="A951" s="4">
        <v>0.5090972222222222</v>
      </c>
      <c r="B951">
        <v>41.7</v>
      </c>
      <c r="C951">
        <f t="shared" si="16"/>
        <v>1.14815362149688E-8</v>
      </c>
    </row>
    <row r="952" spans="1:3" x14ac:dyDescent="0.3">
      <c r="A952" s="4">
        <v>0.50944444444444448</v>
      </c>
      <c r="B952">
        <v>41.6</v>
      </c>
      <c r="C952">
        <f t="shared" si="16"/>
        <v>1.1220184543019609E-8</v>
      </c>
    </row>
    <row r="953" spans="1:3" x14ac:dyDescent="0.3">
      <c r="A953" s="4">
        <v>0.50979166666666664</v>
      </c>
      <c r="B953">
        <v>41.6</v>
      </c>
      <c r="C953">
        <f t="shared" si="16"/>
        <v>1.1220184543019609E-8</v>
      </c>
    </row>
    <row r="954" spans="1:3" x14ac:dyDescent="0.3">
      <c r="A954" s="4">
        <v>0.51013888888888892</v>
      </c>
      <c r="B954">
        <v>41.5</v>
      </c>
      <c r="C954">
        <f t="shared" si="16"/>
        <v>1.0964781961431866E-8</v>
      </c>
    </row>
    <row r="955" spans="1:3" x14ac:dyDescent="0.3">
      <c r="A955" s="4">
        <v>0.51048611111111108</v>
      </c>
      <c r="B955">
        <v>41.4</v>
      </c>
      <c r="C955">
        <f t="shared" si="16"/>
        <v>1.0715193052376079E-8</v>
      </c>
    </row>
    <row r="956" spans="1:3" x14ac:dyDescent="0.3">
      <c r="A956" s="4">
        <v>0.51083333333333336</v>
      </c>
      <c r="B956">
        <v>41.3</v>
      </c>
      <c r="C956">
        <f t="shared" si="16"/>
        <v>1.0471285480508974E-8</v>
      </c>
    </row>
    <row r="957" spans="1:3" x14ac:dyDescent="0.3">
      <c r="A957" s="4">
        <v>0.51118055555555553</v>
      </c>
      <c r="B957">
        <v>41.3</v>
      </c>
      <c r="C957">
        <f t="shared" si="16"/>
        <v>1.0471285480508974E-8</v>
      </c>
    </row>
    <row r="958" spans="1:3" x14ac:dyDescent="0.3">
      <c r="A958" s="4">
        <v>0.5115277777777778</v>
      </c>
      <c r="B958">
        <v>41.2</v>
      </c>
      <c r="C958">
        <f t="shared" si="16"/>
        <v>1.0232929922807522E-8</v>
      </c>
    </row>
    <row r="959" spans="1:3" x14ac:dyDescent="0.3">
      <c r="A959" s="4">
        <v>0.51187499999999997</v>
      </c>
      <c r="B959">
        <v>41.1</v>
      </c>
      <c r="C959">
        <f t="shared" si="16"/>
        <v>1E-8</v>
      </c>
    </row>
    <row r="960" spans="1:3" x14ac:dyDescent="0.3">
      <c r="A960" s="4">
        <v>0.51222222222222225</v>
      </c>
      <c r="B960">
        <v>41.1</v>
      </c>
      <c r="C960">
        <f t="shared" si="16"/>
        <v>1E-8</v>
      </c>
    </row>
    <row r="961" spans="1:3" x14ac:dyDescent="0.3">
      <c r="A961" s="4">
        <v>0.51258101851851856</v>
      </c>
      <c r="B961">
        <v>41</v>
      </c>
      <c r="C961">
        <f t="shared" si="16"/>
        <v>9.7723722095580911E-9</v>
      </c>
    </row>
    <row r="962" spans="1:3" x14ac:dyDescent="0.3">
      <c r="A962" s="4">
        <v>0.51291666666666669</v>
      </c>
      <c r="B962">
        <v>40.9</v>
      </c>
      <c r="C962">
        <f t="shared" si="16"/>
        <v>9.5499258602143453E-9</v>
      </c>
    </row>
    <row r="963" spans="1:3" x14ac:dyDescent="0.3">
      <c r="A963" s="4">
        <v>0.513275462962963</v>
      </c>
      <c r="B963">
        <v>40.9</v>
      </c>
      <c r="C963">
        <f t="shared" si="16"/>
        <v>9.5499258602143453E-9</v>
      </c>
    </row>
    <row r="964" spans="1:3" x14ac:dyDescent="0.3">
      <c r="A964" s="4">
        <v>0.51362268518518517</v>
      </c>
      <c r="B964">
        <v>40.799999999999997</v>
      </c>
      <c r="C964">
        <f t="shared" si="16"/>
        <v>9.3325430079698966E-9</v>
      </c>
    </row>
    <row r="965" spans="1:3" x14ac:dyDescent="0.3">
      <c r="A965" s="4">
        <v>0.51396990740740744</v>
      </c>
      <c r="B965">
        <v>40.799999999999997</v>
      </c>
      <c r="C965">
        <f t="shared" si="16"/>
        <v>9.3325430079698966E-9</v>
      </c>
    </row>
    <row r="966" spans="1:3" x14ac:dyDescent="0.3">
      <c r="A966" s="4">
        <v>0.51431712962962961</v>
      </c>
      <c r="B966">
        <v>40.700000000000003</v>
      </c>
      <c r="C966">
        <f t="shared" si="16"/>
        <v>9.1201083935590851E-9</v>
      </c>
    </row>
    <row r="967" spans="1:3" x14ac:dyDescent="0.3">
      <c r="A967" s="4">
        <v>0.51465277777777774</v>
      </c>
      <c r="B967">
        <v>40.6</v>
      </c>
      <c r="C967">
        <f t="shared" si="16"/>
        <v>8.9125093813374133E-9</v>
      </c>
    </row>
    <row r="968" spans="1:3" x14ac:dyDescent="0.3">
      <c r="A968" s="4">
        <v>0.51500000000000001</v>
      </c>
      <c r="B968">
        <v>40.6</v>
      </c>
      <c r="C968">
        <f t="shared" si="16"/>
        <v>8.9125093813374133E-9</v>
      </c>
    </row>
    <row r="969" spans="1:3" x14ac:dyDescent="0.3">
      <c r="A969" s="4">
        <v>0.51534722222222218</v>
      </c>
      <c r="B969">
        <v>40.6</v>
      </c>
      <c r="C969">
        <f t="shared" si="16"/>
        <v>8.9125093813374133E-9</v>
      </c>
    </row>
    <row r="970" spans="1:3" x14ac:dyDescent="0.3">
      <c r="A970" s="4">
        <v>0.51570601851851849</v>
      </c>
      <c r="B970">
        <v>40.5</v>
      </c>
      <c r="C970">
        <f t="shared" si="16"/>
        <v>8.7096358995608263E-9</v>
      </c>
    </row>
    <row r="971" spans="1:3" x14ac:dyDescent="0.3">
      <c r="A971" s="4">
        <v>0.51605324074074077</v>
      </c>
      <c r="B971">
        <v>40.4</v>
      </c>
      <c r="C971">
        <f t="shared" si="16"/>
        <v>8.5113803820237851E-9</v>
      </c>
    </row>
    <row r="972" spans="1:3" x14ac:dyDescent="0.3">
      <c r="A972" s="4">
        <v>0.51640046296296294</v>
      </c>
      <c r="B972">
        <v>40.4</v>
      </c>
      <c r="C972">
        <f t="shared" si="16"/>
        <v>8.5113803820237851E-9</v>
      </c>
    </row>
    <row r="973" spans="1:3" x14ac:dyDescent="0.3">
      <c r="A973" s="4">
        <v>0.51673611111111106</v>
      </c>
      <c r="B973">
        <v>40.4</v>
      </c>
      <c r="C973">
        <f t="shared" ref="C973:C1036" si="17">10^((B973-121.1)/10)</f>
        <v>8.5113803820237851E-9</v>
      </c>
    </row>
    <row r="974" spans="1:3" x14ac:dyDescent="0.3">
      <c r="A974" s="4">
        <v>0.51709490740740738</v>
      </c>
      <c r="B974">
        <v>40.299999999999997</v>
      </c>
      <c r="C974">
        <f t="shared" si="17"/>
        <v>8.3176377110267021E-9</v>
      </c>
    </row>
    <row r="975" spans="1:3" x14ac:dyDescent="0.3">
      <c r="A975" s="4">
        <v>0.51744212962962965</v>
      </c>
      <c r="B975">
        <v>40.299999999999997</v>
      </c>
      <c r="C975">
        <f t="shared" si="17"/>
        <v>8.3176377110267021E-9</v>
      </c>
    </row>
    <row r="976" spans="1:3" x14ac:dyDescent="0.3">
      <c r="A976" s="4">
        <v>0.51778935185185182</v>
      </c>
      <c r="B976">
        <v>40.200000000000003</v>
      </c>
      <c r="C976">
        <f t="shared" si="17"/>
        <v>8.1283051616409861E-9</v>
      </c>
    </row>
    <row r="977" spans="1:3" x14ac:dyDescent="0.3">
      <c r="A977" s="4">
        <v>0.5181365740740741</v>
      </c>
      <c r="B977">
        <v>40.200000000000003</v>
      </c>
      <c r="C977">
        <f t="shared" si="17"/>
        <v>8.1283051616409861E-9</v>
      </c>
    </row>
    <row r="978" spans="1:3" x14ac:dyDescent="0.3">
      <c r="A978" s="4">
        <v>0.51847222222222222</v>
      </c>
      <c r="B978">
        <v>40.1</v>
      </c>
      <c r="C978">
        <f t="shared" si="17"/>
        <v>7.9432823472428087E-9</v>
      </c>
    </row>
    <row r="979" spans="1:3" x14ac:dyDescent="0.3">
      <c r="A979" s="4">
        <v>0.51883101851851854</v>
      </c>
      <c r="B979">
        <v>40</v>
      </c>
      <c r="C979">
        <f t="shared" si="17"/>
        <v>7.7624711662869124E-9</v>
      </c>
    </row>
    <row r="980" spans="1:3" x14ac:dyDescent="0.3">
      <c r="A980" s="4">
        <v>0.51916666666666667</v>
      </c>
      <c r="B980">
        <v>40</v>
      </c>
      <c r="C980">
        <f t="shared" si="17"/>
        <v>7.7624711662869124E-9</v>
      </c>
    </row>
    <row r="981" spans="1:3" x14ac:dyDescent="0.3">
      <c r="A981" s="4">
        <v>0.51951388888888894</v>
      </c>
      <c r="B981">
        <v>40</v>
      </c>
      <c r="C981">
        <f t="shared" si="17"/>
        <v>7.7624711662869124E-9</v>
      </c>
    </row>
    <row r="982" spans="1:3" x14ac:dyDescent="0.3">
      <c r="A982" s="4">
        <v>0.51987268518518515</v>
      </c>
      <c r="B982">
        <v>40</v>
      </c>
      <c r="C982">
        <f t="shared" si="17"/>
        <v>7.7624711662869124E-9</v>
      </c>
    </row>
    <row r="983" spans="1:3" x14ac:dyDescent="0.3">
      <c r="A983" s="4">
        <v>0.52021990740740742</v>
      </c>
      <c r="B983">
        <v>39.9</v>
      </c>
      <c r="C983">
        <f t="shared" si="17"/>
        <v>7.585775750291834E-9</v>
      </c>
    </row>
    <row r="984" spans="1:3" x14ac:dyDescent="0.3">
      <c r="A984" s="4">
        <v>0.52056712962962959</v>
      </c>
      <c r="B984">
        <v>39.9</v>
      </c>
      <c r="C984">
        <f t="shared" si="17"/>
        <v>7.585775750291834E-9</v>
      </c>
    </row>
    <row r="985" spans="1:3" x14ac:dyDescent="0.3">
      <c r="A985" s="4">
        <v>0.52091435185185186</v>
      </c>
      <c r="B985">
        <v>39.9</v>
      </c>
      <c r="C985">
        <f t="shared" si="17"/>
        <v>7.585775750291834E-9</v>
      </c>
    </row>
    <row r="986" spans="1:3" x14ac:dyDescent="0.3">
      <c r="A986" s="4">
        <v>0.52126157407407403</v>
      </c>
      <c r="B986">
        <v>39.799999999999997</v>
      </c>
      <c r="C986">
        <f t="shared" si="17"/>
        <v>7.4131024130091707E-9</v>
      </c>
    </row>
    <row r="987" spans="1:3" x14ac:dyDescent="0.3">
      <c r="A987" s="4">
        <v>0.52160879629629631</v>
      </c>
      <c r="B987">
        <v>39.799999999999997</v>
      </c>
      <c r="C987">
        <f t="shared" si="17"/>
        <v>7.4131024130091707E-9</v>
      </c>
    </row>
    <row r="988" spans="1:3" x14ac:dyDescent="0.3">
      <c r="A988" s="4">
        <v>0.52195601851851847</v>
      </c>
      <c r="B988">
        <v>39.700000000000003</v>
      </c>
      <c r="C988">
        <f t="shared" si="17"/>
        <v>7.2443596007498986E-9</v>
      </c>
    </row>
    <row r="989" spans="1:3" x14ac:dyDescent="0.3">
      <c r="A989" s="4">
        <v>0.52229166666666671</v>
      </c>
      <c r="B989">
        <v>39.700000000000003</v>
      </c>
      <c r="C989">
        <f t="shared" si="17"/>
        <v>7.2443596007498986E-9</v>
      </c>
    </row>
    <row r="990" spans="1:3" x14ac:dyDescent="0.3">
      <c r="A990" s="4">
        <v>0.52265046296296291</v>
      </c>
      <c r="B990">
        <v>39.6</v>
      </c>
      <c r="C990">
        <f t="shared" si="17"/>
        <v>7.0794578438413513E-9</v>
      </c>
    </row>
    <row r="991" spans="1:3" x14ac:dyDescent="0.3">
      <c r="A991" s="4">
        <v>0.52299768518518519</v>
      </c>
      <c r="B991">
        <v>39.6</v>
      </c>
      <c r="C991">
        <f t="shared" si="17"/>
        <v>7.0794578438413513E-9</v>
      </c>
    </row>
    <row r="992" spans="1:3" x14ac:dyDescent="0.3">
      <c r="A992" s="4">
        <v>0.52334490740740736</v>
      </c>
      <c r="B992">
        <v>39.6</v>
      </c>
      <c r="C992">
        <f t="shared" si="17"/>
        <v>7.0794578438413513E-9</v>
      </c>
    </row>
    <row r="993" spans="1:3" x14ac:dyDescent="0.3">
      <c r="A993" s="4">
        <v>0.52369212962962963</v>
      </c>
      <c r="B993">
        <v>39.5</v>
      </c>
      <c r="C993">
        <f t="shared" si="17"/>
        <v>6.9183097091893386E-9</v>
      </c>
    </row>
    <row r="994" spans="1:3" x14ac:dyDescent="0.3">
      <c r="A994" s="4">
        <v>0.52402777777777776</v>
      </c>
      <c r="B994">
        <v>39.5</v>
      </c>
      <c r="C994">
        <f t="shared" si="17"/>
        <v>6.9183097091893386E-9</v>
      </c>
    </row>
    <row r="995" spans="1:3" x14ac:dyDescent="0.3">
      <c r="A995" s="4">
        <v>0.52438657407407407</v>
      </c>
      <c r="B995">
        <v>39.4</v>
      </c>
      <c r="C995">
        <f t="shared" si="17"/>
        <v>6.7608297539198406E-9</v>
      </c>
    </row>
    <row r="996" spans="1:3" x14ac:dyDescent="0.3">
      <c r="A996" s="4">
        <v>0.5247222222222222</v>
      </c>
      <c r="B996">
        <v>39.4</v>
      </c>
      <c r="C996">
        <f t="shared" si="17"/>
        <v>6.7608297539198406E-9</v>
      </c>
    </row>
    <row r="997" spans="1:3" x14ac:dyDescent="0.3">
      <c r="A997" s="4">
        <v>0.52508101851851852</v>
      </c>
      <c r="B997">
        <v>39.299999999999997</v>
      </c>
      <c r="C997">
        <f t="shared" si="17"/>
        <v>6.6069344800759602E-9</v>
      </c>
    </row>
    <row r="998" spans="1:3" x14ac:dyDescent="0.3">
      <c r="A998" s="4">
        <v>0.52541666666666664</v>
      </c>
      <c r="B998">
        <v>39.299999999999997</v>
      </c>
      <c r="C998">
        <f t="shared" si="17"/>
        <v>6.6069344800759602E-9</v>
      </c>
    </row>
    <row r="999" spans="1:3" x14ac:dyDescent="0.3">
      <c r="A999" s="4">
        <v>0.52576388888888892</v>
      </c>
      <c r="B999">
        <v>39.299999999999997</v>
      </c>
      <c r="C999">
        <f t="shared" si="17"/>
        <v>6.6069344800759602E-9</v>
      </c>
    </row>
    <row r="1000" spans="1:3" x14ac:dyDescent="0.3">
      <c r="A1000" s="4">
        <v>0.52612268518518523</v>
      </c>
      <c r="B1000">
        <v>39.200000000000003</v>
      </c>
      <c r="C1000">
        <f t="shared" si="17"/>
        <v>6.456542290346555E-9</v>
      </c>
    </row>
    <row r="1001" spans="1:3" x14ac:dyDescent="0.3">
      <c r="A1001" s="4">
        <v>0.5264699074074074</v>
      </c>
      <c r="B1001">
        <v>39.200000000000003</v>
      </c>
      <c r="C1001">
        <f t="shared" si="17"/>
        <v>6.456542290346555E-9</v>
      </c>
    </row>
    <row r="1002" spans="1:3" x14ac:dyDescent="0.3">
      <c r="A1002" s="4">
        <v>0.52681712962962968</v>
      </c>
      <c r="B1002">
        <v>39.1</v>
      </c>
      <c r="C1002">
        <f t="shared" si="17"/>
        <v>6.3095734448019329E-9</v>
      </c>
    </row>
    <row r="1003" spans="1:3" x14ac:dyDescent="0.3">
      <c r="A1003" s="4">
        <v>0.52716435185185184</v>
      </c>
      <c r="B1003">
        <v>39.1</v>
      </c>
      <c r="C1003">
        <f t="shared" si="17"/>
        <v>6.3095734448019329E-9</v>
      </c>
    </row>
    <row r="1004" spans="1:3" x14ac:dyDescent="0.3">
      <c r="A1004" s="4">
        <v>0.52751157407407412</v>
      </c>
      <c r="B1004">
        <v>39</v>
      </c>
      <c r="C1004">
        <f t="shared" si="17"/>
        <v>6.1659500186148231E-9</v>
      </c>
    </row>
    <row r="1005" spans="1:3" x14ac:dyDescent="0.3">
      <c r="A1005" s="4">
        <v>0.52785879629629628</v>
      </c>
      <c r="B1005">
        <v>39</v>
      </c>
      <c r="C1005">
        <f t="shared" si="17"/>
        <v>6.1659500186148231E-9</v>
      </c>
    </row>
    <row r="1006" spans="1:3" x14ac:dyDescent="0.3">
      <c r="A1006" s="4">
        <v>0.52820601851851856</v>
      </c>
      <c r="B1006">
        <v>39</v>
      </c>
      <c r="C1006">
        <f t="shared" si="17"/>
        <v>6.1659500186148231E-9</v>
      </c>
    </row>
    <row r="1007" spans="1:3" x14ac:dyDescent="0.3">
      <c r="A1007" s="4">
        <v>0.52855324074074073</v>
      </c>
      <c r="B1007">
        <v>39</v>
      </c>
      <c r="C1007">
        <f t="shared" si="17"/>
        <v>6.1659500186148231E-9</v>
      </c>
    </row>
    <row r="1008" spans="1:3" x14ac:dyDescent="0.3">
      <c r="A1008" s="4">
        <v>0.52888888888888885</v>
      </c>
      <c r="B1008">
        <v>38.9</v>
      </c>
      <c r="C1008">
        <f t="shared" si="17"/>
        <v>6.0255958607435797E-9</v>
      </c>
    </row>
    <row r="1009" spans="1:3" x14ac:dyDescent="0.3">
      <c r="A1009" s="4">
        <v>0.52924768518518517</v>
      </c>
      <c r="B1009">
        <v>38.9</v>
      </c>
      <c r="C1009">
        <f t="shared" si="17"/>
        <v>6.0255958607435797E-9</v>
      </c>
    </row>
    <row r="1010" spans="1:3" x14ac:dyDescent="0.3">
      <c r="A1010" s="4">
        <v>0.52958333333333329</v>
      </c>
      <c r="B1010">
        <v>38.799999999999997</v>
      </c>
      <c r="C1010">
        <f t="shared" si="17"/>
        <v>5.8884365535558713E-9</v>
      </c>
    </row>
    <row r="1011" spans="1:3" x14ac:dyDescent="0.3">
      <c r="A1011" s="4">
        <v>0.52994212962962961</v>
      </c>
      <c r="B1011">
        <v>38.799999999999997</v>
      </c>
      <c r="C1011">
        <f t="shared" si="17"/>
        <v>5.8884365535558713E-9</v>
      </c>
    </row>
    <row r="1012" spans="1:3" x14ac:dyDescent="0.3">
      <c r="A1012" s="4">
        <v>0.53027777777777774</v>
      </c>
      <c r="B1012">
        <v>38.700000000000003</v>
      </c>
      <c r="C1012">
        <f t="shared" si="17"/>
        <v>5.7543993733715727E-9</v>
      </c>
    </row>
    <row r="1013" spans="1:3" x14ac:dyDescent="0.3">
      <c r="A1013" s="4">
        <v>0.53063657407407405</v>
      </c>
      <c r="B1013">
        <v>38.700000000000003</v>
      </c>
      <c r="C1013">
        <f t="shared" si="17"/>
        <v>5.7543993733715727E-9</v>
      </c>
    </row>
    <row r="1014" spans="1:3" x14ac:dyDescent="0.3">
      <c r="A1014" s="4">
        <v>0.53097222222222218</v>
      </c>
      <c r="B1014">
        <v>38.700000000000003</v>
      </c>
      <c r="C1014">
        <f t="shared" si="17"/>
        <v>5.7543993733715727E-9</v>
      </c>
    </row>
    <row r="1015" spans="1:3" x14ac:dyDescent="0.3">
      <c r="A1015" s="4">
        <v>0.53133101851851849</v>
      </c>
      <c r="B1015">
        <v>38.700000000000003</v>
      </c>
      <c r="C1015">
        <f t="shared" si="17"/>
        <v>5.7543993733715727E-9</v>
      </c>
    </row>
    <row r="1016" spans="1:3" x14ac:dyDescent="0.3">
      <c r="A1016" s="4">
        <v>0.53167824074074077</v>
      </c>
      <c r="B1016">
        <v>38.700000000000003</v>
      </c>
      <c r="C1016">
        <f t="shared" si="17"/>
        <v>5.7543993733715727E-9</v>
      </c>
    </row>
    <row r="1017" spans="1:3" x14ac:dyDescent="0.3">
      <c r="A1017" s="4">
        <v>0.53202546296296294</v>
      </c>
      <c r="B1017">
        <v>38.6</v>
      </c>
      <c r="C1017">
        <f t="shared" si="17"/>
        <v>5.6234132519034744E-9</v>
      </c>
    </row>
    <row r="1018" spans="1:3" x14ac:dyDescent="0.3">
      <c r="A1018" s="4">
        <v>0.53237268518518521</v>
      </c>
      <c r="B1018">
        <v>38.6</v>
      </c>
      <c r="C1018">
        <f t="shared" si="17"/>
        <v>5.6234132519034744E-9</v>
      </c>
    </row>
    <row r="1019" spans="1:3" x14ac:dyDescent="0.3">
      <c r="A1019" s="4">
        <v>0.53271990740740738</v>
      </c>
      <c r="B1019">
        <v>38.5</v>
      </c>
      <c r="C1019">
        <f t="shared" si="17"/>
        <v>5.4954087385762298E-9</v>
      </c>
    </row>
    <row r="1020" spans="1:3" x14ac:dyDescent="0.3">
      <c r="A1020" s="4">
        <v>0.53306712962962965</v>
      </c>
      <c r="B1020">
        <v>38.5</v>
      </c>
      <c r="C1020">
        <f t="shared" si="17"/>
        <v>5.4954087385762298E-9</v>
      </c>
    </row>
    <row r="1021" spans="1:3" x14ac:dyDescent="0.3">
      <c r="A1021" s="4">
        <v>0.53341435185185182</v>
      </c>
      <c r="B1021">
        <v>38.5</v>
      </c>
      <c r="C1021">
        <f t="shared" si="17"/>
        <v>5.4954087385762298E-9</v>
      </c>
    </row>
    <row r="1022" spans="1:3" x14ac:dyDescent="0.3">
      <c r="A1022" s="4">
        <v>0.5337615740740741</v>
      </c>
      <c r="B1022">
        <v>38.4</v>
      </c>
      <c r="C1022">
        <f t="shared" si="17"/>
        <v>5.3703179637025321E-9</v>
      </c>
    </row>
    <row r="1023" spans="1:3" x14ac:dyDescent="0.3">
      <c r="A1023" s="4">
        <v>0.53409722222222222</v>
      </c>
      <c r="B1023">
        <v>38.4</v>
      </c>
      <c r="C1023">
        <f t="shared" si="17"/>
        <v>5.3703179637025321E-9</v>
      </c>
    </row>
    <row r="1024" spans="1:3" x14ac:dyDescent="0.3">
      <c r="A1024" s="4">
        <v>0.53445601851851854</v>
      </c>
      <c r="B1024">
        <v>38.299999999999997</v>
      </c>
      <c r="C1024">
        <f t="shared" si="17"/>
        <v>5.2480746024977305E-9</v>
      </c>
    </row>
    <row r="1025" spans="1:3" x14ac:dyDescent="0.3">
      <c r="A1025" s="4">
        <v>0.5348032407407407</v>
      </c>
      <c r="B1025">
        <v>38.299999999999997</v>
      </c>
      <c r="C1025">
        <f t="shared" si="17"/>
        <v>5.2480746024977305E-9</v>
      </c>
    </row>
    <row r="1026" spans="1:3" x14ac:dyDescent="0.3">
      <c r="A1026" s="4">
        <v>0.53515046296296298</v>
      </c>
      <c r="B1026">
        <v>38.299999999999997</v>
      </c>
      <c r="C1026">
        <f t="shared" si="17"/>
        <v>5.2480746024977305E-9</v>
      </c>
    </row>
    <row r="1027" spans="1:3" x14ac:dyDescent="0.3">
      <c r="A1027" s="4">
        <v>0.53549768518518515</v>
      </c>
      <c r="B1027">
        <v>38.200000000000003</v>
      </c>
      <c r="C1027">
        <f t="shared" si="17"/>
        <v>5.1286138399136542E-9</v>
      </c>
    </row>
    <row r="1028" spans="1:3" x14ac:dyDescent="0.3">
      <c r="A1028" s="4">
        <v>0.53584490740740742</v>
      </c>
      <c r="B1028">
        <v>38.200000000000003</v>
      </c>
      <c r="C1028">
        <f t="shared" si="17"/>
        <v>5.1286138399136542E-9</v>
      </c>
    </row>
    <row r="1029" spans="1:3" x14ac:dyDescent="0.3">
      <c r="A1029" s="4">
        <v>0.53619212962962959</v>
      </c>
      <c r="B1029">
        <v>38.200000000000003</v>
      </c>
      <c r="C1029">
        <f t="shared" si="17"/>
        <v>5.1286138399136542E-9</v>
      </c>
    </row>
    <row r="1030" spans="1:3" x14ac:dyDescent="0.3">
      <c r="A1030" s="4">
        <v>0.53653935185185186</v>
      </c>
      <c r="B1030">
        <v>38.1</v>
      </c>
      <c r="C1030">
        <f t="shared" si="17"/>
        <v>5.0118723362727114E-9</v>
      </c>
    </row>
    <row r="1031" spans="1:3" x14ac:dyDescent="0.3">
      <c r="A1031" s="4">
        <v>0.53688657407407403</v>
      </c>
      <c r="B1031">
        <v>38.1</v>
      </c>
      <c r="C1031">
        <f t="shared" si="17"/>
        <v>5.0118723362727114E-9</v>
      </c>
    </row>
    <row r="1032" spans="1:3" x14ac:dyDescent="0.3">
      <c r="A1032" s="4">
        <v>0.53723379629629631</v>
      </c>
      <c r="B1032">
        <v>38.1</v>
      </c>
      <c r="C1032">
        <f t="shared" si="17"/>
        <v>5.0118723362727114E-9</v>
      </c>
    </row>
    <row r="1033" spans="1:3" x14ac:dyDescent="0.3">
      <c r="A1033" s="4">
        <v>0.53758101851851847</v>
      </c>
      <c r="B1033">
        <v>38.1</v>
      </c>
      <c r="C1033">
        <f t="shared" si="17"/>
        <v>5.0118723362727114E-9</v>
      </c>
    </row>
    <row r="1034" spans="1:3" x14ac:dyDescent="0.3">
      <c r="A1034" s="4">
        <v>0.53792824074074075</v>
      </c>
      <c r="B1034">
        <v>38</v>
      </c>
      <c r="C1034">
        <f t="shared" si="17"/>
        <v>4.8977881936844683E-9</v>
      </c>
    </row>
    <row r="1035" spans="1:3" x14ac:dyDescent="0.3">
      <c r="A1035" s="4">
        <v>0.53827546296296291</v>
      </c>
      <c r="B1035">
        <v>38</v>
      </c>
      <c r="C1035">
        <f t="shared" si="17"/>
        <v>4.8977881936844683E-9</v>
      </c>
    </row>
    <row r="1036" spans="1:3" x14ac:dyDescent="0.3">
      <c r="A1036" s="4">
        <v>0.53862268518518519</v>
      </c>
      <c r="B1036">
        <v>38</v>
      </c>
      <c r="C1036">
        <f t="shared" si="17"/>
        <v>4.8977881936844683E-9</v>
      </c>
    </row>
    <row r="1037" spans="1:3" x14ac:dyDescent="0.3">
      <c r="A1037" s="4">
        <v>0.53896990740740736</v>
      </c>
      <c r="B1037">
        <v>38</v>
      </c>
      <c r="C1037">
        <f t="shared" ref="C1037:C1100" si="18">10^((B1037-121.1)/10)</f>
        <v>4.8977881936844683E-9</v>
      </c>
    </row>
    <row r="1038" spans="1:3" x14ac:dyDescent="0.3">
      <c r="A1038" s="4">
        <v>0.53931712962962963</v>
      </c>
      <c r="B1038">
        <v>38</v>
      </c>
      <c r="C1038">
        <f t="shared" si="18"/>
        <v>4.8977881936844683E-9</v>
      </c>
    </row>
    <row r="1039" spans="1:3" x14ac:dyDescent="0.3">
      <c r="A1039" s="4">
        <v>0.5396643518518518</v>
      </c>
      <c r="B1039">
        <v>37.9</v>
      </c>
      <c r="C1039">
        <f t="shared" si="18"/>
        <v>4.7863009232263893E-9</v>
      </c>
    </row>
    <row r="1040" spans="1:3" x14ac:dyDescent="0.3">
      <c r="A1040" s="4">
        <v>0.54001157407407407</v>
      </c>
      <c r="B1040">
        <v>37.9</v>
      </c>
      <c r="C1040">
        <f t="shared" si="18"/>
        <v>4.7863009232263893E-9</v>
      </c>
    </row>
    <row r="1041" spans="1:3" x14ac:dyDescent="0.3">
      <c r="A1041" s="4">
        <v>0.5403472222222222</v>
      </c>
      <c r="B1041">
        <v>37.9</v>
      </c>
      <c r="C1041">
        <f t="shared" si="18"/>
        <v>4.7863009232263893E-9</v>
      </c>
    </row>
    <row r="1042" spans="1:3" x14ac:dyDescent="0.3">
      <c r="A1042" s="4">
        <v>0.54070601851851852</v>
      </c>
      <c r="B1042">
        <v>37.799999999999997</v>
      </c>
      <c r="C1042">
        <f t="shared" si="18"/>
        <v>4.6773514128719724E-9</v>
      </c>
    </row>
    <row r="1043" spans="1:3" x14ac:dyDescent="0.3">
      <c r="A1043" s="4">
        <v>0.54105324074074079</v>
      </c>
      <c r="B1043">
        <v>37.799999999999997</v>
      </c>
      <c r="C1043">
        <f t="shared" si="18"/>
        <v>4.6773514128719724E-9</v>
      </c>
    </row>
    <row r="1044" spans="1:3" x14ac:dyDescent="0.3">
      <c r="A1044" s="4">
        <v>0.54140046296296296</v>
      </c>
      <c r="B1044">
        <v>37.799999999999997</v>
      </c>
      <c r="C1044">
        <f t="shared" si="18"/>
        <v>4.6773514128719724E-9</v>
      </c>
    </row>
    <row r="1045" spans="1:3" x14ac:dyDescent="0.3">
      <c r="A1045" s="4">
        <v>0.54174768518518523</v>
      </c>
      <c r="B1045">
        <v>37.799999999999997</v>
      </c>
      <c r="C1045">
        <f t="shared" si="18"/>
        <v>4.6773514128719724E-9</v>
      </c>
    </row>
    <row r="1046" spans="1:3" x14ac:dyDescent="0.3">
      <c r="A1046" s="4">
        <v>0.5420949074074074</v>
      </c>
      <c r="B1046">
        <v>37.700000000000003</v>
      </c>
      <c r="C1046">
        <f t="shared" si="18"/>
        <v>4.570881896148741E-9</v>
      </c>
    </row>
    <row r="1047" spans="1:3" x14ac:dyDescent="0.3">
      <c r="A1047" s="4">
        <v>0.54244212962962968</v>
      </c>
      <c r="B1047">
        <v>37.700000000000003</v>
      </c>
      <c r="C1047">
        <f t="shared" si="18"/>
        <v>4.570881896148741E-9</v>
      </c>
    </row>
    <row r="1048" spans="1:3" x14ac:dyDescent="0.3">
      <c r="A1048" s="4">
        <v>0.54278935185185184</v>
      </c>
      <c r="B1048">
        <v>37.700000000000003</v>
      </c>
      <c r="C1048">
        <f t="shared" si="18"/>
        <v>4.570881896148741E-9</v>
      </c>
    </row>
    <row r="1049" spans="1:3" x14ac:dyDescent="0.3">
      <c r="A1049" s="4">
        <v>0.54313657407407412</v>
      </c>
      <c r="B1049">
        <v>37.700000000000003</v>
      </c>
      <c r="C1049">
        <f t="shared" si="18"/>
        <v>4.570881896148741E-9</v>
      </c>
    </row>
    <row r="1050" spans="1:3" x14ac:dyDescent="0.3">
      <c r="A1050" s="4">
        <v>0.54348379629629628</v>
      </c>
      <c r="B1050">
        <v>37.700000000000003</v>
      </c>
      <c r="C1050">
        <f t="shared" si="18"/>
        <v>4.570881896148741E-9</v>
      </c>
    </row>
    <row r="1051" spans="1:3" x14ac:dyDescent="0.3">
      <c r="A1051" s="4">
        <v>0.54383101851851856</v>
      </c>
      <c r="B1051">
        <v>37.700000000000003</v>
      </c>
      <c r="C1051">
        <f t="shared" si="18"/>
        <v>4.570881896148741E-9</v>
      </c>
    </row>
    <row r="1052" spans="1:3" x14ac:dyDescent="0.3">
      <c r="A1052" s="4">
        <v>0.54417824074074073</v>
      </c>
      <c r="B1052">
        <v>37.6</v>
      </c>
      <c r="C1052">
        <f t="shared" si="18"/>
        <v>4.4668359215096219E-9</v>
      </c>
    </row>
    <row r="1053" spans="1:3" x14ac:dyDescent="0.3">
      <c r="A1053" s="4">
        <v>0.544525462962963</v>
      </c>
      <c r="B1053">
        <v>37.6</v>
      </c>
      <c r="C1053">
        <f t="shared" si="18"/>
        <v>4.4668359215096219E-9</v>
      </c>
    </row>
    <row r="1054" spans="1:3" x14ac:dyDescent="0.3">
      <c r="A1054" s="4">
        <v>0.54487268518518517</v>
      </c>
      <c r="B1054">
        <v>37.6</v>
      </c>
      <c r="C1054">
        <f t="shared" si="18"/>
        <v>4.4668359215096219E-9</v>
      </c>
    </row>
    <row r="1055" spans="1:3" x14ac:dyDescent="0.3">
      <c r="A1055" s="4">
        <v>0.54521990740740744</v>
      </c>
      <c r="B1055">
        <v>37.5</v>
      </c>
      <c r="C1055">
        <f t="shared" si="18"/>
        <v>4.3651583224016521E-9</v>
      </c>
    </row>
    <row r="1056" spans="1:3" x14ac:dyDescent="0.3">
      <c r="A1056" s="4">
        <v>0.54556712962962961</v>
      </c>
      <c r="B1056">
        <v>37.5</v>
      </c>
      <c r="C1056">
        <f t="shared" si="18"/>
        <v>4.3651583224016521E-9</v>
      </c>
    </row>
    <row r="1057" spans="1:3" x14ac:dyDescent="0.3">
      <c r="A1057" s="4">
        <v>0.54591435185185189</v>
      </c>
      <c r="B1057">
        <v>37.5</v>
      </c>
      <c r="C1057">
        <f t="shared" si="18"/>
        <v>4.3651583224016521E-9</v>
      </c>
    </row>
    <row r="1058" spans="1:3" x14ac:dyDescent="0.3">
      <c r="A1058" s="4">
        <v>0.54626157407407405</v>
      </c>
      <c r="B1058">
        <v>37.4</v>
      </c>
      <c r="C1058">
        <f t="shared" si="18"/>
        <v>4.265795188015919E-9</v>
      </c>
    </row>
    <row r="1059" spans="1:3" x14ac:dyDescent="0.3">
      <c r="A1059" s="4">
        <v>0.54660879629629633</v>
      </c>
      <c r="B1059">
        <v>37.5</v>
      </c>
      <c r="C1059">
        <f t="shared" si="18"/>
        <v>4.3651583224016521E-9</v>
      </c>
    </row>
    <row r="1060" spans="1:3" x14ac:dyDescent="0.3">
      <c r="A1060" s="4">
        <v>0.54695601851851849</v>
      </c>
      <c r="B1060">
        <v>37.4</v>
      </c>
      <c r="C1060">
        <f t="shared" si="18"/>
        <v>4.265795188015919E-9</v>
      </c>
    </row>
    <row r="1061" spans="1:3" x14ac:dyDescent="0.3">
      <c r="A1061" s="4">
        <v>0.54730324074074077</v>
      </c>
      <c r="B1061">
        <v>37.4</v>
      </c>
      <c r="C1061">
        <f t="shared" si="18"/>
        <v>4.265795188015919E-9</v>
      </c>
    </row>
    <row r="1062" spans="1:3" x14ac:dyDescent="0.3">
      <c r="A1062" s="4">
        <v>0.54765046296296294</v>
      </c>
      <c r="B1062">
        <v>37.4</v>
      </c>
      <c r="C1062">
        <f t="shared" si="18"/>
        <v>4.265795188015919E-9</v>
      </c>
    </row>
    <row r="1063" spans="1:3" x14ac:dyDescent="0.3">
      <c r="A1063" s="4">
        <v>0.54799768518518521</v>
      </c>
      <c r="B1063">
        <v>37.299999999999997</v>
      </c>
      <c r="C1063">
        <f t="shared" si="18"/>
        <v>4.1686938347033617E-9</v>
      </c>
    </row>
    <row r="1064" spans="1:3" x14ac:dyDescent="0.3">
      <c r="A1064" s="4">
        <v>0.54834490740740738</v>
      </c>
      <c r="B1064">
        <v>37.299999999999997</v>
      </c>
      <c r="C1064">
        <f t="shared" si="18"/>
        <v>4.1686938347033617E-9</v>
      </c>
    </row>
    <row r="1065" spans="1:3" x14ac:dyDescent="0.3">
      <c r="A1065" s="4">
        <v>0.54869212962962965</v>
      </c>
      <c r="B1065">
        <v>37.299999999999997</v>
      </c>
      <c r="C1065">
        <f t="shared" si="18"/>
        <v>4.1686938347033617E-9</v>
      </c>
    </row>
    <row r="1066" spans="1:3" x14ac:dyDescent="0.3">
      <c r="A1066" s="4">
        <v>0.54903935185185182</v>
      </c>
      <c r="B1066">
        <v>37.299999999999997</v>
      </c>
      <c r="C1066">
        <f t="shared" si="18"/>
        <v>4.1686938347033617E-9</v>
      </c>
    </row>
    <row r="1067" spans="1:3" x14ac:dyDescent="0.3">
      <c r="A1067" s="4">
        <v>0.5493865740740741</v>
      </c>
      <c r="B1067">
        <v>37.299999999999997</v>
      </c>
      <c r="C1067">
        <f t="shared" si="18"/>
        <v>4.1686938347033617E-9</v>
      </c>
    </row>
    <row r="1068" spans="1:3" x14ac:dyDescent="0.3">
      <c r="A1068" s="4">
        <v>0.54973379629629626</v>
      </c>
      <c r="B1068">
        <v>37.200000000000003</v>
      </c>
      <c r="C1068">
        <f t="shared" si="18"/>
        <v>4.0738027780411355E-9</v>
      </c>
    </row>
    <row r="1069" spans="1:3" x14ac:dyDescent="0.3">
      <c r="A1069" s="4">
        <v>0.55008101851851854</v>
      </c>
      <c r="B1069">
        <v>37.200000000000003</v>
      </c>
      <c r="C1069">
        <f t="shared" si="18"/>
        <v>4.0738027780411355E-9</v>
      </c>
    </row>
    <row r="1070" spans="1:3" x14ac:dyDescent="0.3">
      <c r="A1070" s="4">
        <v>0.5504282407407407</v>
      </c>
      <c r="B1070">
        <v>37.200000000000003</v>
      </c>
      <c r="C1070">
        <f t="shared" si="18"/>
        <v>4.0738027780411355E-9</v>
      </c>
    </row>
    <row r="1071" spans="1:3" x14ac:dyDescent="0.3">
      <c r="A1071" s="4">
        <v>0.55077546296296298</v>
      </c>
      <c r="B1071">
        <v>37.200000000000003</v>
      </c>
      <c r="C1071">
        <f t="shared" si="18"/>
        <v>4.0738027780411355E-9</v>
      </c>
    </row>
    <row r="1072" spans="1:3" x14ac:dyDescent="0.3">
      <c r="A1072" s="4">
        <v>0.55112268518518515</v>
      </c>
      <c r="B1072">
        <v>37.200000000000003</v>
      </c>
      <c r="C1072">
        <f t="shared" si="18"/>
        <v>4.0738027780411355E-9</v>
      </c>
    </row>
    <row r="1073" spans="1:3" x14ac:dyDescent="0.3">
      <c r="A1073" s="4">
        <v>0.55146990740740742</v>
      </c>
      <c r="B1073">
        <v>37.200000000000003</v>
      </c>
      <c r="C1073">
        <f t="shared" si="18"/>
        <v>4.0738027780411355E-9</v>
      </c>
    </row>
    <row r="1074" spans="1:3" x14ac:dyDescent="0.3">
      <c r="A1074" s="4">
        <v>0.55181712962962959</v>
      </c>
      <c r="B1074">
        <v>37.200000000000003</v>
      </c>
      <c r="C1074">
        <f t="shared" si="18"/>
        <v>4.0738027780411355E-9</v>
      </c>
    </row>
    <row r="1075" spans="1:3" x14ac:dyDescent="0.3">
      <c r="A1075" s="4">
        <v>0.55216435185185186</v>
      </c>
      <c r="B1075">
        <v>37.1</v>
      </c>
      <c r="C1075">
        <f t="shared" si="18"/>
        <v>3.9810717055349665E-9</v>
      </c>
    </row>
    <row r="1076" spans="1:3" x14ac:dyDescent="0.3">
      <c r="A1076" s="4">
        <v>0.55251157407407403</v>
      </c>
      <c r="B1076">
        <v>37.1</v>
      </c>
      <c r="C1076">
        <f t="shared" si="18"/>
        <v>3.9810717055349665E-9</v>
      </c>
    </row>
    <row r="1077" spans="1:3" x14ac:dyDescent="0.3">
      <c r="A1077" s="4">
        <v>0.55285879629629631</v>
      </c>
      <c r="B1077">
        <v>37.1</v>
      </c>
      <c r="C1077">
        <f t="shared" si="18"/>
        <v>3.9810717055349665E-9</v>
      </c>
    </row>
    <row r="1078" spans="1:3" x14ac:dyDescent="0.3">
      <c r="A1078" s="4">
        <v>0.55320601851851847</v>
      </c>
      <c r="B1078">
        <v>37.1</v>
      </c>
      <c r="C1078">
        <f t="shared" si="18"/>
        <v>3.9810717055349665E-9</v>
      </c>
    </row>
    <row r="1079" spans="1:3" x14ac:dyDescent="0.3">
      <c r="A1079" s="4">
        <v>0.55355324074074075</v>
      </c>
      <c r="B1079">
        <v>37</v>
      </c>
      <c r="C1079">
        <f t="shared" si="18"/>
        <v>3.8904514499428009E-9</v>
      </c>
    </row>
    <row r="1080" spans="1:3" x14ac:dyDescent="0.3">
      <c r="A1080" s="4">
        <v>0.55390046296296291</v>
      </c>
      <c r="B1080">
        <v>37</v>
      </c>
      <c r="C1080">
        <f t="shared" si="18"/>
        <v>3.8904514499428009E-9</v>
      </c>
    </row>
    <row r="1081" spans="1:3" x14ac:dyDescent="0.3">
      <c r="A1081" s="4">
        <v>0.55424768518518519</v>
      </c>
      <c r="B1081">
        <v>37</v>
      </c>
      <c r="C1081">
        <f t="shared" si="18"/>
        <v>3.8904514499428009E-9</v>
      </c>
    </row>
    <row r="1082" spans="1:3" x14ac:dyDescent="0.3">
      <c r="A1082" s="4">
        <v>0.55459490740740736</v>
      </c>
      <c r="B1082">
        <v>37</v>
      </c>
      <c r="C1082">
        <f t="shared" si="18"/>
        <v>3.8904514499428009E-9</v>
      </c>
    </row>
    <row r="1083" spans="1:3" x14ac:dyDescent="0.3">
      <c r="A1083" s="4">
        <v>0.55494212962962963</v>
      </c>
      <c r="B1083">
        <v>37</v>
      </c>
      <c r="C1083">
        <f t="shared" si="18"/>
        <v>3.8904514499428009E-9</v>
      </c>
    </row>
    <row r="1084" spans="1:3" x14ac:dyDescent="0.3">
      <c r="A1084" s="4">
        <v>0.5552893518518518</v>
      </c>
      <c r="B1084">
        <v>37</v>
      </c>
      <c r="C1084">
        <f t="shared" si="18"/>
        <v>3.8904514499428009E-9</v>
      </c>
    </row>
    <row r="1085" spans="1:3" x14ac:dyDescent="0.3">
      <c r="A1085" s="4">
        <v>0.55563657407407407</v>
      </c>
      <c r="B1085">
        <v>37</v>
      </c>
      <c r="C1085">
        <f t="shared" si="18"/>
        <v>3.8904514499428009E-9</v>
      </c>
    </row>
    <row r="1086" spans="1:3" x14ac:dyDescent="0.3">
      <c r="A1086" s="4">
        <v>0.55598379629629635</v>
      </c>
      <c r="B1086">
        <v>36.9</v>
      </c>
      <c r="C1086">
        <f t="shared" si="18"/>
        <v>3.8018939632056208E-9</v>
      </c>
    </row>
    <row r="1087" spans="1:3" x14ac:dyDescent="0.3">
      <c r="A1087" s="4">
        <v>0.55633101851851852</v>
      </c>
      <c r="B1087">
        <v>36.9</v>
      </c>
      <c r="C1087">
        <f t="shared" si="18"/>
        <v>3.8018939632056208E-9</v>
      </c>
    </row>
    <row r="1088" spans="1:3" x14ac:dyDescent="0.3">
      <c r="A1088" s="4">
        <v>0.55667824074074079</v>
      </c>
      <c r="B1088">
        <v>36.9</v>
      </c>
      <c r="C1088">
        <f t="shared" si="18"/>
        <v>3.8018939632056208E-9</v>
      </c>
    </row>
    <row r="1089" spans="1:3" x14ac:dyDescent="0.3">
      <c r="A1089" s="4">
        <v>0.55702546296296296</v>
      </c>
      <c r="B1089">
        <v>36.9</v>
      </c>
      <c r="C1089">
        <f t="shared" si="18"/>
        <v>3.8018939632056208E-9</v>
      </c>
    </row>
    <row r="1090" spans="1:3" x14ac:dyDescent="0.3">
      <c r="A1090" s="4">
        <v>0.55737268518518523</v>
      </c>
      <c r="B1090">
        <v>36.9</v>
      </c>
      <c r="C1090">
        <f t="shared" si="18"/>
        <v>3.8018939632056208E-9</v>
      </c>
    </row>
    <row r="1091" spans="1:3" x14ac:dyDescent="0.3">
      <c r="A1091" s="4">
        <v>0.5577199074074074</v>
      </c>
      <c r="B1091">
        <v>36.9</v>
      </c>
      <c r="C1091">
        <f t="shared" si="18"/>
        <v>3.8018939632056208E-9</v>
      </c>
    </row>
    <row r="1092" spans="1:3" x14ac:dyDescent="0.3">
      <c r="A1092" s="4">
        <v>0.55806712962962968</v>
      </c>
      <c r="B1092">
        <v>36.9</v>
      </c>
      <c r="C1092">
        <f t="shared" si="18"/>
        <v>3.8018939632056208E-9</v>
      </c>
    </row>
    <row r="1093" spans="1:3" x14ac:dyDescent="0.3">
      <c r="A1093" s="4">
        <v>0.55841435185185184</v>
      </c>
      <c r="B1093">
        <v>36.799999999999997</v>
      </c>
      <c r="C1093">
        <f t="shared" si="18"/>
        <v>3.7153522909717206E-9</v>
      </c>
    </row>
    <row r="1094" spans="1:3" x14ac:dyDescent="0.3">
      <c r="A1094" s="4">
        <v>0.55876157407407412</v>
      </c>
      <c r="B1094">
        <v>36.9</v>
      </c>
      <c r="C1094">
        <f t="shared" si="18"/>
        <v>3.8018939632056208E-9</v>
      </c>
    </row>
    <row r="1095" spans="1:3" x14ac:dyDescent="0.3">
      <c r="A1095" s="4">
        <v>0.55910879629629628</v>
      </c>
      <c r="B1095">
        <v>36.799999999999997</v>
      </c>
      <c r="C1095">
        <f t="shared" si="18"/>
        <v>3.7153522909717206E-9</v>
      </c>
    </row>
    <row r="1096" spans="1:3" x14ac:dyDescent="0.3">
      <c r="A1096" s="4">
        <v>0.55945601851851856</v>
      </c>
      <c r="B1096">
        <v>36.799999999999997</v>
      </c>
      <c r="C1096">
        <f t="shared" si="18"/>
        <v>3.7153522909717206E-9</v>
      </c>
    </row>
    <row r="1097" spans="1:3" x14ac:dyDescent="0.3">
      <c r="A1097" s="4">
        <v>0.55980324074074073</v>
      </c>
      <c r="B1097">
        <v>36.799999999999997</v>
      </c>
      <c r="C1097">
        <f t="shared" si="18"/>
        <v>3.7153522909717206E-9</v>
      </c>
    </row>
    <row r="1098" spans="1:3" x14ac:dyDescent="0.3">
      <c r="A1098" s="4">
        <v>0.560150462962963</v>
      </c>
      <c r="B1098">
        <v>36.799999999999997</v>
      </c>
      <c r="C1098">
        <f t="shared" si="18"/>
        <v>3.7153522909717206E-9</v>
      </c>
    </row>
    <row r="1099" spans="1:3" x14ac:dyDescent="0.3">
      <c r="A1099" s="4">
        <v>0.56049768518518517</v>
      </c>
      <c r="B1099">
        <v>36.799999999999997</v>
      </c>
      <c r="C1099">
        <f t="shared" si="18"/>
        <v>3.7153522909717206E-9</v>
      </c>
    </row>
    <row r="1100" spans="1:3" x14ac:dyDescent="0.3">
      <c r="A1100" s="4">
        <v>0.56084490740740744</v>
      </c>
      <c r="B1100">
        <v>36.799999999999997</v>
      </c>
      <c r="C1100">
        <f t="shared" si="18"/>
        <v>3.7153522909717206E-9</v>
      </c>
    </row>
    <row r="1101" spans="1:3" x14ac:dyDescent="0.3">
      <c r="A1101" s="4">
        <v>0.56119212962962961</v>
      </c>
      <c r="B1101">
        <v>36.799999999999997</v>
      </c>
      <c r="C1101">
        <f t="shared" ref="C1101:C1164" si="19">10^((B1101-121.1)/10)</f>
        <v>3.7153522909717206E-9</v>
      </c>
    </row>
    <row r="1102" spans="1:3" x14ac:dyDescent="0.3">
      <c r="A1102" s="4">
        <v>0.56153935185185189</v>
      </c>
      <c r="B1102">
        <v>36.700000000000003</v>
      </c>
      <c r="C1102">
        <f t="shared" si="19"/>
        <v>3.6307805477010094E-9</v>
      </c>
    </row>
    <row r="1103" spans="1:3" x14ac:dyDescent="0.3">
      <c r="A1103" s="4">
        <v>0.56188657407407405</v>
      </c>
      <c r="B1103">
        <v>36.700000000000003</v>
      </c>
      <c r="C1103">
        <f t="shared" si="19"/>
        <v>3.6307805477010094E-9</v>
      </c>
    </row>
    <row r="1104" spans="1:3" x14ac:dyDescent="0.3">
      <c r="A1104" s="4">
        <v>0.56223379629629633</v>
      </c>
      <c r="B1104">
        <v>36.700000000000003</v>
      </c>
      <c r="C1104">
        <f t="shared" si="19"/>
        <v>3.6307805477010094E-9</v>
      </c>
    </row>
    <row r="1105" spans="1:3" x14ac:dyDescent="0.3">
      <c r="A1105" s="4">
        <v>0.56258101851851849</v>
      </c>
      <c r="B1105">
        <v>36.700000000000003</v>
      </c>
      <c r="C1105">
        <f t="shared" si="19"/>
        <v>3.6307805477010094E-9</v>
      </c>
    </row>
    <row r="1106" spans="1:3" x14ac:dyDescent="0.3">
      <c r="A1106" s="4">
        <v>0.56292824074074077</v>
      </c>
      <c r="B1106">
        <v>36.700000000000003</v>
      </c>
      <c r="C1106">
        <f t="shared" si="19"/>
        <v>3.6307805477010094E-9</v>
      </c>
    </row>
    <row r="1107" spans="1:3" x14ac:dyDescent="0.3">
      <c r="A1107" s="4">
        <v>0.56327546296296294</v>
      </c>
      <c r="B1107">
        <v>36.700000000000003</v>
      </c>
      <c r="C1107">
        <f t="shared" si="19"/>
        <v>3.6307805477010094E-9</v>
      </c>
    </row>
    <row r="1108" spans="1:3" x14ac:dyDescent="0.3">
      <c r="A1108" s="4">
        <v>0.56362268518518521</v>
      </c>
      <c r="B1108">
        <v>36.700000000000003</v>
      </c>
      <c r="C1108">
        <f t="shared" si="19"/>
        <v>3.6307805477010094E-9</v>
      </c>
    </row>
    <row r="1109" spans="1:3" x14ac:dyDescent="0.3">
      <c r="A1109" s="4">
        <v>0.56396990740740738</v>
      </c>
      <c r="B1109">
        <v>36.700000000000003</v>
      </c>
      <c r="C1109">
        <f t="shared" si="19"/>
        <v>3.6307805477010094E-9</v>
      </c>
    </row>
    <row r="1110" spans="1:3" x14ac:dyDescent="0.3">
      <c r="A1110" s="4">
        <v>0.56431712962962965</v>
      </c>
      <c r="B1110">
        <v>36.700000000000003</v>
      </c>
      <c r="C1110">
        <f t="shared" si="19"/>
        <v>3.6307805477010094E-9</v>
      </c>
    </row>
    <row r="1111" spans="1:3" x14ac:dyDescent="0.3">
      <c r="A1111" s="4">
        <v>0.56466435185185182</v>
      </c>
      <c r="B1111">
        <v>36.700000000000003</v>
      </c>
      <c r="C1111">
        <f t="shared" si="19"/>
        <v>3.6307805477010094E-9</v>
      </c>
    </row>
    <row r="1112" spans="1:3" x14ac:dyDescent="0.3">
      <c r="A1112" s="4">
        <v>0.5650115740740741</v>
      </c>
      <c r="B1112">
        <v>36.700000000000003</v>
      </c>
      <c r="C1112">
        <f t="shared" si="19"/>
        <v>3.6307805477010094E-9</v>
      </c>
    </row>
    <row r="1113" spans="1:3" x14ac:dyDescent="0.3">
      <c r="A1113" s="4">
        <v>0.56535879629629626</v>
      </c>
      <c r="B1113">
        <v>36.700000000000003</v>
      </c>
      <c r="C1113">
        <f t="shared" si="19"/>
        <v>3.6307805477010094E-9</v>
      </c>
    </row>
    <row r="1114" spans="1:3" x14ac:dyDescent="0.3">
      <c r="A1114" s="4">
        <v>0.56570601851851854</v>
      </c>
      <c r="B1114">
        <v>36.700000000000003</v>
      </c>
      <c r="C1114">
        <f t="shared" si="19"/>
        <v>3.6307805477010094E-9</v>
      </c>
    </row>
    <row r="1115" spans="1:3" x14ac:dyDescent="0.3">
      <c r="A1115" s="4">
        <v>0.5660532407407407</v>
      </c>
      <c r="B1115">
        <v>36.6</v>
      </c>
      <c r="C1115">
        <f t="shared" si="19"/>
        <v>3.5481338923357512E-9</v>
      </c>
    </row>
    <row r="1116" spans="1:3" x14ac:dyDescent="0.3">
      <c r="A1116" s="4">
        <v>0.56640046296296298</v>
      </c>
      <c r="B1116">
        <v>36.6</v>
      </c>
      <c r="C1116">
        <f t="shared" si="19"/>
        <v>3.5481338923357512E-9</v>
      </c>
    </row>
    <row r="1117" spans="1:3" x14ac:dyDescent="0.3">
      <c r="A1117" s="4">
        <v>0.56674768518518515</v>
      </c>
      <c r="B1117">
        <v>36.6</v>
      </c>
      <c r="C1117">
        <f t="shared" si="19"/>
        <v>3.5481338923357512E-9</v>
      </c>
    </row>
    <row r="1118" spans="1:3" x14ac:dyDescent="0.3">
      <c r="A1118" s="4">
        <v>0.56709490740740742</v>
      </c>
      <c r="B1118">
        <v>36.6</v>
      </c>
      <c r="C1118">
        <f t="shared" si="19"/>
        <v>3.5481338923357512E-9</v>
      </c>
    </row>
    <row r="1119" spans="1:3" x14ac:dyDescent="0.3">
      <c r="A1119" s="4">
        <v>0.56744212962962959</v>
      </c>
      <c r="B1119">
        <v>36.6</v>
      </c>
      <c r="C1119">
        <f t="shared" si="19"/>
        <v>3.5481338923357512E-9</v>
      </c>
    </row>
    <row r="1120" spans="1:3" x14ac:dyDescent="0.3">
      <c r="A1120" s="4">
        <v>0.56778935185185186</v>
      </c>
      <c r="B1120">
        <v>36.6</v>
      </c>
      <c r="C1120">
        <f t="shared" si="19"/>
        <v>3.5481338923357512E-9</v>
      </c>
    </row>
    <row r="1121" spans="1:3" x14ac:dyDescent="0.3">
      <c r="A1121" s="4">
        <v>0.56813657407407403</v>
      </c>
      <c r="B1121">
        <v>36.6</v>
      </c>
      <c r="C1121">
        <f t="shared" si="19"/>
        <v>3.5481338923357512E-9</v>
      </c>
    </row>
    <row r="1122" spans="1:3" x14ac:dyDescent="0.3">
      <c r="A1122" s="4">
        <v>0.56848379629629631</v>
      </c>
      <c r="B1122">
        <v>36.6</v>
      </c>
      <c r="C1122">
        <f t="shared" si="19"/>
        <v>3.5481338923357512E-9</v>
      </c>
    </row>
    <row r="1123" spans="1:3" x14ac:dyDescent="0.3">
      <c r="A1123" s="4">
        <v>0.56883101851851847</v>
      </c>
      <c r="B1123">
        <v>36.6</v>
      </c>
      <c r="C1123">
        <f t="shared" si="19"/>
        <v>3.5481338923357512E-9</v>
      </c>
    </row>
    <row r="1124" spans="1:3" x14ac:dyDescent="0.3">
      <c r="A1124" s="4">
        <v>0.56917824074074075</v>
      </c>
      <c r="B1124">
        <v>36.5</v>
      </c>
      <c r="C1124">
        <f t="shared" si="19"/>
        <v>3.4673685045253129E-9</v>
      </c>
    </row>
    <row r="1125" spans="1:3" x14ac:dyDescent="0.3">
      <c r="A1125" s="4">
        <v>0.56952546296296291</v>
      </c>
      <c r="B1125">
        <v>36.5</v>
      </c>
      <c r="C1125">
        <f t="shared" si="19"/>
        <v>3.4673685045253129E-9</v>
      </c>
    </row>
    <row r="1126" spans="1:3" x14ac:dyDescent="0.3">
      <c r="A1126" s="4">
        <v>0.56987268518518519</v>
      </c>
      <c r="B1126">
        <v>36.5</v>
      </c>
      <c r="C1126">
        <f t="shared" si="19"/>
        <v>3.4673685045253129E-9</v>
      </c>
    </row>
    <row r="1127" spans="1:3" x14ac:dyDescent="0.3">
      <c r="A1127" s="4">
        <v>0.57021990740740736</v>
      </c>
      <c r="B1127">
        <v>36.5</v>
      </c>
      <c r="C1127">
        <f t="shared" si="19"/>
        <v>3.4673685045253129E-9</v>
      </c>
    </row>
    <row r="1128" spans="1:3" x14ac:dyDescent="0.3">
      <c r="A1128" s="4">
        <v>0.57056712962962963</v>
      </c>
      <c r="B1128">
        <v>36.5</v>
      </c>
      <c r="C1128">
        <f t="shared" si="19"/>
        <v>3.4673685045253129E-9</v>
      </c>
    </row>
    <row r="1129" spans="1:3" x14ac:dyDescent="0.3">
      <c r="A1129" s="4">
        <v>0.5709143518518518</v>
      </c>
      <c r="B1129">
        <v>36.5</v>
      </c>
      <c r="C1129">
        <f t="shared" si="19"/>
        <v>3.4673685045253129E-9</v>
      </c>
    </row>
    <row r="1130" spans="1:3" x14ac:dyDescent="0.3">
      <c r="A1130" s="4">
        <v>0.57126157407407407</v>
      </c>
      <c r="B1130">
        <v>36.5</v>
      </c>
      <c r="C1130">
        <f t="shared" si="19"/>
        <v>3.4673685045253129E-9</v>
      </c>
    </row>
    <row r="1131" spans="1:3" x14ac:dyDescent="0.3">
      <c r="A1131" s="4">
        <v>0.57160879629629635</v>
      </c>
      <c r="B1131">
        <v>36.5</v>
      </c>
      <c r="C1131">
        <f t="shared" si="19"/>
        <v>3.4673685045253129E-9</v>
      </c>
    </row>
    <row r="1132" spans="1:3" x14ac:dyDescent="0.3">
      <c r="A1132" s="4">
        <v>0.57195601851851852</v>
      </c>
      <c r="B1132">
        <v>36.5</v>
      </c>
      <c r="C1132">
        <f t="shared" si="19"/>
        <v>3.4673685045253129E-9</v>
      </c>
    </row>
    <row r="1133" spans="1:3" x14ac:dyDescent="0.3">
      <c r="A1133" s="4">
        <v>0.57230324074074079</v>
      </c>
      <c r="B1133">
        <v>36.4</v>
      </c>
      <c r="C1133">
        <f t="shared" si="19"/>
        <v>3.3884415613920228E-9</v>
      </c>
    </row>
    <row r="1134" spans="1:3" x14ac:dyDescent="0.3">
      <c r="A1134" s="4">
        <v>0.57265046296296296</v>
      </c>
      <c r="B1134">
        <v>36.4</v>
      </c>
      <c r="C1134">
        <f t="shared" si="19"/>
        <v>3.3884415613920228E-9</v>
      </c>
    </row>
    <row r="1135" spans="1:3" x14ac:dyDescent="0.3">
      <c r="A1135" s="4">
        <v>0.57299768518518523</v>
      </c>
      <c r="B1135">
        <v>36.4</v>
      </c>
      <c r="C1135">
        <f t="shared" si="19"/>
        <v>3.3884415613920228E-9</v>
      </c>
    </row>
    <row r="1136" spans="1:3" x14ac:dyDescent="0.3">
      <c r="A1136" s="4">
        <v>0.5733449074074074</v>
      </c>
      <c r="B1136">
        <v>36.4</v>
      </c>
      <c r="C1136">
        <f t="shared" si="19"/>
        <v>3.3884415613920228E-9</v>
      </c>
    </row>
    <row r="1137" spans="1:3" x14ac:dyDescent="0.3">
      <c r="A1137" s="4">
        <v>0.57369212962962968</v>
      </c>
      <c r="B1137">
        <v>36.4</v>
      </c>
      <c r="C1137">
        <f t="shared" si="19"/>
        <v>3.3884415613920228E-9</v>
      </c>
    </row>
    <row r="1138" spans="1:3" x14ac:dyDescent="0.3">
      <c r="A1138" s="4">
        <v>0.57403935185185184</v>
      </c>
      <c r="B1138">
        <v>36.4</v>
      </c>
      <c r="C1138">
        <f t="shared" si="19"/>
        <v>3.3884415613920228E-9</v>
      </c>
    </row>
    <row r="1139" spans="1:3" x14ac:dyDescent="0.3">
      <c r="A1139" s="4">
        <v>0.57438657407407412</v>
      </c>
      <c r="B1139">
        <v>36.299999999999997</v>
      </c>
      <c r="C1139">
        <f t="shared" si="19"/>
        <v>3.3113112148258966E-9</v>
      </c>
    </row>
    <row r="1140" spans="1:3" x14ac:dyDescent="0.3">
      <c r="A1140" s="4">
        <v>0.57473379629629628</v>
      </c>
      <c r="B1140">
        <v>36.4</v>
      </c>
      <c r="C1140">
        <f t="shared" si="19"/>
        <v>3.3884415613920228E-9</v>
      </c>
    </row>
    <row r="1141" spans="1:3" x14ac:dyDescent="0.3">
      <c r="A1141" s="4">
        <v>0.57508101851851856</v>
      </c>
      <c r="B1141">
        <v>36.299999999999997</v>
      </c>
      <c r="C1141">
        <f t="shared" si="19"/>
        <v>3.3113112148258966E-9</v>
      </c>
    </row>
    <row r="1142" spans="1:3" x14ac:dyDescent="0.3">
      <c r="A1142" s="4">
        <v>0.57542824074074073</v>
      </c>
      <c r="B1142">
        <v>36.299999999999997</v>
      </c>
      <c r="C1142">
        <f t="shared" si="19"/>
        <v>3.3113112148258966E-9</v>
      </c>
    </row>
    <row r="1143" spans="1:3" x14ac:dyDescent="0.3">
      <c r="A1143" s="4">
        <v>0.575775462962963</v>
      </c>
      <c r="B1143">
        <v>36.299999999999997</v>
      </c>
      <c r="C1143">
        <f t="shared" si="19"/>
        <v>3.3113112148258966E-9</v>
      </c>
    </row>
    <row r="1144" spans="1:3" x14ac:dyDescent="0.3">
      <c r="A1144" s="4">
        <v>0.57612268518518517</v>
      </c>
      <c r="B1144">
        <v>36.299999999999997</v>
      </c>
      <c r="C1144">
        <f t="shared" si="19"/>
        <v>3.3113112148258966E-9</v>
      </c>
    </row>
    <row r="1145" spans="1:3" x14ac:dyDescent="0.3">
      <c r="A1145" s="4">
        <v>0.57646990740740744</v>
      </c>
      <c r="B1145">
        <v>36.299999999999997</v>
      </c>
      <c r="C1145">
        <f t="shared" si="19"/>
        <v>3.3113112148258966E-9</v>
      </c>
    </row>
    <row r="1146" spans="1:3" x14ac:dyDescent="0.3">
      <c r="A1146" s="4">
        <v>0.57681712962962961</v>
      </c>
      <c r="B1146">
        <v>36.299999999999997</v>
      </c>
      <c r="C1146">
        <f t="shared" si="19"/>
        <v>3.3113112148258966E-9</v>
      </c>
    </row>
    <row r="1147" spans="1:3" x14ac:dyDescent="0.3">
      <c r="A1147" s="4">
        <v>0.57716435185185189</v>
      </c>
      <c r="B1147">
        <v>36.299999999999997</v>
      </c>
      <c r="C1147">
        <f t="shared" si="19"/>
        <v>3.3113112148258966E-9</v>
      </c>
    </row>
    <row r="1148" spans="1:3" x14ac:dyDescent="0.3">
      <c r="A1148" s="4">
        <v>0.57751157407407405</v>
      </c>
      <c r="B1148">
        <v>36.299999999999997</v>
      </c>
      <c r="C1148">
        <f t="shared" si="19"/>
        <v>3.3113112148258966E-9</v>
      </c>
    </row>
    <row r="1149" spans="1:3" x14ac:dyDescent="0.3">
      <c r="A1149" s="4">
        <v>0.57785879629629633</v>
      </c>
      <c r="B1149">
        <v>36.299999999999997</v>
      </c>
      <c r="C1149">
        <f t="shared" si="19"/>
        <v>3.3113112148258966E-9</v>
      </c>
    </row>
    <row r="1150" spans="1:3" x14ac:dyDescent="0.3">
      <c r="A1150" s="4">
        <v>0.57820601851851849</v>
      </c>
      <c r="B1150">
        <v>36.299999999999997</v>
      </c>
      <c r="C1150">
        <f t="shared" si="19"/>
        <v>3.3113112148258966E-9</v>
      </c>
    </row>
    <row r="1151" spans="1:3" x14ac:dyDescent="0.3">
      <c r="A1151" s="4">
        <v>0.57855324074074077</v>
      </c>
      <c r="B1151">
        <v>36.299999999999997</v>
      </c>
      <c r="C1151">
        <f t="shared" si="19"/>
        <v>3.3113112148258966E-9</v>
      </c>
    </row>
    <row r="1152" spans="1:3" x14ac:dyDescent="0.3">
      <c r="A1152" s="4">
        <v>0.57890046296296294</v>
      </c>
      <c r="B1152">
        <v>36.200000000000003</v>
      </c>
      <c r="C1152">
        <f t="shared" si="19"/>
        <v>3.2359365692962919E-9</v>
      </c>
    </row>
    <row r="1153" spans="1:3" x14ac:dyDescent="0.3">
      <c r="A1153" s="4">
        <v>0.57924768518518521</v>
      </c>
      <c r="B1153">
        <v>36.200000000000003</v>
      </c>
      <c r="C1153">
        <f t="shared" si="19"/>
        <v>3.2359365692962919E-9</v>
      </c>
    </row>
    <row r="1154" spans="1:3" x14ac:dyDescent="0.3">
      <c r="A1154" s="4">
        <v>0.57959490740740738</v>
      </c>
      <c r="B1154">
        <v>36.200000000000003</v>
      </c>
      <c r="C1154">
        <f t="shared" si="19"/>
        <v>3.2359365692962919E-9</v>
      </c>
    </row>
    <row r="1155" spans="1:3" x14ac:dyDescent="0.3">
      <c r="A1155" s="4">
        <v>0.57994212962962965</v>
      </c>
      <c r="B1155">
        <v>36.200000000000003</v>
      </c>
      <c r="C1155">
        <f t="shared" si="19"/>
        <v>3.2359365692962919E-9</v>
      </c>
    </row>
    <row r="1156" spans="1:3" x14ac:dyDescent="0.3">
      <c r="A1156" s="4">
        <v>0.58028935185185182</v>
      </c>
      <c r="B1156">
        <v>36.200000000000003</v>
      </c>
      <c r="C1156">
        <f t="shared" si="19"/>
        <v>3.2359365692962919E-9</v>
      </c>
    </row>
    <row r="1157" spans="1:3" x14ac:dyDescent="0.3">
      <c r="A1157" s="4">
        <v>0.5806365740740741</v>
      </c>
      <c r="B1157">
        <v>36.200000000000003</v>
      </c>
      <c r="C1157">
        <f t="shared" si="19"/>
        <v>3.2359365692962919E-9</v>
      </c>
    </row>
    <row r="1158" spans="1:3" x14ac:dyDescent="0.3">
      <c r="A1158" s="4">
        <v>0.58098379629629626</v>
      </c>
      <c r="B1158">
        <v>36.200000000000003</v>
      </c>
      <c r="C1158">
        <f t="shared" si="19"/>
        <v>3.2359365692962919E-9</v>
      </c>
    </row>
    <row r="1159" spans="1:3" x14ac:dyDescent="0.3">
      <c r="A1159" s="4">
        <v>0.58133101851851854</v>
      </c>
      <c r="B1159">
        <v>36.200000000000003</v>
      </c>
      <c r="C1159">
        <f t="shared" si="19"/>
        <v>3.2359365692962919E-9</v>
      </c>
    </row>
    <row r="1160" spans="1:3" x14ac:dyDescent="0.3">
      <c r="A1160" s="4">
        <v>0.5816782407407407</v>
      </c>
      <c r="B1160">
        <v>36.200000000000003</v>
      </c>
      <c r="C1160">
        <f t="shared" si="19"/>
        <v>3.2359365692962919E-9</v>
      </c>
    </row>
    <row r="1161" spans="1:3" x14ac:dyDescent="0.3">
      <c r="A1161" s="4">
        <v>0.58202546296296298</v>
      </c>
      <c r="B1161">
        <v>36.200000000000003</v>
      </c>
      <c r="C1161">
        <f t="shared" si="19"/>
        <v>3.2359365692962919E-9</v>
      </c>
    </row>
    <row r="1162" spans="1:3" x14ac:dyDescent="0.3">
      <c r="A1162" s="4">
        <v>0.58237268518518515</v>
      </c>
      <c r="B1162">
        <v>36.200000000000003</v>
      </c>
      <c r="C1162">
        <f t="shared" si="19"/>
        <v>3.2359365692962919E-9</v>
      </c>
    </row>
    <row r="1163" spans="1:3" x14ac:dyDescent="0.3">
      <c r="A1163" s="4">
        <v>0.58271990740740742</v>
      </c>
      <c r="B1163">
        <v>36.200000000000003</v>
      </c>
      <c r="C1163">
        <f t="shared" si="19"/>
        <v>3.2359365692962919E-9</v>
      </c>
    </row>
    <row r="1164" spans="1:3" x14ac:dyDescent="0.3">
      <c r="A1164" s="4">
        <v>0.58306712962962959</v>
      </c>
      <c r="B1164">
        <v>36.200000000000003</v>
      </c>
      <c r="C1164">
        <f t="shared" si="19"/>
        <v>3.2359365692962919E-9</v>
      </c>
    </row>
    <row r="1165" spans="1:3" x14ac:dyDescent="0.3">
      <c r="A1165" s="4">
        <v>0.58341435185185186</v>
      </c>
      <c r="B1165">
        <v>36.200000000000003</v>
      </c>
      <c r="C1165">
        <f t="shared" ref="C1165:C1200" si="20">10^((B1165-121.1)/10)</f>
        <v>3.2359365692962919E-9</v>
      </c>
    </row>
    <row r="1166" spans="1:3" x14ac:dyDescent="0.3">
      <c r="A1166" s="4">
        <v>0.58376157407407403</v>
      </c>
      <c r="B1166">
        <v>36.200000000000003</v>
      </c>
      <c r="C1166">
        <f t="shared" si="20"/>
        <v>3.2359365692962919E-9</v>
      </c>
    </row>
    <row r="1167" spans="1:3" x14ac:dyDescent="0.3">
      <c r="A1167" s="4">
        <v>0.58410879629629631</v>
      </c>
      <c r="B1167">
        <v>36.1</v>
      </c>
      <c r="C1167">
        <f t="shared" si="20"/>
        <v>3.1622776601683779E-9</v>
      </c>
    </row>
    <row r="1168" spans="1:3" x14ac:dyDescent="0.3">
      <c r="A1168" s="4">
        <v>0.58445601851851847</v>
      </c>
      <c r="B1168">
        <v>36.1</v>
      </c>
      <c r="C1168">
        <f t="shared" si="20"/>
        <v>3.1622776601683779E-9</v>
      </c>
    </row>
    <row r="1169" spans="1:3" x14ac:dyDescent="0.3">
      <c r="A1169" s="4">
        <v>0.58480324074074075</v>
      </c>
      <c r="B1169">
        <v>36.1</v>
      </c>
      <c r="C1169">
        <f t="shared" si="20"/>
        <v>3.1622776601683779E-9</v>
      </c>
    </row>
    <row r="1170" spans="1:3" x14ac:dyDescent="0.3">
      <c r="A1170" s="4">
        <v>0.58515046296296291</v>
      </c>
      <c r="B1170">
        <v>36.1</v>
      </c>
      <c r="C1170">
        <f t="shared" si="20"/>
        <v>3.1622776601683779E-9</v>
      </c>
    </row>
    <row r="1171" spans="1:3" x14ac:dyDescent="0.3">
      <c r="A1171" s="4">
        <v>0.58549768518518519</v>
      </c>
      <c r="B1171">
        <v>36.1</v>
      </c>
      <c r="C1171">
        <f t="shared" si="20"/>
        <v>3.1622776601683779E-9</v>
      </c>
    </row>
    <row r="1172" spans="1:3" x14ac:dyDescent="0.3">
      <c r="A1172" s="4">
        <v>0.58584490740740736</v>
      </c>
      <c r="B1172">
        <v>36.1</v>
      </c>
      <c r="C1172">
        <f t="shared" si="20"/>
        <v>3.1622776601683779E-9</v>
      </c>
    </row>
    <row r="1173" spans="1:3" x14ac:dyDescent="0.3">
      <c r="A1173" s="4">
        <v>0.58619212962962963</v>
      </c>
      <c r="B1173">
        <v>36.1</v>
      </c>
      <c r="C1173">
        <f t="shared" si="20"/>
        <v>3.1622776601683779E-9</v>
      </c>
    </row>
    <row r="1174" spans="1:3" x14ac:dyDescent="0.3">
      <c r="A1174" s="4">
        <v>0.5865393518518518</v>
      </c>
      <c r="B1174">
        <v>36.1</v>
      </c>
      <c r="C1174">
        <f t="shared" si="20"/>
        <v>3.1622776601683779E-9</v>
      </c>
    </row>
    <row r="1175" spans="1:3" x14ac:dyDescent="0.3">
      <c r="A1175" s="4">
        <v>0.58688657407407407</v>
      </c>
      <c r="B1175">
        <v>36.1</v>
      </c>
      <c r="C1175">
        <f t="shared" si="20"/>
        <v>3.1622776601683779E-9</v>
      </c>
    </row>
    <row r="1176" spans="1:3" x14ac:dyDescent="0.3">
      <c r="A1176" s="4">
        <v>0.58723379629629635</v>
      </c>
      <c r="B1176">
        <v>36.1</v>
      </c>
      <c r="C1176">
        <f t="shared" si="20"/>
        <v>3.1622776601683779E-9</v>
      </c>
    </row>
    <row r="1177" spans="1:3" x14ac:dyDescent="0.3">
      <c r="A1177" s="4">
        <v>0.58758101851851852</v>
      </c>
      <c r="B1177">
        <v>36.1</v>
      </c>
      <c r="C1177">
        <f t="shared" si="20"/>
        <v>3.1622776601683779E-9</v>
      </c>
    </row>
    <row r="1178" spans="1:3" x14ac:dyDescent="0.3">
      <c r="A1178" s="4">
        <v>0.58792824074074079</v>
      </c>
      <c r="B1178">
        <v>36.1</v>
      </c>
      <c r="C1178">
        <f t="shared" si="20"/>
        <v>3.1622776601683779E-9</v>
      </c>
    </row>
    <row r="1179" spans="1:3" x14ac:dyDescent="0.3">
      <c r="A1179" s="4">
        <v>0.58827546296296296</v>
      </c>
      <c r="B1179">
        <v>36.1</v>
      </c>
      <c r="C1179">
        <f t="shared" si="20"/>
        <v>3.1622776601683779E-9</v>
      </c>
    </row>
    <row r="1180" spans="1:3" x14ac:dyDescent="0.3">
      <c r="A1180" s="4">
        <v>0.58862268518518523</v>
      </c>
      <c r="B1180">
        <v>36.1</v>
      </c>
      <c r="C1180">
        <f t="shared" si="20"/>
        <v>3.1622776601683779E-9</v>
      </c>
    </row>
    <row r="1181" spans="1:3" x14ac:dyDescent="0.3">
      <c r="A1181" s="4">
        <v>0.5889699074074074</v>
      </c>
      <c r="B1181">
        <v>36</v>
      </c>
      <c r="C1181">
        <f t="shared" si="20"/>
        <v>3.0902954325135894E-9</v>
      </c>
    </row>
    <row r="1182" spans="1:3" x14ac:dyDescent="0.3">
      <c r="A1182" s="4">
        <v>0.58931712962962968</v>
      </c>
      <c r="B1182">
        <v>36</v>
      </c>
      <c r="C1182">
        <f t="shared" si="20"/>
        <v>3.0902954325135894E-9</v>
      </c>
    </row>
    <row r="1183" spans="1:3" x14ac:dyDescent="0.3">
      <c r="A1183" s="4">
        <v>0.58966435185185184</v>
      </c>
      <c r="B1183">
        <v>36.1</v>
      </c>
      <c r="C1183">
        <f t="shared" si="20"/>
        <v>3.1622776601683779E-9</v>
      </c>
    </row>
    <row r="1184" spans="1:3" x14ac:dyDescent="0.3">
      <c r="A1184" s="4">
        <v>0.59001157407407412</v>
      </c>
      <c r="B1184">
        <v>36.1</v>
      </c>
      <c r="C1184">
        <f t="shared" si="20"/>
        <v>3.1622776601683779E-9</v>
      </c>
    </row>
    <row r="1185" spans="1:3" x14ac:dyDescent="0.3">
      <c r="A1185" s="4">
        <v>0.59035879629629628</v>
      </c>
      <c r="B1185">
        <v>36.1</v>
      </c>
      <c r="C1185">
        <f t="shared" si="20"/>
        <v>3.1622776601683779E-9</v>
      </c>
    </row>
    <row r="1186" spans="1:3" x14ac:dyDescent="0.3">
      <c r="A1186" s="4">
        <v>0.59070601851851856</v>
      </c>
      <c r="B1186">
        <v>36.1</v>
      </c>
      <c r="C1186">
        <f t="shared" si="20"/>
        <v>3.1622776601683779E-9</v>
      </c>
    </row>
    <row r="1187" spans="1:3" x14ac:dyDescent="0.3">
      <c r="A1187" s="4">
        <v>0.59105324074074073</v>
      </c>
      <c r="B1187">
        <v>36.1</v>
      </c>
      <c r="C1187">
        <f t="shared" si="20"/>
        <v>3.1622776601683779E-9</v>
      </c>
    </row>
    <row r="1188" spans="1:3" x14ac:dyDescent="0.3">
      <c r="A1188" s="4">
        <v>0.591400462962963</v>
      </c>
      <c r="B1188">
        <v>36.1</v>
      </c>
      <c r="C1188">
        <f t="shared" si="20"/>
        <v>3.1622776601683779E-9</v>
      </c>
    </row>
    <row r="1189" spans="1:3" x14ac:dyDescent="0.3">
      <c r="A1189" s="4">
        <v>0.59174768518518517</v>
      </c>
      <c r="B1189">
        <v>36.1</v>
      </c>
      <c r="C1189">
        <f t="shared" si="20"/>
        <v>3.1622776601683779E-9</v>
      </c>
    </row>
    <row r="1190" spans="1:3" x14ac:dyDescent="0.3">
      <c r="A1190" s="4">
        <v>0.59209490740740744</v>
      </c>
      <c r="B1190">
        <v>36.1</v>
      </c>
      <c r="C1190">
        <f t="shared" si="20"/>
        <v>3.1622776601683779E-9</v>
      </c>
    </row>
    <row r="1191" spans="1:3" x14ac:dyDescent="0.3">
      <c r="A1191" s="4">
        <v>0.59244212962962961</v>
      </c>
      <c r="B1191">
        <v>36.1</v>
      </c>
      <c r="C1191">
        <f t="shared" si="20"/>
        <v>3.1622776601683779E-9</v>
      </c>
    </row>
    <row r="1192" spans="1:3" x14ac:dyDescent="0.3">
      <c r="A1192" s="4">
        <v>0.59278935185185189</v>
      </c>
      <c r="B1192">
        <v>36.1</v>
      </c>
      <c r="C1192">
        <f t="shared" si="20"/>
        <v>3.1622776601683779E-9</v>
      </c>
    </row>
    <row r="1193" spans="1:3" x14ac:dyDescent="0.3">
      <c r="A1193" s="4">
        <v>0.59313657407407405</v>
      </c>
      <c r="B1193">
        <v>36.1</v>
      </c>
      <c r="C1193">
        <f t="shared" si="20"/>
        <v>3.1622776601683779E-9</v>
      </c>
    </row>
    <row r="1194" spans="1:3" x14ac:dyDescent="0.3">
      <c r="A1194" s="4">
        <v>0.59348379629629633</v>
      </c>
      <c r="B1194">
        <v>36.1</v>
      </c>
      <c r="C1194">
        <f t="shared" si="20"/>
        <v>3.1622776601683779E-9</v>
      </c>
    </row>
    <row r="1195" spans="1:3" x14ac:dyDescent="0.3">
      <c r="A1195" s="4">
        <v>0.59383101851851849</v>
      </c>
      <c r="B1195">
        <v>36.1</v>
      </c>
      <c r="C1195">
        <f t="shared" si="20"/>
        <v>3.1622776601683779E-9</v>
      </c>
    </row>
    <row r="1196" spans="1:3" x14ac:dyDescent="0.3">
      <c r="A1196" s="4">
        <v>0.59417824074074077</v>
      </c>
      <c r="B1196">
        <v>36</v>
      </c>
      <c r="C1196">
        <f t="shared" si="20"/>
        <v>3.0902954325135894E-9</v>
      </c>
    </row>
    <row r="1197" spans="1:3" x14ac:dyDescent="0.3">
      <c r="A1197" s="4">
        <v>0.59452546296296294</v>
      </c>
      <c r="B1197">
        <v>36</v>
      </c>
      <c r="C1197">
        <f t="shared" si="20"/>
        <v>3.0902954325135894E-9</v>
      </c>
    </row>
    <row r="1198" spans="1:3" x14ac:dyDescent="0.3">
      <c r="A1198" s="4">
        <v>0.59487268518518521</v>
      </c>
      <c r="B1198">
        <v>36.1</v>
      </c>
      <c r="C1198">
        <f t="shared" si="20"/>
        <v>3.1622776601683779E-9</v>
      </c>
    </row>
    <row r="1199" spans="1:3" x14ac:dyDescent="0.3">
      <c r="A1199" s="4">
        <v>0.59521990740740738</v>
      </c>
      <c r="B1199">
        <v>36.1</v>
      </c>
      <c r="C1199">
        <f t="shared" si="20"/>
        <v>3.1622776601683779E-9</v>
      </c>
    </row>
    <row r="1200" spans="1:3" x14ac:dyDescent="0.3">
      <c r="A1200" s="4">
        <v>0.59556712962962965</v>
      </c>
      <c r="B1200">
        <v>36.1</v>
      </c>
      <c r="C1200">
        <f t="shared" si="20"/>
        <v>3.1622776601683779E-9</v>
      </c>
    </row>
    <row r="1201" spans="1:3" x14ac:dyDescent="0.3">
      <c r="A1201" s="2" t="s">
        <v>61</v>
      </c>
      <c r="C1201">
        <f>SUM(C780:C1200)</f>
        <v>10.074274966308762</v>
      </c>
    </row>
    <row r="1203" spans="1:3" x14ac:dyDescent="0.3">
      <c r="A1203" s="2" t="s">
        <v>62</v>
      </c>
      <c r="C1203">
        <f>30/60*C1201</f>
        <v>5.0371374831543809</v>
      </c>
    </row>
    <row r="1205" spans="1:3" x14ac:dyDescent="0.3">
      <c r="A1205" s="2" t="s">
        <v>221</v>
      </c>
    </row>
    <row r="1206" spans="1:3" x14ac:dyDescent="0.3">
      <c r="A1206" s="2" t="s">
        <v>58</v>
      </c>
      <c r="B1206" s="2" t="s">
        <v>59</v>
      </c>
      <c r="C1206" s="2" t="s">
        <v>60</v>
      </c>
    </row>
    <row r="1207" spans="1:3" x14ac:dyDescent="0.3">
      <c r="A1207" s="4">
        <v>0.49435185185185188</v>
      </c>
      <c r="B1207" s="12" t="s">
        <v>222</v>
      </c>
      <c r="C1207">
        <f>10^((B1207-121.1)/10)</f>
        <v>1.6595869074375584E-9</v>
      </c>
    </row>
    <row r="1208" spans="1:3" x14ac:dyDescent="0.3">
      <c r="A1208" s="4">
        <v>0.4946990740740741</v>
      </c>
      <c r="B1208" s="12" t="s">
        <v>223</v>
      </c>
      <c r="C1208">
        <f t="shared" ref="C1208:C1270" si="21">10^((B1208-121.1)/10)</f>
        <v>1.6218100973589279E-9</v>
      </c>
    </row>
    <row r="1209" spans="1:3" x14ac:dyDescent="0.3">
      <c r="A1209" s="4">
        <v>0.49504629629629632</v>
      </c>
      <c r="B1209" s="12" t="s">
        <v>224</v>
      </c>
      <c r="C1209">
        <f t="shared" si="21"/>
        <v>1.7378008287493727E-9</v>
      </c>
    </row>
    <row r="1210" spans="1:3" x14ac:dyDescent="0.3">
      <c r="A1210" s="4">
        <v>0.49539351851851854</v>
      </c>
      <c r="B1210" s="12" t="s">
        <v>225</v>
      </c>
      <c r="C1210">
        <f t="shared" si="21"/>
        <v>2.6302679918953733E-9</v>
      </c>
    </row>
    <row r="1211" spans="1:3" x14ac:dyDescent="0.3">
      <c r="A1211" s="4">
        <v>0.49574074074074076</v>
      </c>
      <c r="B1211" s="12" t="s">
        <v>226</v>
      </c>
      <c r="C1211">
        <f t="shared" si="21"/>
        <v>6.9183097091893386E-9</v>
      </c>
    </row>
    <row r="1212" spans="1:3" x14ac:dyDescent="0.3">
      <c r="A1212" s="4">
        <v>0.49608796296296298</v>
      </c>
      <c r="B1212" s="12" t="s">
        <v>227</v>
      </c>
      <c r="C1212">
        <f t="shared" si="21"/>
        <v>2.2908676527677776E-8</v>
      </c>
    </row>
    <row r="1213" spans="1:3" x14ac:dyDescent="0.3">
      <c r="A1213" s="4">
        <v>0.4964351851851852</v>
      </c>
      <c r="B1213" s="12" t="s">
        <v>228</v>
      </c>
      <c r="C1213">
        <f t="shared" si="21"/>
        <v>8.7096358995608061E-8</v>
      </c>
    </row>
    <row r="1214" spans="1:3" x14ac:dyDescent="0.3">
      <c r="A1214" s="4">
        <v>0.49678240740740742</v>
      </c>
      <c r="B1214" s="12" t="s">
        <v>229</v>
      </c>
      <c r="C1214">
        <f t="shared" si="21"/>
        <v>2.8840315031266067E-7</v>
      </c>
    </row>
    <row r="1215" spans="1:3" x14ac:dyDescent="0.3">
      <c r="A1215" s="4">
        <v>0.49712962962962964</v>
      </c>
      <c r="B1215" s="12" t="s">
        <v>230</v>
      </c>
      <c r="C1215">
        <f t="shared" si="21"/>
        <v>7.5857757502918357E-7</v>
      </c>
    </row>
    <row r="1216" spans="1:3" x14ac:dyDescent="0.3">
      <c r="A1216" s="4">
        <v>0.49747685185185186</v>
      </c>
      <c r="B1216" s="12" t="s">
        <v>231</v>
      </c>
      <c r="C1216">
        <f t="shared" si="21"/>
        <v>2.5118864315095806E-6</v>
      </c>
    </row>
    <row r="1217" spans="1:3" x14ac:dyDescent="0.3">
      <c r="A1217" s="4">
        <v>0.49782407407407409</v>
      </c>
      <c r="B1217" s="12" t="s">
        <v>232</v>
      </c>
      <c r="C1217">
        <f t="shared" si="21"/>
        <v>5.6234132519034836E-6</v>
      </c>
    </row>
    <row r="1218" spans="1:3" x14ac:dyDescent="0.3">
      <c r="A1218" s="4">
        <v>0.49817129629629631</v>
      </c>
      <c r="B1218" s="12" t="s">
        <v>233</v>
      </c>
      <c r="C1218">
        <f t="shared" si="21"/>
        <v>1.0715193052376079E-5</v>
      </c>
    </row>
    <row r="1219" spans="1:3" x14ac:dyDescent="0.3">
      <c r="A1219" s="4">
        <v>0.49851851851851853</v>
      </c>
      <c r="B1219" s="12" t="s">
        <v>234</v>
      </c>
      <c r="C1219">
        <f t="shared" si="21"/>
        <v>5.1286138399136583E-5</v>
      </c>
    </row>
    <row r="1220" spans="1:3" x14ac:dyDescent="0.3">
      <c r="A1220" s="4">
        <v>0.49886574074074075</v>
      </c>
      <c r="B1220" s="12" t="s">
        <v>235</v>
      </c>
      <c r="C1220">
        <f t="shared" si="21"/>
        <v>3.6307805477010194E-4</v>
      </c>
    </row>
    <row r="1221" spans="1:3" x14ac:dyDescent="0.3">
      <c r="A1221" s="4">
        <v>0.49921296296296297</v>
      </c>
      <c r="B1221" s="12" t="s">
        <v>236</v>
      </c>
      <c r="C1221">
        <f t="shared" si="21"/>
        <v>1.3182567385564071E-3</v>
      </c>
    </row>
    <row r="1222" spans="1:3" x14ac:dyDescent="0.3">
      <c r="A1222" s="4">
        <v>0.49956018518518519</v>
      </c>
      <c r="B1222" s="12" t="s">
        <v>237</v>
      </c>
      <c r="C1222">
        <f t="shared" si="21"/>
        <v>2.3442288153199204E-3</v>
      </c>
    </row>
    <row r="1223" spans="1:3" x14ac:dyDescent="0.3">
      <c r="A1223" s="4">
        <v>0.49990740740740741</v>
      </c>
      <c r="B1223" s="12" t="s">
        <v>238</v>
      </c>
      <c r="C1223">
        <f t="shared" si="21"/>
        <v>3.6307805477010205E-3</v>
      </c>
    </row>
    <row r="1224" spans="1:3" x14ac:dyDescent="0.3">
      <c r="A1224" s="4">
        <v>0.50025462962962963</v>
      </c>
      <c r="B1224" s="12" t="s">
        <v>239</v>
      </c>
      <c r="C1224">
        <f t="shared" si="21"/>
        <v>7.2443596007499078E-3</v>
      </c>
    </row>
    <row r="1225" spans="1:3" x14ac:dyDescent="0.3">
      <c r="A1225" s="4">
        <v>0.5006018518518518</v>
      </c>
      <c r="B1225">
        <v>102.3</v>
      </c>
      <c r="C1225">
        <f t="shared" si="21"/>
        <v>1.3182567385564075E-2</v>
      </c>
    </row>
    <row r="1226" spans="1:3" x14ac:dyDescent="0.3">
      <c r="A1226" s="4">
        <v>0.50094907407407407</v>
      </c>
      <c r="B1226">
        <v>104.2</v>
      </c>
      <c r="C1226">
        <f t="shared" si="21"/>
        <v>2.0417379446695333E-2</v>
      </c>
    </row>
    <row r="1227" spans="1:3" x14ac:dyDescent="0.3">
      <c r="A1227" s="4">
        <v>0.50129629629629635</v>
      </c>
      <c r="B1227">
        <v>106</v>
      </c>
      <c r="C1227">
        <f t="shared" si="21"/>
        <v>3.0902954325135939E-2</v>
      </c>
    </row>
    <row r="1228" spans="1:3" x14ac:dyDescent="0.3">
      <c r="A1228" s="4">
        <v>0.50164351851851852</v>
      </c>
      <c r="B1228">
        <v>107.5</v>
      </c>
      <c r="C1228">
        <f t="shared" si="21"/>
        <v>4.3651583224016646E-2</v>
      </c>
    </row>
    <row r="1229" spans="1:3" x14ac:dyDescent="0.3">
      <c r="A1229" s="4">
        <v>0.50199074074074079</v>
      </c>
      <c r="B1229">
        <v>108.5</v>
      </c>
      <c r="C1229">
        <f t="shared" si="21"/>
        <v>5.4954087385762532E-2</v>
      </c>
    </row>
    <row r="1230" spans="1:3" x14ac:dyDescent="0.3">
      <c r="A1230" s="4">
        <v>0.50233796296296296</v>
      </c>
      <c r="B1230">
        <v>109.6</v>
      </c>
      <c r="C1230">
        <f t="shared" si="21"/>
        <v>7.0794578438413788E-2</v>
      </c>
    </row>
    <row r="1231" spans="1:3" x14ac:dyDescent="0.3">
      <c r="A1231" s="4">
        <v>0.50268518518518523</v>
      </c>
      <c r="B1231">
        <v>110.4</v>
      </c>
      <c r="C1231">
        <f t="shared" si="21"/>
        <v>8.5113803820237838E-2</v>
      </c>
    </row>
    <row r="1232" spans="1:3" x14ac:dyDescent="0.3">
      <c r="A1232" s="4">
        <v>0.5030324074074074</v>
      </c>
      <c r="B1232">
        <v>111.2</v>
      </c>
      <c r="C1232">
        <f t="shared" si="21"/>
        <v>0.1023292992280756</v>
      </c>
    </row>
    <row r="1233" spans="1:3" x14ac:dyDescent="0.3">
      <c r="A1233" s="4">
        <v>0.50337962962962968</v>
      </c>
      <c r="B1233">
        <v>111.9</v>
      </c>
      <c r="C1233">
        <f t="shared" si="21"/>
        <v>0.12022644346174159</v>
      </c>
    </row>
    <row r="1234" spans="1:3" x14ac:dyDescent="0.3">
      <c r="A1234" s="4">
        <v>0.50372685185185184</v>
      </c>
      <c r="B1234">
        <v>112.6</v>
      </c>
      <c r="C1234">
        <f t="shared" si="21"/>
        <v>0.14125375446227542</v>
      </c>
    </row>
    <row r="1235" spans="1:3" x14ac:dyDescent="0.3">
      <c r="A1235" s="4">
        <v>0.50407407407407412</v>
      </c>
      <c r="B1235">
        <v>113.3</v>
      </c>
      <c r="C1235">
        <f t="shared" si="21"/>
        <v>0.16595869074375616</v>
      </c>
    </row>
    <row r="1236" spans="1:3" x14ac:dyDescent="0.3">
      <c r="A1236" s="4">
        <v>0.50442129629629628</v>
      </c>
      <c r="B1236">
        <v>114</v>
      </c>
      <c r="C1236">
        <f t="shared" si="21"/>
        <v>0.19498445997580477</v>
      </c>
    </row>
    <row r="1237" spans="1:3" x14ac:dyDescent="0.3">
      <c r="A1237" s="4">
        <v>0.50476851851851856</v>
      </c>
      <c r="B1237">
        <v>114.7</v>
      </c>
      <c r="C1237">
        <f t="shared" si="21"/>
        <v>0.22908676527677774</v>
      </c>
    </row>
    <row r="1238" spans="1:3" x14ac:dyDescent="0.3">
      <c r="A1238" s="4">
        <v>0.50511574074074073</v>
      </c>
      <c r="B1238">
        <v>115.4</v>
      </c>
      <c r="C1238">
        <f t="shared" si="21"/>
        <v>0.26915348039269227</v>
      </c>
    </row>
    <row r="1239" spans="1:3" x14ac:dyDescent="0.3">
      <c r="A1239" s="4">
        <v>0.505462962962963</v>
      </c>
      <c r="B1239">
        <v>116</v>
      </c>
      <c r="C1239">
        <f t="shared" si="21"/>
        <v>0.3090295432513594</v>
      </c>
    </row>
    <row r="1240" spans="1:3" x14ac:dyDescent="0.3">
      <c r="A1240" s="4">
        <v>0.50581018518518517</v>
      </c>
      <c r="B1240">
        <v>116.5</v>
      </c>
      <c r="C1240">
        <f t="shared" si="21"/>
        <v>0.34673685045253205</v>
      </c>
    </row>
    <row r="1241" spans="1:3" x14ac:dyDescent="0.3">
      <c r="A1241" s="4">
        <v>0.50615740740740744</v>
      </c>
      <c r="B1241">
        <v>115.7</v>
      </c>
      <c r="C1241">
        <f t="shared" si="21"/>
        <v>0.28840315031266112</v>
      </c>
    </row>
    <row r="1242" spans="1:3" x14ac:dyDescent="0.3">
      <c r="A1242" s="4">
        <v>0.50650462962962961</v>
      </c>
      <c r="B1242">
        <v>116.5</v>
      </c>
      <c r="C1242">
        <f t="shared" si="21"/>
        <v>0.34673685045253205</v>
      </c>
    </row>
    <row r="1243" spans="1:3" x14ac:dyDescent="0.3">
      <c r="A1243" s="4">
        <v>0.50685185185185189</v>
      </c>
      <c r="B1243">
        <v>117.6</v>
      </c>
      <c r="C1243">
        <f t="shared" si="21"/>
        <v>0.44668359215096315</v>
      </c>
    </row>
    <row r="1244" spans="1:3" x14ac:dyDescent="0.3">
      <c r="A1244" s="4">
        <v>0.50719907407407405</v>
      </c>
      <c r="B1244">
        <v>117</v>
      </c>
      <c r="C1244">
        <f t="shared" si="21"/>
        <v>0.38904514499428111</v>
      </c>
    </row>
    <row r="1245" spans="1:3" x14ac:dyDescent="0.3">
      <c r="A1245" s="4">
        <v>0.50754629629629633</v>
      </c>
      <c r="B1245">
        <v>116.2</v>
      </c>
      <c r="C1245">
        <f t="shared" si="21"/>
        <v>0.32359365692962883</v>
      </c>
    </row>
    <row r="1246" spans="1:3" x14ac:dyDescent="0.3">
      <c r="A1246" s="4">
        <v>0.50789351851851849</v>
      </c>
      <c r="B1246">
        <v>115.5</v>
      </c>
      <c r="C1246">
        <f t="shared" si="21"/>
        <v>0.27542287033381702</v>
      </c>
    </row>
    <row r="1247" spans="1:3" x14ac:dyDescent="0.3">
      <c r="A1247" s="4">
        <v>0.50824074074074077</v>
      </c>
      <c r="B1247">
        <v>118.1</v>
      </c>
      <c r="C1247">
        <f t="shared" si="21"/>
        <v>0.50118723362727224</v>
      </c>
    </row>
    <row r="1248" spans="1:3" x14ac:dyDescent="0.3">
      <c r="A1248" s="4">
        <v>0.50858796296296294</v>
      </c>
      <c r="B1248">
        <v>118.9</v>
      </c>
      <c r="C1248">
        <f t="shared" si="21"/>
        <v>0.60255958607435922</v>
      </c>
    </row>
    <row r="1249" spans="1:3" x14ac:dyDescent="0.3">
      <c r="A1249" s="4">
        <v>0.50893518518518521</v>
      </c>
      <c r="B1249">
        <v>118.3</v>
      </c>
      <c r="C1249">
        <f t="shared" si="21"/>
        <v>0.52480746024977298</v>
      </c>
    </row>
    <row r="1250" spans="1:3" x14ac:dyDescent="0.3">
      <c r="A1250" s="4">
        <v>0.50928240740740738</v>
      </c>
      <c r="B1250">
        <v>117.7</v>
      </c>
      <c r="C1250">
        <f t="shared" si="21"/>
        <v>0.45708818961487585</v>
      </c>
    </row>
    <row r="1251" spans="1:3" x14ac:dyDescent="0.3">
      <c r="A1251" s="4">
        <v>0.50962962962962965</v>
      </c>
      <c r="B1251">
        <v>117.1</v>
      </c>
      <c r="C1251">
        <f t="shared" si="21"/>
        <v>0.3981071705534972</v>
      </c>
    </row>
    <row r="1252" spans="1:3" x14ac:dyDescent="0.3">
      <c r="A1252" s="4">
        <v>0.50997685185185182</v>
      </c>
      <c r="B1252">
        <v>116.5</v>
      </c>
      <c r="C1252">
        <f t="shared" si="21"/>
        <v>0.34673685045253205</v>
      </c>
    </row>
    <row r="1253" spans="1:3" x14ac:dyDescent="0.3">
      <c r="A1253" s="4">
        <v>0.5103240740740741</v>
      </c>
      <c r="B1253">
        <v>116</v>
      </c>
      <c r="C1253">
        <f t="shared" si="21"/>
        <v>0.3090295432513594</v>
      </c>
    </row>
    <row r="1254" spans="1:3" x14ac:dyDescent="0.3">
      <c r="A1254" s="4">
        <v>0.51067129629629626</v>
      </c>
      <c r="B1254">
        <v>115.9</v>
      </c>
      <c r="C1254">
        <f t="shared" si="21"/>
        <v>0.30199517204020232</v>
      </c>
    </row>
    <row r="1255" spans="1:3" x14ac:dyDescent="0.3">
      <c r="A1255" s="4">
        <v>0.51101851851851854</v>
      </c>
      <c r="B1255">
        <v>120.1</v>
      </c>
      <c r="C1255">
        <f t="shared" si="21"/>
        <v>0.79432823472428149</v>
      </c>
    </row>
    <row r="1256" spans="1:3" x14ac:dyDescent="0.3">
      <c r="A1256" s="4">
        <v>0.5113657407407407</v>
      </c>
      <c r="B1256">
        <v>119.9</v>
      </c>
      <c r="C1256">
        <f t="shared" si="21"/>
        <v>0.75857757502918577</v>
      </c>
    </row>
    <row r="1257" spans="1:3" x14ac:dyDescent="0.3">
      <c r="A1257" s="4">
        <v>0.51171296296296298</v>
      </c>
      <c r="B1257">
        <v>119.2</v>
      </c>
      <c r="C1257">
        <f t="shared" si="21"/>
        <v>0.64565422903465675</v>
      </c>
    </row>
    <row r="1258" spans="1:3" x14ac:dyDescent="0.3">
      <c r="A1258" s="4">
        <v>0.51206018518518515</v>
      </c>
      <c r="B1258">
        <v>118.7</v>
      </c>
      <c r="C1258">
        <f t="shared" si="21"/>
        <v>0.57543993733715804</v>
      </c>
    </row>
    <row r="1259" spans="1:3" x14ac:dyDescent="0.3">
      <c r="A1259" s="4">
        <v>0.51240740740740742</v>
      </c>
      <c r="B1259">
        <v>118.3</v>
      </c>
      <c r="C1259">
        <f t="shared" si="21"/>
        <v>0.52480746024977298</v>
      </c>
    </row>
    <row r="1260" spans="1:3" x14ac:dyDescent="0.3">
      <c r="A1260" s="4">
        <v>0.51275462962962959</v>
      </c>
      <c r="B1260">
        <v>117.8</v>
      </c>
      <c r="C1260">
        <f t="shared" si="21"/>
        <v>0.46773514128719845</v>
      </c>
    </row>
    <row r="1261" spans="1:3" x14ac:dyDescent="0.3">
      <c r="A1261" s="4">
        <v>0.51310185185185186</v>
      </c>
      <c r="B1261">
        <v>117.3</v>
      </c>
      <c r="C1261">
        <f t="shared" si="21"/>
        <v>0.41686938347033564</v>
      </c>
    </row>
    <row r="1262" spans="1:3" x14ac:dyDescent="0.3">
      <c r="A1262" s="4">
        <v>0.51344907407407403</v>
      </c>
      <c r="B1262">
        <v>116.9</v>
      </c>
      <c r="C1262">
        <f t="shared" si="21"/>
        <v>0.38018939632056215</v>
      </c>
    </row>
    <row r="1263" spans="1:3" x14ac:dyDescent="0.3">
      <c r="A1263" s="4">
        <v>0.51379629629629631</v>
      </c>
      <c r="B1263">
        <v>116.5</v>
      </c>
      <c r="C1263">
        <f t="shared" si="21"/>
        <v>0.34673685045253205</v>
      </c>
    </row>
    <row r="1264" spans="1:3" x14ac:dyDescent="0.3">
      <c r="A1264" s="4">
        <v>0.51414351851851847</v>
      </c>
      <c r="B1264">
        <v>116</v>
      </c>
      <c r="C1264">
        <f t="shared" si="21"/>
        <v>0.3090295432513594</v>
      </c>
    </row>
    <row r="1265" spans="1:3" x14ac:dyDescent="0.3">
      <c r="A1265" s="4">
        <v>0.51449074074074075</v>
      </c>
      <c r="B1265">
        <v>115.8</v>
      </c>
      <c r="C1265">
        <f t="shared" si="21"/>
        <v>0.29512092266663875</v>
      </c>
    </row>
    <row r="1266" spans="1:3" x14ac:dyDescent="0.3">
      <c r="A1266" s="4">
        <v>0.51483796296296291</v>
      </c>
      <c r="B1266">
        <v>119.5</v>
      </c>
      <c r="C1266">
        <f t="shared" si="21"/>
        <v>0.69183097091893742</v>
      </c>
    </row>
    <row r="1267" spans="1:3" x14ac:dyDescent="0.3">
      <c r="A1267" s="4">
        <v>0.51518518518518519</v>
      </c>
      <c r="B1267">
        <v>119.6</v>
      </c>
      <c r="C1267">
        <f t="shared" si="21"/>
        <v>0.70794578438413791</v>
      </c>
    </row>
    <row r="1268" spans="1:3" x14ac:dyDescent="0.3">
      <c r="A1268" s="4">
        <v>0.51553240740740736</v>
      </c>
      <c r="B1268">
        <v>119</v>
      </c>
      <c r="C1268">
        <f t="shared" si="21"/>
        <v>0.61659500186148286</v>
      </c>
    </row>
    <row r="1269" spans="1:3" x14ac:dyDescent="0.3">
      <c r="A1269" s="4">
        <v>0.51587962962962963</v>
      </c>
      <c r="B1269">
        <v>118.6</v>
      </c>
      <c r="C1269">
        <f t="shared" si="21"/>
        <v>0.56234132519034907</v>
      </c>
    </row>
    <row r="1270" spans="1:3" x14ac:dyDescent="0.3">
      <c r="A1270" s="4">
        <v>0.5162268518518518</v>
      </c>
      <c r="B1270">
        <v>114.8</v>
      </c>
      <c r="C1270">
        <f t="shared" si="21"/>
        <v>0.23442288153199239</v>
      </c>
    </row>
    <row r="1271" spans="1:3" x14ac:dyDescent="0.3">
      <c r="A1271" s="2" t="s">
        <v>61</v>
      </c>
      <c r="C1271">
        <f>SUM(C1207:C1270)</f>
        <v>16.051769361960947</v>
      </c>
    </row>
    <row r="1273" spans="1:3" x14ac:dyDescent="0.3">
      <c r="A1273" s="2" t="s">
        <v>62</v>
      </c>
      <c r="C1273">
        <f>30/60*C1271</f>
        <v>8.0258846809804734</v>
      </c>
    </row>
    <row r="1275" spans="1:3" x14ac:dyDescent="0.3">
      <c r="A1275" s="2" t="s">
        <v>240</v>
      </c>
    </row>
    <row r="1276" spans="1:3" x14ac:dyDescent="0.3">
      <c r="A1276" s="2" t="s">
        <v>58</v>
      </c>
      <c r="B1276" s="2" t="s">
        <v>59</v>
      </c>
      <c r="C1276" s="2" t="s">
        <v>60</v>
      </c>
    </row>
    <row r="1277" spans="1:3" x14ac:dyDescent="0.3">
      <c r="A1277" s="4">
        <v>0.63509259259259254</v>
      </c>
      <c r="B1277">
        <v>36.4</v>
      </c>
      <c r="C1277">
        <f>10^((B1277-121.1)/10)</f>
        <v>3.3884415613920228E-9</v>
      </c>
    </row>
    <row r="1278" spans="1:3" x14ac:dyDescent="0.3">
      <c r="A1278" s="4">
        <v>0.63543981481481482</v>
      </c>
      <c r="B1278">
        <v>46.1</v>
      </c>
      <c r="C1278">
        <f t="shared" ref="C1278:C1341" si="22">10^((B1278-121.1)/10)</f>
        <v>3.1622776601683699E-8</v>
      </c>
    </row>
    <row r="1279" spans="1:3" x14ac:dyDescent="0.3">
      <c r="A1279" s="4">
        <v>0.63579861111111113</v>
      </c>
      <c r="B1279">
        <v>61.8</v>
      </c>
      <c r="C1279">
        <f t="shared" si="22"/>
        <v>1.1748975549395291E-6</v>
      </c>
    </row>
    <row r="1280" spans="1:3" x14ac:dyDescent="0.3">
      <c r="A1280" s="4">
        <v>0.6361458333333333</v>
      </c>
      <c r="B1280">
        <v>72.400000000000006</v>
      </c>
      <c r="C1280">
        <f t="shared" si="22"/>
        <v>1.3489628825916542E-5</v>
      </c>
    </row>
    <row r="1281" spans="1:3" x14ac:dyDescent="0.3">
      <c r="A1281" s="4">
        <v>0.63649305555555558</v>
      </c>
      <c r="B1281">
        <v>80.099999999999994</v>
      </c>
      <c r="C1281">
        <f t="shared" si="22"/>
        <v>7.9432823472428153E-5</v>
      </c>
    </row>
    <row r="1282" spans="1:3" x14ac:dyDescent="0.3">
      <c r="A1282" s="4">
        <v>0.63684027777777774</v>
      </c>
      <c r="B1282">
        <v>85.9</v>
      </c>
      <c r="C1282">
        <f t="shared" si="22"/>
        <v>3.0199517204020212E-4</v>
      </c>
    </row>
    <row r="1283" spans="1:3" x14ac:dyDescent="0.3">
      <c r="A1283" s="4">
        <v>0.63717592592592598</v>
      </c>
      <c r="B1283">
        <v>90.3</v>
      </c>
      <c r="C1283">
        <f t="shared" si="22"/>
        <v>8.317637711026712E-4</v>
      </c>
    </row>
    <row r="1284" spans="1:3" x14ac:dyDescent="0.3">
      <c r="A1284" s="4">
        <v>0.63753472222222218</v>
      </c>
      <c r="B1284">
        <v>93.4</v>
      </c>
      <c r="C1284">
        <f t="shared" si="22"/>
        <v>1.6982436524617484E-3</v>
      </c>
    </row>
    <row r="1285" spans="1:3" x14ac:dyDescent="0.3">
      <c r="A1285" s="4">
        <v>0.63788194444444446</v>
      </c>
      <c r="B1285">
        <v>95.4</v>
      </c>
      <c r="C1285">
        <f t="shared" si="22"/>
        <v>2.6915348039269196E-3</v>
      </c>
    </row>
    <row r="1286" spans="1:3" x14ac:dyDescent="0.3">
      <c r="A1286" s="4">
        <v>0.63822916666666663</v>
      </c>
      <c r="B1286">
        <v>97.6</v>
      </c>
      <c r="C1286">
        <f t="shared" si="22"/>
        <v>4.4668359215096279E-3</v>
      </c>
    </row>
    <row r="1287" spans="1:3" x14ac:dyDescent="0.3">
      <c r="A1287" s="4">
        <v>0.63856481481481486</v>
      </c>
      <c r="B1287">
        <v>99</v>
      </c>
      <c r="C1287">
        <f t="shared" si="22"/>
        <v>6.1659500186148257E-3</v>
      </c>
    </row>
    <row r="1288" spans="1:3" x14ac:dyDescent="0.3">
      <c r="A1288" s="4">
        <v>0.63891203703703703</v>
      </c>
      <c r="B1288">
        <v>100.5</v>
      </c>
      <c r="C1288">
        <f t="shared" si="22"/>
        <v>8.7096358995608081E-3</v>
      </c>
    </row>
    <row r="1289" spans="1:3" x14ac:dyDescent="0.3">
      <c r="A1289" s="4">
        <v>0.63927083333333334</v>
      </c>
      <c r="B1289">
        <v>101.6</v>
      </c>
      <c r="C1289">
        <f t="shared" si="22"/>
        <v>1.1220184543019634E-2</v>
      </c>
    </row>
    <row r="1290" spans="1:3" x14ac:dyDescent="0.3">
      <c r="A1290" s="4">
        <v>0.63961805555555551</v>
      </c>
      <c r="B1290">
        <v>102.4</v>
      </c>
      <c r="C1290">
        <f t="shared" si="22"/>
        <v>1.3489628825916573E-2</v>
      </c>
    </row>
    <row r="1291" spans="1:3" x14ac:dyDescent="0.3">
      <c r="A1291" s="4">
        <v>0.63995370370370375</v>
      </c>
      <c r="B1291">
        <v>103.3</v>
      </c>
      <c r="C1291">
        <f t="shared" si="22"/>
        <v>1.6595869074375609E-2</v>
      </c>
    </row>
    <row r="1292" spans="1:3" x14ac:dyDescent="0.3">
      <c r="A1292" s="4">
        <v>0.64031249999999995</v>
      </c>
      <c r="B1292">
        <v>104.2</v>
      </c>
      <c r="C1292">
        <f t="shared" si="22"/>
        <v>2.0417379446695333E-2</v>
      </c>
    </row>
    <row r="1293" spans="1:3" x14ac:dyDescent="0.3">
      <c r="A1293" s="4">
        <v>0.64065972222222223</v>
      </c>
      <c r="B1293">
        <v>105</v>
      </c>
      <c r="C1293">
        <f t="shared" si="22"/>
        <v>2.4547089156850332E-2</v>
      </c>
    </row>
    <row r="1294" spans="1:3" x14ac:dyDescent="0.3">
      <c r="A1294" s="4">
        <v>0.64100694444444439</v>
      </c>
      <c r="B1294">
        <v>105.6</v>
      </c>
      <c r="C1294">
        <f t="shared" si="22"/>
        <v>2.8183829312644532E-2</v>
      </c>
    </row>
    <row r="1295" spans="1:3" x14ac:dyDescent="0.3">
      <c r="A1295" s="4">
        <v>0.64135416666666667</v>
      </c>
      <c r="B1295">
        <v>106.3</v>
      </c>
      <c r="C1295">
        <f t="shared" si="22"/>
        <v>3.311311214825912E-2</v>
      </c>
    </row>
    <row r="1296" spans="1:3" x14ac:dyDescent="0.3">
      <c r="A1296" s="4">
        <v>0.64170138888888884</v>
      </c>
      <c r="B1296">
        <v>107.2</v>
      </c>
      <c r="C1296">
        <f t="shared" si="22"/>
        <v>4.0738027780411322E-2</v>
      </c>
    </row>
    <row r="1297" spans="1:3" x14ac:dyDescent="0.3">
      <c r="A1297" s="4">
        <v>0.64204861111111111</v>
      </c>
      <c r="B1297">
        <v>108</v>
      </c>
      <c r="C1297">
        <f t="shared" si="22"/>
        <v>4.8977881936844665E-2</v>
      </c>
    </row>
    <row r="1298" spans="1:3" x14ac:dyDescent="0.3">
      <c r="A1298" s="4">
        <v>0.64239583333333339</v>
      </c>
      <c r="B1298">
        <v>108.7</v>
      </c>
      <c r="C1298">
        <f t="shared" si="22"/>
        <v>5.7543993733715784E-2</v>
      </c>
    </row>
    <row r="1299" spans="1:3" x14ac:dyDescent="0.3">
      <c r="A1299" s="4">
        <v>0.64274305555555555</v>
      </c>
      <c r="B1299">
        <v>109.5</v>
      </c>
      <c r="C1299">
        <f t="shared" si="22"/>
        <v>6.9183097091893714E-2</v>
      </c>
    </row>
    <row r="1300" spans="1:3" x14ac:dyDescent="0.3">
      <c r="A1300" s="4">
        <v>0.64309027777777783</v>
      </c>
      <c r="B1300">
        <v>110.2</v>
      </c>
      <c r="C1300">
        <f t="shared" si="22"/>
        <v>8.1283051616410043E-2</v>
      </c>
    </row>
    <row r="1301" spans="1:3" x14ac:dyDescent="0.3">
      <c r="A1301" s="4">
        <v>0.64342592592592596</v>
      </c>
      <c r="B1301">
        <v>110.9</v>
      </c>
      <c r="C1301">
        <f t="shared" si="22"/>
        <v>9.5499258602143797E-2</v>
      </c>
    </row>
    <row r="1302" spans="1:3" x14ac:dyDescent="0.3">
      <c r="A1302" s="4">
        <v>0.64378472222222227</v>
      </c>
      <c r="B1302">
        <v>111.7</v>
      </c>
      <c r="C1302">
        <f t="shared" si="22"/>
        <v>0.11481536214968847</v>
      </c>
    </row>
    <row r="1303" spans="1:3" x14ac:dyDescent="0.3">
      <c r="A1303" s="4">
        <v>0.64413194444444444</v>
      </c>
      <c r="B1303">
        <v>112.5</v>
      </c>
      <c r="C1303">
        <f t="shared" si="22"/>
        <v>0.13803842646028863</v>
      </c>
    </row>
    <row r="1304" spans="1:3" x14ac:dyDescent="0.3">
      <c r="A1304" s="4">
        <v>0.64446759259259256</v>
      </c>
      <c r="B1304">
        <v>113.2</v>
      </c>
      <c r="C1304">
        <f t="shared" si="22"/>
        <v>0.16218100973589328</v>
      </c>
    </row>
    <row r="1305" spans="1:3" x14ac:dyDescent="0.3">
      <c r="A1305" s="4">
        <v>0.64482638888888888</v>
      </c>
      <c r="B1305">
        <v>114</v>
      </c>
      <c r="C1305">
        <f t="shared" si="22"/>
        <v>0.19498445997580477</v>
      </c>
    </row>
    <row r="1306" spans="1:3" x14ac:dyDescent="0.3">
      <c r="A1306" s="4">
        <v>0.64517361111111116</v>
      </c>
      <c r="B1306">
        <v>114.6</v>
      </c>
      <c r="C1306">
        <f t="shared" si="22"/>
        <v>0.22387211385683392</v>
      </c>
    </row>
    <row r="1307" spans="1:3" x14ac:dyDescent="0.3">
      <c r="A1307" s="4">
        <v>0.64552083333333332</v>
      </c>
      <c r="B1307">
        <v>115.3</v>
      </c>
      <c r="C1307">
        <f t="shared" si="22"/>
        <v>0.26302679918953831</v>
      </c>
    </row>
    <row r="1308" spans="1:3" x14ac:dyDescent="0.3">
      <c r="A1308" s="5">
        <v>0.64585648148148145</v>
      </c>
      <c r="B1308" s="6">
        <v>115.9</v>
      </c>
      <c r="C1308" s="6">
        <f t="shared" si="22"/>
        <v>0.30199517204020232</v>
      </c>
    </row>
    <row r="1309" spans="1:3" x14ac:dyDescent="0.3">
      <c r="A1309" s="5">
        <v>0.64621527777777776</v>
      </c>
      <c r="B1309" s="6">
        <v>116.7</v>
      </c>
      <c r="C1309" s="6">
        <f t="shared" si="22"/>
        <v>0.36307805477010202</v>
      </c>
    </row>
    <row r="1310" spans="1:3" x14ac:dyDescent="0.3">
      <c r="A1310" s="5">
        <v>0.64656250000000004</v>
      </c>
      <c r="B1310" s="6">
        <v>116.4</v>
      </c>
      <c r="C1310" s="6">
        <f t="shared" si="22"/>
        <v>0.33884415613920338</v>
      </c>
    </row>
    <row r="1311" spans="1:3" x14ac:dyDescent="0.3">
      <c r="A1311" s="5">
        <v>0.64690972222222221</v>
      </c>
      <c r="B1311" s="6">
        <v>115.8</v>
      </c>
      <c r="C1311" s="6">
        <f t="shared" si="22"/>
        <v>0.29512092266663875</v>
      </c>
    </row>
    <row r="1312" spans="1:3" x14ac:dyDescent="0.3">
      <c r="A1312" s="5">
        <v>0.64725694444444448</v>
      </c>
      <c r="B1312" s="6">
        <v>116.2</v>
      </c>
      <c r="C1312" s="6">
        <f t="shared" si="22"/>
        <v>0.32359365692962883</v>
      </c>
    </row>
    <row r="1313" spans="1:3" x14ac:dyDescent="0.3">
      <c r="A1313" s="5">
        <v>0.64760416666666665</v>
      </c>
      <c r="B1313" s="6">
        <v>118.4</v>
      </c>
      <c r="C1313" s="6">
        <f t="shared" si="22"/>
        <v>0.53703179637025411</v>
      </c>
    </row>
    <row r="1314" spans="1:3" x14ac:dyDescent="0.3">
      <c r="A1314" s="5">
        <v>0.64795138888888892</v>
      </c>
      <c r="B1314" s="6">
        <v>118.3</v>
      </c>
      <c r="C1314" s="6">
        <f t="shared" si="22"/>
        <v>0.52480746024977298</v>
      </c>
    </row>
    <row r="1315" spans="1:3" x14ac:dyDescent="0.3">
      <c r="A1315" s="5">
        <v>0.64829861111111109</v>
      </c>
      <c r="B1315" s="6">
        <v>117.7</v>
      </c>
      <c r="C1315" s="6">
        <f t="shared" si="22"/>
        <v>0.45708818961487585</v>
      </c>
    </row>
    <row r="1316" spans="1:3" x14ac:dyDescent="0.3">
      <c r="A1316" s="5">
        <v>0.64863425925925922</v>
      </c>
      <c r="B1316" s="6">
        <v>117.1</v>
      </c>
      <c r="C1316" s="6">
        <f t="shared" si="22"/>
        <v>0.3981071705534972</v>
      </c>
    </row>
    <row r="1317" spans="1:3" x14ac:dyDescent="0.3">
      <c r="A1317" s="5">
        <v>0.64899305555555553</v>
      </c>
      <c r="B1317" s="6">
        <v>116.6</v>
      </c>
      <c r="C1317" s="6">
        <f t="shared" si="22"/>
        <v>0.35481338923357542</v>
      </c>
    </row>
    <row r="1318" spans="1:3" x14ac:dyDescent="0.3">
      <c r="A1318" s="5">
        <v>0.64934027777777781</v>
      </c>
      <c r="B1318" s="6">
        <v>116.1</v>
      </c>
      <c r="C1318" s="6">
        <f t="shared" si="22"/>
        <v>0.31622776601683794</v>
      </c>
    </row>
    <row r="1319" spans="1:3" x14ac:dyDescent="0.3">
      <c r="A1319" s="5">
        <v>0.64968749999999997</v>
      </c>
      <c r="B1319" s="6">
        <v>115.6</v>
      </c>
      <c r="C1319" s="6">
        <f t="shared" si="22"/>
        <v>0.28183829312644532</v>
      </c>
    </row>
    <row r="1320" spans="1:3" x14ac:dyDescent="0.3">
      <c r="A1320" s="5">
        <v>0.65003472222222225</v>
      </c>
      <c r="B1320" s="6">
        <v>117.1</v>
      </c>
      <c r="C1320" s="6">
        <f t="shared" si="22"/>
        <v>0.3981071705534972</v>
      </c>
    </row>
    <row r="1321" spans="1:3" x14ac:dyDescent="0.3">
      <c r="A1321" s="5">
        <v>0.65038194444444442</v>
      </c>
      <c r="B1321" s="6">
        <v>118.9</v>
      </c>
      <c r="C1321" s="6">
        <f t="shared" si="22"/>
        <v>0.60255958607435922</v>
      </c>
    </row>
    <row r="1322" spans="1:3" x14ac:dyDescent="0.3">
      <c r="A1322" s="5">
        <v>0.65072916666666669</v>
      </c>
      <c r="B1322" s="6">
        <v>118.4</v>
      </c>
      <c r="C1322" s="6">
        <f t="shared" si="22"/>
        <v>0.53703179637025411</v>
      </c>
    </row>
    <row r="1323" spans="1:3" x14ac:dyDescent="0.3">
      <c r="A1323" s="5">
        <v>0.65107638888888886</v>
      </c>
      <c r="B1323" s="6">
        <v>118</v>
      </c>
      <c r="C1323" s="6">
        <f t="shared" si="22"/>
        <v>0.48977881936844675</v>
      </c>
    </row>
    <row r="1324" spans="1:3" x14ac:dyDescent="0.3">
      <c r="A1324" s="5">
        <v>0.65142361111111113</v>
      </c>
      <c r="B1324" s="6">
        <v>117.5</v>
      </c>
      <c r="C1324" s="6">
        <f t="shared" si="22"/>
        <v>0.43651583224016655</v>
      </c>
    </row>
    <row r="1325" spans="1:3" x14ac:dyDescent="0.3">
      <c r="A1325" s="5">
        <v>0.6517708333333333</v>
      </c>
      <c r="B1325" s="6">
        <v>117</v>
      </c>
      <c r="C1325" s="6">
        <f t="shared" si="22"/>
        <v>0.38904514499428111</v>
      </c>
    </row>
    <row r="1326" spans="1:3" x14ac:dyDescent="0.3">
      <c r="A1326" s="5">
        <v>0.65211805555555558</v>
      </c>
      <c r="B1326" s="6">
        <v>116.5</v>
      </c>
      <c r="C1326" s="6">
        <f t="shared" si="22"/>
        <v>0.34673685045253205</v>
      </c>
    </row>
    <row r="1327" spans="1:3" x14ac:dyDescent="0.3">
      <c r="A1327" s="5">
        <v>0.65246527777777774</v>
      </c>
      <c r="B1327" s="6">
        <v>116.1</v>
      </c>
      <c r="C1327" s="6">
        <f t="shared" si="22"/>
        <v>0.31622776601683794</v>
      </c>
    </row>
    <row r="1328" spans="1:3" x14ac:dyDescent="0.3">
      <c r="A1328" s="5">
        <v>0.65281250000000002</v>
      </c>
      <c r="B1328" s="6">
        <v>115.5</v>
      </c>
      <c r="C1328" s="6">
        <f t="shared" si="22"/>
        <v>0.27542287033381702</v>
      </c>
    </row>
    <row r="1329" spans="1:3" x14ac:dyDescent="0.3">
      <c r="A1329" s="5">
        <v>0.65315972222222218</v>
      </c>
      <c r="B1329" s="6">
        <v>117.1</v>
      </c>
      <c r="C1329" s="6">
        <f t="shared" si="22"/>
        <v>0.3981071705534972</v>
      </c>
    </row>
    <row r="1330" spans="1:3" x14ac:dyDescent="0.3">
      <c r="A1330" s="5">
        <v>0.65350694444444446</v>
      </c>
      <c r="B1330" s="6">
        <v>118.7</v>
      </c>
      <c r="C1330" s="6">
        <f t="shared" si="22"/>
        <v>0.57543993733715804</v>
      </c>
    </row>
    <row r="1331" spans="1:3" x14ac:dyDescent="0.3">
      <c r="A1331" s="5">
        <v>0.65385416666666663</v>
      </c>
      <c r="B1331" s="6">
        <v>118.1</v>
      </c>
      <c r="C1331" s="6">
        <f t="shared" si="22"/>
        <v>0.50118723362727224</v>
      </c>
    </row>
    <row r="1332" spans="1:3" x14ac:dyDescent="0.3">
      <c r="A1332" s="5">
        <v>0.6542013888888889</v>
      </c>
      <c r="B1332" s="6">
        <v>117.6</v>
      </c>
      <c r="C1332" s="6">
        <f t="shared" si="22"/>
        <v>0.44668359215096315</v>
      </c>
    </row>
    <row r="1333" spans="1:3" x14ac:dyDescent="0.3">
      <c r="A1333" s="5">
        <v>0.65454861111111107</v>
      </c>
      <c r="B1333" s="6">
        <v>117.2</v>
      </c>
      <c r="C1333" s="6">
        <f t="shared" si="22"/>
        <v>0.40738027780411351</v>
      </c>
    </row>
    <row r="1334" spans="1:3" x14ac:dyDescent="0.3">
      <c r="A1334" s="5">
        <v>0.65489583333333334</v>
      </c>
      <c r="B1334" s="6">
        <v>116.7</v>
      </c>
      <c r="C1334" s="6">
        <f t="shared" si="22"/>
        <v>0.36307805477010202</v>
      </c>
    </row>
    <row r="1335" spans="1:3" x14ac:dyDescent="0.3">
      <c r="A1335" s="5">
        <v>0.65524305555555551</v>
      </c>
      <c r="B1335" s="6">
        <v>116.3</v>
      </c>
      <c r="C1335" s="6">
        <f t="shared" si="22"/>
        <v>0.33113112148259127</v>
      </c>
    </row>
    <row r="1336" spans="1:3" x14ac:dyDescent="0.3">
      <c r="A1336" s="5">
        <v>0.65559027777777779</v>
      </c>
      <c r="B1336" s="6">
        <v>115.9</v>
      </c>
      <c r="C1336" s="6">
        <f t="shared" si="22"/>
        <v>0.30199517204020232</v>
      </c>
    </row>
    <row r="1337" spans="1:3" x14ac:dyDescent="0.3">
      <c r="A1337" s="5">
        <v>0.65593749999999995</v>
      </c>
      <c r="B1337" s="6">
        <v>116</v>
      </c>
      <c r="C1337" s="6">
        <f t="shared" si="22"/>
        <v>0.3090295432513594</v>
      </c>
    </row>
    <row r="1338" spans="1:3" x14ac:dyDescent="0.3">
      <c r="A1338" s="5">
        <v>0.65628472222222223</v>
      </c>
      <c r="B1338" s="6">
        <v>118.3</v>
      </c>
      <c r="C1338" s="6">
        <f t="shared" si="22"/>
        <v>0.52480746024977298</v>
      </c>
    </row>
    <row r="1339" spans="1:3" x14ac:dyDescent="0.3">
      <c r="A1339" s="5">
        <v>0.65663194444444439</v>
      </c>
      <c r="B1339" s="6">
        <v>118.3</v>
      </c>
      <c r="C1339" s="6">
        <f t="shared" si="22"/>
        <v>0.52480746024977298</v>
      </c>
    </row>
    <row r="1340" spans="1:3" x14ac:dyDescent="0.3">
      <c r="A1340" s="5">
        <v>0.65697916666666667</v>
      </c>
      <c r="B1340" s="6">
        <v>118</v>
      </c>
      <c r="C1340" s="6">
        <f t="shared" si="22"/>
        <v>0.48977881936844675</v>
      </c>
    </row>
    <row r="1341" spans="1:3" x14ac:dyDescent="0.3">
      <c r="A1341" s="5">
        <v>0.65732638888888884</v>
      </c>
      <c r="B1341" s="6">
        <v>117.5</v>
      </c>
      <c r="C1341" s="6">
        <f t="shared" si="22"/>
        <v>0.43651583224016655</v>
      </c>
    </row>
    <row r="1342" spans="1:3" x14ac:dyDescent="0.3">
      <c r="A1342" s="5">
        <v>0.65767361111111111</v>
      </c>
      <c r="B1342" s="6">
        <v>117.1</v>
      </c>
      <c r="C1342" s="6">
        <f t="shared" ref="C1342:C1405" si="23">10^((B1342-121.1)/10)</f>
        <v>0.3981071705534972</v>
      </c>
    </row>
    <row r="1343" spans="1:3" x14ac:dyDescent="0.3">
      <c r="A1343" s="5">
        <v>0.65802083333333339</v>
      </c>
      <c r="B1343" s="6">
        <v>116.6</v>
      </c>
      <c r="C1343" s="6">
        <f t="shared" si="23"/>
        <v>0.35481338923357542</v>
      </c>
    </row>
    <row r="1344" spans="1:3" x14ac:dyDescent="0.3">
      <c r="A1344" s="5">
        <v>0.65836805555555555</v>
      </c>
      <c r="B1344" s="6">
        <v>116.2</v>
      </c>
      <c r="C1344" s="6">
        <f t="shared" si="23"/>
        <v>0.32359365692962883</v>
      </c>
    </row>
    <row r="1345" spans="1:3" x14ac:dyDescent="0.3">
      <c r="A1345" s="5">
        <v>0.65871527777777783</v>
      </c>
      <c r="B1345" s="6">
        <v>116</v>
      </c>
      <c r="C1345" s="6">
        <f t="shared" si="23"/>
        <v>0.3090295432513594</v>
      </c>
    </row>
    <row r="1346" spans="1:3" x14ac:dyDescent="0.3">
      <c r="A1346" s="5">
        <v>0.6590625</v>
      </c>
      <c r="B1346" s="6">
        <v>115.8</v>
      </c>
      <c r="C1346" s="6">
        <f t="shared" si="23"/>
        <v>0.29512092266663875</v>
      </c>
    </row>
    <row r="1347" spans="1:3" x14ac:dyDescent="0.3">
      <c r="A1347" s="5">
        <v>0.65940972222222227</v>
      </c>
      <c r="B1347" s="6">
        <v>117.6</v>
      </c>
      <c r="C1347" s="6">
        <f t="shared" si="23"/>
        <v>0.44668359215096315</v>
      </c>
    </row>
    <row r="1348" spans="1:3" x14ac:dyDescent="0.3">
      <c r="A1348" s="5">
        <v>0.65975694444444444</v>
      </c>
      <c r="B1348" s="6">
        <v>118.4</v>
      </c>
      <c r="C1348" s="6">
        <f t="shared" si="23"/>
        <v>0.53703179637025411</v>
      </c>
    </row>
    <row r="1349" spans="1:3" x14ac:dyDescent="0.3">
      <c r="A1349" s="5">
        <v>0.66010416666666671</v>
      </c>
      <c r="B1349" s="6">
        <v>117.9</v>
      </c>
      <c r="C1349" s="6">
        <f t="shared" si="23"/>
        <v>0.47863009232263964</v>
      </c>
    </row>
    <row r="1350" spans="1:3" x14ac:dyDescent="0.3">
      <c r="A1350" s="5">
        <v>0.66045138888888888</v>
      </c>
      <c r="B1350" s="6">
        <v>117.6</v>
      </c>
      <c r="C1350" s="6">
        <f t="shared" si="23"/>
        <v>0.44668359215096315</v>
      </c>
    </row>
    <row r="1351" spans="1:3" x14ac:dyDescent="0.3">
      <c r="A1351" s="5">
        <v>0.66079861111111116</v>
      </c>
      <c r="B1351" s="6">
        <v>117.1</v>
      </c>
      <c r="C1351" s="6">
        <f t="shared" si="23"/>
        <v>0.3981071705534972</v>
      </c>
    </row>
    <row r="1352" spans="1:3" x14ac:dyDescent="0.3">
      <c r="A1352" s="5">
        <v>0.66114583333333332</v>
      </c>
      <c r="B1352" s="6">
        <v>116.8</v>
      </c>
      <c r="C1352" s="6">
        <f t="shared" si="23"/>
        <v>0.37153522909717274</v>
      </c>
    </row>
    <row r="1353" spans="1:3" x14ac:dyDescent="0.3">
      <c r="A1353" s="5">
        <v>0.6614930555555556</v>
      </c>
      <c r="B1353" s="6">
        <v>116.4</v>
      </c>
      <c r="C1353" s="6">
        <f t="shared" si="23"/>
        <v>0.33884415613920338</v>
      </c>
    </row>
    <row r="1354" spans="1:3" x14ac:dyDescent="0.3">
      <c r="A1354" s="5">
        <v>0.66184027777777776</v>
      </c>
      <c r="B1354" s="6">
        <v>116</v>
      </c>
      <c r="C1354" s="6">
        <f t="shared" si="23"/>
        <v>0.3090295432513594</v>
      </c>
    </row>
    <row r="1355" spans="1:3" x14ac:dyDescent="0.3">
      <c r="A1355" s="5">
        <v>0.66218750000000004</v>
      </c>
      <c r="B1355" s="6">
        <v>115.6</v>
      </c>
      <c r="C1355" s="6">
        <f t="shared" si="23"/>
        <v>0.28183829312644532</v>
      </c>
    </row>
    <row r="1356" spans="1:3" x14ac:dyDescent="0.3">
      <c r="A1356" s="5">
        <v>0.66253472222222221</v>
      </c>
      <c r="B1356" s="6">
        <v>117.7</v>
      </c>
      <c r="C1356" s="6">
        <f t="shared" si="23"/>
        <v>0.45708818961487585</v>
      </c>
    </row>
    <row r="1357" spans="1:3" x14ac:dyDescent="0.3">
      <c r="A1357" s="5">
        <v>0.66288194444444448</v>
      </c>
      <c r="B1357" s="6">
        <v>118.2</v>
      </c>
      <c r="C1357" s="6">
        <f t="shared" si="23"/>
        <v>0.51286138399136583</v>
      </c>
    </row>
    <row r="1358" spans="1:3" x14ac:dyDescent="0.3">
      <c r="A1358" s="5">
        <v>0.66322916666666665</v>
      </c>
      <c r="B1358" s="6">
        <v>117.7</v>
      </c>
      <c r="C1358" s="6">
        <f t="shared" si="23"/>
        <v>0.45708818961487585</v>
      </c>
    </row>
    <row r="1359" spans="1:3" x14ac:dyDescent="0.3">
      <c r="A1359" s="5">
        <v>0.66357638888888892</v>
      </c>
      <c r="B1359" s="6">
        <v>116.9</v>
      </c>
      <c r="C1359" s="6">
        <f t="shared" si="23"/>
        <v>0.38018939632056215</v>
      </c>
    </row>
    <row r="1360" spans="1:3" x14ac:dyDescent="0.3">
      <c r="A1360" s="4">
        <v>0.66392361111111109</v>
      </c>
      <c r="B1360">
        <v>106.6</v>
      </c>
      <c r="C1360">
        <f t="shared" si="23"/>
        <v>3.548133892335753E-2</v>
      </c>
    </row>
    <row r="1361" spans="1:3" x14ac:dyDescent="0.3">
      <c r="A1361" s="4">
        <v>0.66427083333333337</v>
      </c>
      <c r="B1361">
        <v>86.9</v>
      </c>
      <c r="C1361">
        <f t="shared" si="23"/>
        <v>3.8018939632056183E-4</v>
      </c>
    </row>
    <row r="1362" spans="1:3" x14ac:dyDescent="0.3">
      <c r="A1362" s="4">
        <v>0.66461805555555553</v>
      </c>
      <c r="B1362">
        <v>80.099999999999994</v>
      </c>
      <c r="C1362">
        <f t="shared" si="23"/>
        <v>7.9432823472428153E-5</v>
      </c>
    </row>
    <row r="1363" spans="1:3" x14ac:dyDescent="0.3">
      <c r="A1363" s="4">
        <v>0.66496527777777781</v>
      </c>
      <c r="B1363">
        <v>76.900000000000006</v>
      </c>
      <c r="C1363">
        <f t="shared" si="23"/>
        <v>3.8018939632056171E-5</v>
      </c>
    </row>
    <row r="1364" spans="1:3" x14ac:dyDescent="0.3">
      <c r="A1364" s="4">
        <v>0.66531249999999997</v>
      </c>
      <c r="B1364">
        <v>73.5</v>
      </c>
      <c r="C1364">
        <f t="shared" si="23"/>
        <v>1.7378008287493744E-5</v>
      </c>
    </row>
    <row r="1365" spans="1:3" x14ac:dyDescent="0.3">
      <c r="A1365" s="4">
        <v>0.66565972222222225</v>
      </c>
      <c r="B1365">
        <v>70.5</v>
      </c>
      <c r="C1365">
        <f t="shared" si="23"/>
        <v>8.7096358995608107E-6</v>
      </c>
    </row>
    <row r="1366" spans="1:3" x14ac:dyDescent="0.3">
      <c r="A1366" s="4">
        <v>0.66600694444444442</v>
      </c>
      <c r="B1366">
        <v>68.3</v>
      </c>
      <c r="C1366">
        <f t="shared" si="23"/>
        <v>5.248074602497729E-6</v>
      </c>
    </row>
    <row r="1367" spans="1:3" x14ac:dyDescent="0.3">
      <c r="A1367" s="4">
        <v>0.66635416666666669</v>
      </c>
      <c r="B1367">
        <v>66.2</v>
      </c>
      <c r="C1367">
        <f t="shared" si="23"/>
        <v>3.2359365692962856E-6</v>
      </c>
    </row>
    <row r="1368" spans="1:3" x14ac:dyDescent="0.3">
      <c r="A1368" s="4">
        <v>0.66670138888888886</v>
      </c>
      <c r="B1368">
        <v>64.400000000000006</v>
      </c>
      <c r="C1368">
        <f t="shared" si="23"/>
        <v>2.1379620895022339E-6</v>
      </c>
    </row>
    <row r="1369" spans="1:3" x14ac:dyDescent="0.3">
      <c r="A1369" s="4">
        <v>0.66704861111111113</v>
      </c>
      <c r="B1369">
        <v>62.7</v>
      </c>
      <c r="C1369">
        <f t="shared" si="23"/>
        <v>1.4454397707459286E-6</v>
      </c>
    </row>
    <row r="1370" spans="1:3" x14ac:dyDescent="0.3">
      <c r="A1370" s="4">
        <v>0.6673958333333333</v>
      </c>
      <c r="B1370">
        <v>61.2</v>
      </c>
      <c r="C1370">
        <f t="shared" si="23"/>
        <v>1.0232929922807546E-6</v>
      </c>
    </row>
    <row r="1371" spans="1:3" x14ac:dyDescent="0.3">
      <c r="A1371" s="4">
        <v>0.66774305555555558</v>
      </c>
      <c r="B1371">
        <v>59.8</v>
      </c>
      <c r="C1371">
        <f t="shared" si="23"/>
        <v>7.4131024130091606E-7</v>
      </c>
    </row>
    <row r="1372" spans="1:3" x14ac:dyDescent="0.3">
      <c r="A1372" s="4">
        <v>0.66809027777777774</v>
      </c>
      <c r="B1372">
        <v>58.4</v>
      </c>
      <c r="C1372">
        <f t="shared" si="23"/>
        <v>5.3703179637025244E-7</v>
      </c>
    </row>
    <row r="1373" spans="1:3" x14ac:dyDescent="0.3">
      <c r="A1373" s="4">
        <v>0.66843750000000002</v>
      </c>
      <c r="B1373">
        <v>57.2</v>
      </c>
      <c r="C1373">
        <f t="shared" si="23"/>
        <v>4.0738027780411298E-7</v>
      </c>
    </row>
    <row r="1374" spans="1:3" x14ac:dyDescent="0.3">
      <c r="A1374" s="4">
        <v>0.66878472222222218</v>
      </c>
      <c r="B1374">
        <v>56.1</v>
      </c>
      <c r="C1374">
        <f t="shared" si="23"/>
        <v>3.1622776601683734E-7</v>
      </c>
    </row>
    <row r="1375" spans="1:3" x14ac:dyDescent="0.3">
      <c r="A1375" s="4">
        <v>0.66913194444444446</v>
      </c>
      <c r="B1375">
        <v>55.1</v>
      </c>
      <c r="C1375">
        <f t="shared" si="23"/>
        <v>2.511886431509578E-7</v>
      </c>
    </row>
    <row r="1376" spans="1:3" x14ac:dyDescent="0.3">
      <c r="A1376" s="4">
        <v>0.66947916666666663</v>
      </c>
      <c r="B1376">
        <v>54.2</v>
      </c>
      <c r="C1376">
        <f t="shared" si="23"/>
        <v>2.0417379446695291E-7</v>
      </c>
    </row>
    <row r="1377" spans="1:3" x14ac:dyDescent="0.3">
      <c r="A1377" s="4">
        <v>0.6698263888888889</v>
      </c>
      <c r="B1377">
        <v>53.4</v>
      </c>
      <c r="C1377">
        <f t="shared" si="23"/>
        <v>1.6982436524617456E-7</v>
      </c>
    </row>
    <row r="1378" spans="1:3" x14ac:dyDescent="0.3">
      <c r="A1378" s="4">
        <v>0.67017361111111107</v>
      </c>
      <c r="B1378">
        <v>52.7</v>
      </c>
      <c r="C1378">
        <f t="shared" si="23"/>
        <v>1.4454397707459295E-7</v>
      </c>
    </row>
    <row r="1379" spans="1:3" x14ac:dyDescent="0.3">
      <c r="A1379" s="4">
        <v>0.67052083333333334</v>
      </c>
      <c r="B1379">
        <v>52</v>
      </c>
      <c r="C1379">
        <f t="shared" si="23"/>
        <v>1.2302687708123817E-7</v>
      </c>
    </row>
    <row r="1380" spans="1:3" x14ac:dyDescent="0.3">
      <c r="A1380" s="4">
        <v>0.67086805555555551</v>
      </c>
      <c r="B1380">
        <v>51.5</v>
      </c>
      <c r="C1380">
        <f t="shared" si="23"/>
        <v>1.0964781961431838E-7</v>
      </c>
    </row>
    <row r="1381" spans="1:3" x14ac:dyDescent="0.3">
      <c r="A1381" s="4">
        <v>0.67121527777777779</v>
      </c>
      <c r="B1381">
        <v>51</v>
      </c>
      <c r="C1381">
        <f t="shared" si="23"/>
        <v>9.7723722095581017E-8</v>
      </c>
    </row>
    <row r="1382" spans="1:3" x14ac:dyDescent="0.3">
      <c r="A1382" s="4">
        <v>0.67156249999999995</v>
      </c>
      <c r="B1382">
        <v>50.5</v>
      </c>
      <c r="C1382">
        <f t="shared" si="23"/>
        <v>8.7096358995608061E-8</v>
      </c>
    </row>
    <row r="1383" spans="1:3" x14ac:dyDescent="0.3">
      <c r="A1383" s="4">
        <v>0.67190972222222223</v>
      </c>
      <c r="B1383">
        <v>50.1</v>
      </c>
      <c r="C1383">
        <f t="shared" si="23"/>
        <v>7.943282347242818E-8</v>
      </c>
    </row>
    <row r="1384" spans="1:3" x14ac:dyDescent="0.3">
      <c r="A1384" s="4">
        <v>0.67225694444444439</v>
      </c>
      <c r="B1384">
        <v>49.7</v>
      </c>
      <c r="C1384">
        <f t="shared" si="23"/>
        <v>7.2443596007499061E-8</v>
      </c>
    </row>
    <row r="1385" spans="1:3" x14ac:dyDescent="0.3">
      <c r="A1385" s="4">
        <v>0.67260416666666667</v>
      </c>
      <c r="B1385">
        <v>49.3</v>
      </c>
      <c r="C1385">
        <f t="shared" si="23"/>
        <v>6.606934480075943E-8</v>
      </c>
    </row>
    <row r="1386" spans="1:3" x14ac:dyDescent="0.3">
      <c r="A1386" s="4">
        <v>0.67295138888888884</v>
      </c>
      <c r="B1386">
        <v>49</v>
      </c>
      <c r="C1386">
        <f t="shared" si="23"/>
        <v>6.1659500186148299E-8</v>
      </c>
    </row>
    <row r="1387" spans="1:3" x14ac:dyDescent="0.3">
      <c r="A1387" s="4">
        <v>0.67329861111111111</v>
      </c>
      <c r="B1387">
        <v>48.7</v>
      </c>
      <c r="C1387">
        <f t="shared" si="23"/>
        <v>5.7543993733715791E-8</v>
      </c>
    </row>
    <row r="1388" spans="1:3" x14ac:dyDescent="0.3">
      <c r="A1388" s="4">
        <v>0.67364583333333339</v>
      </c>
      <c r="B1388">
        <v>48.5</v>
      </c>
      <c r="C1388">
        <f t="shared" si="23"/>
        <v>5.4954087385762357E-8</v>
      </c>
    </row>
    <row r="1389" spans="1:3" x14ac:dyDescent="0.3">
      <c r="A1389" s="4">
        <v>0.67399305555555555</v>
      </c>
      <c r="B1389">
        <v>48.2</v>
      </c>
      <c r="C1389">
        <f t="shared" si="23"/>
        <v>5.1286138399136593E-8</v>
      </c>
    </row>
    <row r="1390" spans="1:3" x14ac:dyDescent="0.3">
      <c r="A1390" s="4">
        <v>0.67434027777777783</v>
      </c>
      <c r="B1390">
        <v>48</v>
      </c>
      <c r="C1390">
        <f t="shared" si="23"/>
        <v>4.8977881936844561E-8</v>
      </c>
    </row>
    <row r="1391" spans="1:3" x14ac:dyDescent="0.3">
      <c r="A1391" s="4">
        <v>0.6746875</v>
      </c>
      <c r="B1391">
        <v>47.7</v>
      </c>
      <c r="C1391">
        <f t="shared" si="23"/>
        <v>4.5708818961487464E-8</v>
      </c>
    </row>
    <row r="1392" spans="1:3" x14ac:dyDescent="0.3">
      <c r="A1392" s="4">
        <v>0.67503472222222227</v>
      </c>
      <c r="B1392">
        <v>47.5</v>
      </c>
      <c r="C1392">
        <f t="shared" si="23"/>
        <v>4.3651583224016566E-8</v>
      </c>
    </row>
    <row r="1393" spans="1:3" x14ac:dyDescent="0.3">
      <c r="A1393" s="4">
        <v>0.67538194444444444</v>
      </c>
      <c r="B1393">
        <v>47.3</v>
      </c>
      <c r="C1393">
        <f t="shared" si="23"/>
        <v>4.1686938347033516E-8</v>
      </c>
    </row>
    <row r="1394" spans="1:3" x14ac:dyDescent="0.3">
      <c r="A1394" s="4">
        <v>0.67572916666666671</v>
      </c>
      <c r="B1394">
        <v>47.1</v>
      </c>
      <c r="C1394">
        <f t="shared" si="23"/>
        <v>3.981071705534957E-8</v>
      </c>
    </row>
    <row r="1395" spans="1:3" x14ac:dyDescent="0.3">
      <c r="A1395" s="4">
        <v>0.67607638888888888</v>
      </c>
      <c r="B1395">
        <v>46.9</v>
      </c>
      <c r="C1395">
        <f t="shared" si="23"/>
        <v>3.8018939632056113E-8</v>
      </c>
    </row>
    <row r="1396" spans="1:3" x14ac:dyDescent="0.3">
      <c r="A1396" s="4">
        <v>0.67642361111111116</v>
      </c>
      <c r="B1396">
        <v>46.8</v>
      </c>
      <c r="C1396">
        <f t="shared" si="23"/>
        <v>3.7153522909717246E-8</v>
      </c>
    </row>
    <row r="1397" spans="1:3" x14ac:dyDescent="0.3">
      <c r="A1397" s="4">
        <v>0.67677083333333332</v>
      </c>
      <c r="B1397">
        <v>46.7</v>
      </c>
      <c r="C1397">
        <f t="shared" si="23"/>
        <v>3.6307805477010135E-8</v>
      </c>
    </row>
    <row r="1398" spans="1:3" x14ac:dyDescent="0.3">
      <c r="A1398" s="4">
        <v>0.6771180555555556</v>
      </c>
      <c r="B1398">
        <v>46.5</v>
      </c>
      <c r="C1398">
        <f t="shared" si="23"/>
        <v>3.4673685045253171E-8</v>
      </c>
    </row>
    <row r="1399" spans="1:3" x14ac:dyDescent="0.3">
      <c r="A1399" s="4">
        <v>0.67746527777777776</v>
      </c>
      <c r="B1399">
        <v>46.4</v>
      </c>
      <c r="C1399">
        <f t="shared" si="23"/>
        <v>3.3884415613920266E-8</v>
      </c>
    </row>
    <row r="1400" spans="1:3" x14ac:dyDescent="0.3">
      <c r="A1400" s="4">
        <v>0.67781250000000004</v>
      </c>
      <c r="B1400">
        <v>46.3</v>
      </c>
      <c r="C1400">
        <f t="shared" si="23"/>
        <v>3.3113112148259124E-8</v>
      </c>
    </row>
    <row r="1401" spans="1:3" x14ac:dyDescent="0.3">
      <c r="A1401" s="4">
        <v>0.67815972222222221</v>
      </c>
      <c r="B1401">
        <v>46.1</v>
      </c>
      <c r="C1401">
        <f t="shared" si="23"/>
        <v>3.1622776601683699E-8</v>
      </c>
    </row>
    <row r="1402" spans="1:3" x14ac:dyDescent="0.3">
      <c r="A1402" s="4">
        <v>0.67850694444444448</v>
      </c>
      <c r="B1402">
        <v>46</v>
      </c>
      <c r="C1402">
        <f t="shared" si="23"/>
        <v>3.0902954325135814E-8</v>
      </c>
    </row>
    <row r="1403" spans="1:3" x14ac:dyDescent="0.3">
      <c r="A1403" s="4">
        <v>0.67885416666666665</v>
      </c>
      <c r="B1403">
        <v>45.8</v>
      </c>
      <c r="C1403">
        <f t="shared" si="23"/>
        <v>2.9512092266663881E-8</v>
      </c>
    </row>
    <row r="1404" spans="1:3" x14ac:dyDescent="0.3">
      <c r="A1404" s="4">
        <v>0.67920138888888892</v>
      </c>
      <c r="B1404">
        <v>45.8</v>
      </c>
      <c r="C1404">
        <f t="shared" si="23"/>
        <v>2.9512092266663881E-8</v>
      </c>
    </row>
    <row r="1405" spans="1:3" x14ac:dyDescent="0.3">
      <c r="A1405" s="4">
        <v>0.67954861111111109</v>
      </c>
      <c r="B1405">
        <v>45.8</v>
      </c>
      <c r="C1405">
        <f t="shared" si="23"/>
        <v>2.9512092266663881E-8</v>
      </c>
    </row>
    <row r="1406" spans="1:3" x14ac:dyDescent="0.3">
      <c r="A1406" s="4">
        <v>0.67989583333333337</v>
      </c>
      <c r="B1406">
        <v>45.8</v>
      </c>
      <c r="C1406">
        <f t="shared" ref="C1406:C1430" si="24">10^((B1406-121.1)/10)</f>
        <v>2.9512092266663881E-8</v>
      </c>
    </row>
    <row r="1407" spans="1:3" x14ac:dyDescent="0.3">
      <c r="A1407" s="4">
        <v>0.68024305555555553</v>
      </c>
      <c r="B1407">
        <v>45.8</v>
      </c>
      <c r="C1407">
        <f t="shared" si="24"/>
        <v>2.9512092266663881E-8</v>
      </c>
    </row>
    <row r="1408" spans="1:3" x14ac:dyDescent="0.3">
      <c r="A1408" s="4">
        <v>0.68059027777777781</v>
      </c>
      <c r="B1408">
        <v>45.8</v>
      </c>
      <c r="C1408">
        <f t="shared" si="24"/>
        <v>2.9512092266663881E-8</v>
      </c>
    </row>
    <row r="1409" spans="1:3" x14ac:dyDescent="0.3">
      <c r="A1409" s="4">
        <v>0.68093749999999997</v>
      </c>
      <c r="B1409">
        <v>45.8</v>
      </c>
      <c r="C1409">
        <f t="shared" si="24"/>
        <v>2.9512092266663881E-8</v>
      </c>
    </row>
    <row r="1410" spans="1:3" x14ac:dyDescent="0.3">
      <c r="A1410" s="4">
        <v>0.68128472222222225</v>
      </c>
      <c r="B1410">
        <v>45.5</v>
      </c>
      <c r="C1410">
        <f t="shared" si="24"/>
        <v>2.75422870333816E-8</v>
      </c>
    </row>
    <row r="1411" spans="1:3" x14ac:dyDescent="0.3">
      <c r="A1411" s="4">
        <v>0.68163194444444442</v>
      </c>
      <c r="B1411">
        <v>45.4</v>
      </c>
      <c r="C1411">
        <f t="shared" si="24"/>
        <v>2.691534803926919E-8</v>
      </c>
    </row>
    <row r="1412" spans="1:3" x14ac:dyDescent="0.3">
      <c r="A1412" s="4">
        <v>0.68197916666666669</v>
      </c>
      <c r="B1412">
        <v>45.2</v>
      </c>
      <c r="C1412">
        <f t="shared" si="24"/>
        <v>2.5703957827688676E-8</v>
      </c>
    </row>
    <row r="1413" spans="1:3" x14ac:dyDescent="0.3">
      <c r="A1413" s="4">
        <v>0.68232638888888886</v>
      </c>
      <c r="B1413">
        <v>44.9</v>
      </c>
      <c r="C1413">
        <f t="shared" si="24"/>
        <v>2.3988329190194944E-8</v>
      </c>
    </row>
    <row r="1414" spans="1:3" x14ac:dyDescent="0.3">
      <c r="A1414" s="4">
        <v>0.68267361111111113</v>
      </c>
      <c r="B1414">
        <v>44.9</v>
      </c>
      <c r="C1414">
        <f t="shared" si="24"/>
        <v>2.3988329190194944E-8</v>
      </c>
    </row>
    <row r="1415" spans="1:3" x14ac:dyDescent="0.3">
      <c r="A1415" s="4">
        <v>0.6830208333333333</v>
      </c>
      <c r="B1415">
        <v>44.8</v>
      </c>
      <c r="C1415">
        <f t="shared" si="24"/>
        <v>2.3442288153199181E-8</v>
      </c>
    </row>
    <row r="1416" spans="1:3" x14ac:dyDescent="0.3">
      <c r="A1416" s="4">
        <v>0.68336805555555558</v>
      </c>
      <c r="B1416">
        <v>44.7</v>
      </c>
      <c r="C1416">
        <f t="shared" si="24"/>
        <v>2.2908676527677776E-8</v>
      </c>
    </row>
    <row r="1417" spans="1:3" x14ac:dyDescent="0.3">
      <c r="A1417" s="4">
        <v>0.68371527777777774</v>
      </c>
      <c r="B1417">
        <v>44.6</v>
      </c>
      <c r="C1417">
        <f t="shared" si="24"/>
        <v>2.2387211385683365E-8</v>
      </c>
    </row>
    <row r="1418" spans="1:3" x14ac:dyDescent="0.3">
      <c r="A1418" s="4">
        <v>0.68406250000000002</v>
      </c>
      <c r="B1418">
        <v>44.5</v>
      </c>
      <c r="C1418">
        <f t="shared" si="24"/>
        <v>2.1877616239495494E-8</v>
      </c>
    </row>
    <row r="1419" spans="1:3" x14ac:dyDescent="0.3">
      <c r="A1419" s="4">
        <v>0.68440972222222218</v>
      </c>
      <c r="B1419">
        <v>44.4</v>
      </c>
      <c r="C1419">
        <f t="shared" si="24"/>
        <v>2.1379620895022368E-8</v>
      </c>
    </row>
    <row r="1420" spans="1:3" x14ac:dyDescent="0.3">
      <c r="A1420" s="4">
        <v>0.68475694444444446</v>
      </c>
      <c r="B1420">
        <v>44.3</v>
      </c>
      <c r="C1420">
        <f t="shared" si="24"/>
        <v>2.0892961308540368E-8</v>
      </c>
    </row>
    <row r="1421" spans="1:3" x14ac:dyDescent="0.3">
      <c r="A1421" s="4">
        <v>0.68510416666666663</v>
      </c>
      <c r="B1421">
        <v>44.2</v>
      </c>
      <c r="C1421">
        <f t="shared" si="24"/>
        <v>2.0417379446695271E-8</v>
      </c>
    </row>
    <row r="1422" spans="1:3" x14ac:dyDescent="0.3">
      <c r="A1422" s="4">
        <v>0.6854513888888889</v>
      </c>
      <c r="B1422">
        <v>44.1</v>
      </c>
      <c r="C1422">
        <f t="shared" si="24"/>
        <v>1.9952623149688773E-8</v>
      </c>
    </row>
    <row r="1423" spans="1:3" x14ac:dyDescent="0.3">
      <c r="A1423" s="4">
        <v>0.68579861111111107</v>
      </c>
      <c r="B1423">
        <v>44</v>
      </c>
      <c r="C1423">
        <f t="shared" si="24"/>
        <v>1.9498445997580434E-8</v>
      </c>
    </row>
    <row r="1424" spans="1:3" x14ac:dyDescent="0.3">
      <c r="A1424" s="4">
        <v>0.68614583333333334</v>
      </c>
      <c r="B1424">
        <v>44</v>
      </c>
      <c r="C1424">
        <f t="shared" si="24"/>
        <v>1.9498445997580434E-8</v>
      </c>
    </row>
    <row r="1425" spans="1:3" x14ac:dyDescent="0.3">
      <c r="A1425" s="4">
        <v>0.68649305555555551</v>
      </c>
      <c r="B1425">
        <v>44</v>
      </c>
      <c r="C1425">
        <f t="shared" si="24"/>
        <v>1.9498445997580434E-8</v>
      </c>
    </row>
    <row r="1426" spans="1:3" x14ac:dyDescent="0.3">
      <c r="A1426" s="4">
        <v>0.68684027777777779</v>
      </c>
      <c r="B1426">
        <v>43.9</v>
      </c>
      <c r="C1426">
        <f t="shared" si="24"/>
        <v>1.9054607179632522E-8</v>
      </c>
    </row>
    <row r="1427" spans="1:3" x14ac:dyDescent="0.3">
      <c r="A1427" s="4">
        <v>0.68718749999999995</v>
      </c>
      <c r="B1427">
        <v>43.9</v>
      </c>
      <c r="C1427">
        <f t="shared" si="24"/>
        <v>1.9054607179632522E-8</v>
      </c>
    </row>
    <row r="1428" spans="1:3" x14ac:dyDescent="0.3">
      <c r="A1428" s="4">
        <v>0.68753472222222223</v>
      </c>
      <c r="B1428">
        <v>43.9</v>
      </c>
      <c r="C1428">
        <f t="shared" si="24"/>
        <v>1.9054607179632522E-8</v>
      </c>
    </row>
    <row r="1429" spans="1:3" x14ac:dyDescent="0.3">
      <c r="A1429" s="4">
        <v>0.68788194444444439</v>
      </c>
      <c r="B1429">
        <v>43.8</v>
      </c>
      <c r="C1429">
        <f t="shared" si="24"/>
        <v>1.8620871366628663E-8</v>
      </c>
    </row>
    <row r="1430" spans="1:3" x14ac:dyDescent="0.3">
      <c r="A1430" s="4">
        <v>0.68822916666666667</v>
      </c>
      <c r="B1430">
        <v>43.8</v>
      </c>
      <c r="C1430">
        <f t="shared" si="24"/>
        <v>1.8620871366628663E-8</v>
      </c>
    </row>
    <row r="1431" spans="1:3" x14ac:dyDescent="0.3">
      <c r="A1431" s="2" t="s">
        <v>61</v>
      </c>
      <c r="C1431">
        <f>SUM(C1277:C1430)</f>
        <v>22.688882460210454</v>
      </c>
    </row>
    <row r="1433" spans="1:3" x14ac:dyDescent="0.3">
      <c r="A1433" s="2" t="s">
        <v>62</v>
      </c>
      <c r="C1433">
        <f>30/60*C1431</f>
        <v>11.344441230105227</v>
      </c>
    </row>
    <row r="1435" spans="1:3" x14ac:dyDescent="0.3">
      <c r="A1435" s="2" t="s">
        <v>241</v>
      </c>
    </row>
    <row r="1436" spans="1:3" x14ac:dyDescent="0.3">
      <c r="A1436" s="2" t="s">
        <v>58</v>
      </c>
      <c r="B1436" s="2" t="s">
        <v>59</v>
      </c>
      <c r="C1436" s="2" t="s">
        <v>60</v>
      </c>
    </row>
    <row r="1437" spans="1:3" x14ac:dyDescent="0.3">
      <c r="A1437" s="4">
        <v>0.63822916666666663</v>
      </c>
      <c r="B1437">
        <v>38.4</v>
      </c>
      <c r="C1437">
        <f>10^((B1437-121.1)/10)</f>
        <v>5.3703179637025321E-9</v>
      </c>
    </row>
    <row r="1438" spans="1:3" x14ac:dyDescent="0.3">
      <c r="A1438" s="4">
        <v>0.6385763888888889</v>
      </c>
      <c r="B1438">
        <v>38.299999999999997</v>
      </c>
      <c r="C1438">
        <f t="shared" ref="C1438:C1501" si="25">10^((B1438-121.1)/10)</f>
        <v>5.2480746024977305E-9</v>
      </c>
    </row>
    <row r="1439" spans="1:3" x14ac:dyDescent="0.3">
      <c r="A1439" s="4">
        <v>0.63892361111111107</v>
      </c>
      <c r="B1439">
        <v>38.299999999999997</v>
      </c>
      <c r="C1439">
        <f t="shared" si="25"/>
        <v>5.2480746024977305E-9</v>
      </c>
    </row>
    <row r="1440" spans="1:3" x14ac:dyDescent="0.3">
      <c r="A1440" s="4">
        <v>0.63927083333333334</v>
      </c>
      <c r="B1440">
        <v>38.299999999999997</v>
      </c>
      <c r="C1440">
        <f t="shared" si="25"/>
        <v>5.2480746024977305E-9</v>
      </c>
    </row>
    <row r="1441" spans="1:3" x14ac:dyDescent="0.3">
      <c r="A1441" s="4">
        <v>0.63961805555555551</v>
      </c>
      <c r="B1441">
        <v>38.299999999999997</v>
      </c>
      <c r="C1441">
        <f t="shared" si="25"/>
        <v>5.2480746024977305E-9</v>
      </c>
    </row>
    <row r="1442" spans="1:3" x14ac:dyDescent="0.3">
      <c r="A1442" s="4">
        <v>0.63996527777777779</v>
      </c>
      <c r="B1442">
        <v>38.299999999999997</v>
      </c>
      <c r="C1442">
        <f t="shared" si="25"/>
        <v>5.2480746024977305E-9</v>
      </c>
    </row>
    <row r="1443" spans="1:3" x14ac:dyDescent="0.3">
      <c r="A1443" s="4">
        <v>0.64031249999999995</v>
      </c>
      <c r="B1443">
        <v>38.299999999999997</v>
      </c>
      <c r="C1443">
        <f t="shared" si="25"/>
        <v>5.2480746024977305E-9</v>
      </c>
    </row>
    <row r="1444" spans="1:3" x14ac:dyDescent="0.3">
      <c r="A1444" s="4">
        <v>0.64065972222222223</v>
      </c>
      <c r="B1444">
        <v>38.299999999999997</v>
      </c>
      <c r="C1444">
        <f t="shared" si="25"/>
        <v>5.2480746024977305E-9</v>
      </c>
    </row>
    <row r="1445" spans="1:3" x14ac:dyDescent="0.3">
      <c r="A1445" s="4">
        <v>0.64100694444444439</v>
      </c>
      <c r="B1445">
        <v>38.299999999999997</v>
      </c>
      <c r="C1445">
        <f t="shared" si="25"/>
        <v>5.2480746024977305E-9</v>
      </c>
    </row>
    <row r="1446" spans="1:3" x14ac:dyDescent="0.3">
      <c r="A1446" s="4">
        <v>0.64135416666666667</v>
      </c>
      <c r="B1446">
        <v>37.4</v>
      </c>
      <c r="C1446">
        <f t="shared" si="25"/>
        <v>4.265795188015919E-9</v>
      </c>
    </row>
    <row r="1447" spans="1:3" x14ac:dyDescent="0.3">
      <c r="A1447" s="4">
        <v>0.64170138888888884</v>
      </c>
      <c r="B1447">
        <v>37.799999999999997</v>
      </c>
      <c r="C1447">
        <f t="shared" si="25"/>
        <v>4.6773514128719724E-9</v>
      </c>
    </row>
    <row r="1448" spans="1:3" x14ac:dyDescent="0.3">
      <c r="A1448" s="4">
        <v>0.64204861111111111</v>
      </c>
      <c r="B1448">
        <v>40.200000000000003</v>
      </c>
      <c r="C1448">
        <f t="shared" si="25"/>
        <v>8.1283051616409861E-9</v>
      </c>
    </row>
    <row r="1449" spans="1:3" x14ac:dyDescent="0.3">
      <c r="A1449" s="4">
        <v>0.64239583333333339</v>
      </c>
      <c r="B1449">
        <v>44.5</v>
      </c>
      <c r="C1449">
        <f t="shared" si="25"/>
        <v>2.1877616239495494E-8</v>
      </c>
    </row>
    <row r="1450" spans="1:3" x14ac:dyDescent="0.3">
      <c r="A1450" s="4">
        <v>0.64274305555555555</v>
      </c>
      <c r="B1450">
        <v>51</v>
      </c>
      <c r="C1450">
        <f t="shared" si="25"/>
        <v>9.7723722095581017E-8</v>
      </c>
    </row>
    <row r="1451" spans="1:3" x14ac:dyDescent="0.3">
      <c r="A1451" s="4">
        <v>0.64309027777777783</v>
      </c>
      <c r="B1451">
        <v>56.6</v>
      </c>
      <c r="C1451">
        <f t="shared" si="25"/>
        <v>3.5481338923357463E-7</v>
      </c>
    </row>
    <row r="1452" spans="1:3" x14ac:dyDescent="0.3">
      <c r="A1452" s="4">
        <v>0.6434375</v>
      </c>
      <c r="B1452">
        <v>61.3</v>
      </c>
      <c r="C1452">
        <f t="shared" si="25"/>
        <v>1.0471285480508998E-6</v>
      </c>
    </row>
    <row r="1453" spans="1:3" x14ac:dyDescent="0.3">
      <c r="A1453" s="4">
        <v>0.64378472222222227</v>
      </c>
      <c r="B1453">
        <v>65</v>
      </c>
      <c r="C1453">
        <f t="shared" si="25"/>
        <v>2.4547089156850314E-6</v>
      </c>
    </row>
    <row r="1454" spans="1:3" x14ac:dyDescent="0.3">
      <c r="A1454" s="4">
        <v>0.64413194444444444</v>
      </c>
      <c r="B1454">
        <v>67.900000000000006</v>
      </c>
      <c r="C1454">
        <f t="shared" si="25"/>
        <v>4.786300923226397E-6</v>
      </c>
    </row>
    <row r="1455" spans="1:3" x14ac:dyDescent="0.3">
      <c r="A1455" s="4">
        <v>0.64447916666666671</v>
      </c>
      <c r="B1455">
        <v>74.599999999999994</v>
      </c>
      <c r="C1455">
        <f t="shared" si="25"/>
        <v>2.2387211385683359E-5</v>
      </c>
    </row>
    <row r="1456" spans="1:3" x14ac:dyDescent="0.3">
      <c r="A1456" s="4">
        <v>0.64482638888888888</v>
      </c>
      <c r="B1456">
        <v>78.900000000000006</v>
      </c>
      <c r="C1456">
        <f t="shared" si="25"/>
        <v>6.0255958607435847E-5</v>
      </c>
    </row>
    <row r="1457" spans="1:3" x14ac:dyDescent="0.3">
      <c r="A1457" s="4">
        <v>0.64517361111111116</v>
      </c>
      <c r="B1457">
        <v>80.8</v>
      </c>
      <c r="C1457">
        <f t="shared" si="25"/>
        <v>9.3325430079699222E-5</v>
      </c>
    </row>
    <row r="1458" spans="1:3" x14ac:dyDescent="0.3">
      <c r="A1458" s="4">
        <v>0.64552083333333332</v>
      </c>
      <c r="B1458">
        <v>82.4</v>
      </c>
      <c r="C1458">
        <f t="shared" si="25"/>
        <v>1.3489628825916555E-4</v>
      </c>
    </row>
    <row r="1459" spans="1:3" x14ac:dyDescent="0.3">
      <c r="A1459" s="4">
        <v>0.6458680555555556</v>
      </c>
      <c r="B1459">
        <v>84.3</v>
      </c>
      <c r="C1459">
        <f t="shared" si="25"/>
        <v>2.0892961308540387E-4</v>
      </c>
    </row>
    <row r="1460" spans="1:3" x14ac:dyDescent="0.3">
      <c r="A1460" s="4">
        <v>0.64621527777777776</v>
      </c>
      <c r="B1460">
        <v>85.6</v>
      </c>
      <c r="C1460">
        <f t="shared" si="25"/>
        <v>2.8183829312644545E-4</v>
      </c>
    </row>
    <row r="1461" spans="1:3" x14ac:dyDescent="0.3">
      <c r="A1461" s="4">
        <v>0.64656250000000004</v>
      </c>
      <c r="B1461">
        <v>86.6</v>
      </c>
      <c r="C1461">
        <f t="shared" si="25"/>
        <v>3.5481338923357516E-4</v>
      </c>
    </row>
    <row r="1462" spans="1:3" x14ac:dyDescent="0.3">
      <c r="A1462" s="4">
        <v>0.64690972222222221</v>
      </c>
      <c r="B1462">
        <v>88.4</v>
      </c>
      <c r="C1462">
        <f t="shared" si="25"/>
        <v>5.3703179637025369E-4</v>
      </c>
    </row>
    <row r="1463" spans="1:3" x14ac:dyDescent="0.3">
      <c r="A1463" s="4">
        <v>0.64725694444444448</v>
      </c>
      <c r="B1463">
        <v>89.9</v>
      </c>
      <c r="C1463">
        <f t="shared" si="25"/>
        <v>7.5857757502918548E-4</v>
      </c>
    </row>
    <row r="1464" spans="1:3" x14ac:dyDescent="0.3">
      <c r="A1464" s="4">
        <v>0.64760416666666665</v>
      </c>
      <c r="B1464">
        <v>91.7</v>
      </c>
      <c r="C1464">
        <f t="shared" si="25"/>
        <v>1.1481536214968844E-3</v>
      </c>
    </row>
    <row r="1465" spans="1:3" x14ac:dyDescent="0.3">
      <c r="A1465" s="4">
        <v>0.64795138888888892</v>
      </c>
      <c r="B1465">
        <v>93.6</v>
      </c>
      <c r="C1465">
        <f t="shared" si="25"/>
        <v>1.7782794100389223E-3</v>
      </c>
    </row>
    <row r="1466" spans="1:3" x14ac:dyDescent="0.3">
      <c r="A1466" s="4">
        <v>0.64829861111111109</v>
      </c>
      <c r="B1466">
        <v>95.6</v>
      </c>
      <c r="C1466">
        <f t="shared" si="25"/>
        <v>2.8183829312644522E-3</v>
      </c>
    </row>
    <row r="1467" spans="1:3" x14ac:dyDescent="0.3">
      <c r="A1467" s="4">
        <v>0.64864583333333337</v>
      </c>
      <c r="B1467">
        <v>97.3</v>
      </c>
      <c r="C1467">
        <f t="shared" si="25"/>
        <v>4.1686938347033527E-3</v>
      </c>
    </row>
    <row r="1468" spans="1:3" x14ac:dyDescent="0.3">
      <c r="A1468" s="4">
        <v>0.64899305555555553</v>
      </c>
      <c r="B1468">
        <v>99.1</v>
      </c>
      <c r="C1468">
        <f t="shared" si="25"/>
        <v>6.3095734448019251E-3</v>
      </c>
    </row>
    <row r="1469" spans="1:3" x14ac:dyDescent="0.3">
      <c r="A1469" s="4">
        <v>0.64934027777777781</v>
      </c>
      <c r="B1469">
        <v>100.6</v>
      </c>
      <c r="C1469">
        <f t="shared" si="25"/>
        <v>8.9125093813374554E-3</v>
      </c>
    </row>
    <row r="1470" spans="1:3" x14ac:dyDescent="0.3">
      <c r="A1470" s="4">
        <v>0.64968749999999997</v>
      </c>
      <c r="B1470">
        <v>102</v>
      </c>
      <c r="C1470">
        <f t="shared" si="25"/>
        <v>1.230268770812382E-2</v>
      </c>
    </row>
    <row r="1471" spans="1:3" x14ac:dyDescent="0.3">
      <c r="A1471" s="4">
        <v>0.65003472222222225</v>
      </c>
      <c r="B1471">
        <v>104.1</v>
      </c>
      <c r="C1471">
        <f t="shared" si="25"/>
        <v>1.9952623149688792E-2</v>
      </c>
    </row>
    <row r="1472" spans="1:3" x14ac:dyDescent="0.3">
      <c r="A1472" s="4">
        <v>0.65038194444444442</v>
      </c>
      <c r="B1472">
        <v>106.9</v>
      </c>
      <c r="C1472">
        <f t="shared" si="25"/>
        <v>3.8018939632056215E-2</v>
      </c>
    </row>
    <row r="1473" spans="1:3" x14ac:dyDescent="0.3">
      <c r="A1473" s="4">
        <v>0.65072916666666669</v>
      </c>
      <c r="B1473">
        <v>109.6</v>
      </c>
      <c r="C1473">
        <f t="shared" si="25"/>
        <v>7.0794578438413788E-2</v>
      </c>
    </row>
    <row r="1474" spans="1:3" x14ac:dyDescent="0.3">
      <c r="A1474" s="4">
        <v>0.65107638888888886</v>
      </c>
      <c r="B1474">
        <v>111.7</v>
      </c>
      <c r="C1474">
        <f t="shared" si="25"/>
        <v>0.11481536214968847</v>
      </c>
    </row>
    <row r="1475" spans="1:3" x14ac:dyDescent="0.3">
      <c r="A1475" s="4">
        <v>0.65142361111111113</v>
      </c>
      <c r="B1475">
        <v>113</v>
      </c>
      <c r="C1475">
        <f t="shared" si="25"/>
        <v>0.15488166189124833</v>
      </c>
    </row>
    <row r="1476" spans="1:3" x14ac:dyDescent="0.3">
      <c r="A1476" s="4">
        <v>0.6517708333333333</v>
      </c>
      <c r="B1476">
        <v>114.5</v>
      </c>
      <c r="C1476">
        <f t="shared" si="25"/>
        <v>0.21877616239495548</v>
      </c>
    </row>
    <row r="1477" spans="1:3" x14ac:dyDescent="0.3">
      <c r="A1477" s="4">
        <v>0.65211805555555558</v>
      </c>
      <c r="B1477">
        <v>115.6</v>
      </c>
      <c r="C1477">
        <f t="shared" si="25"/>
        <v>0.28183829312644532</v>
      </c>
    </row>
    <row r="1478" spans="1:3" x14ac:dyDescent="0.3">
      <c r="A1478" s="4">
        <v>0.65246527777777774</v>
      </c>
      <c r="B1478">
        <v>114.7</v>
      </c>
      <c r="C1478">
        <f t="shared" si="25"/>
        <v>0.22908676527677774</v>
      </c>
    </row>
    <row r="1479" spans="1:3" x14ac:dyDescent="0.3">
      <c r="A1479" s="4">
        <v>0.65281250000000002</v>
      </c>
      <c r="B1479">
        <v>115.6</v>
      </c>
      <c r="C1479">
        <f t="shared" si="25"/>
        <v>0.28183829312644532</v>
      </c>
    </row>
    <row r="1480" spans="1:3" x14ac:dyDescent="0.3">
      <c r="A1480" s="4">
        <v>0.65315972222222218</v>
      </c>
      <c r="B1480">
        <v>117.2</v>
      </c>
      <c r="C1480">
        <f t="shared" si="25"/>
        <v>0.40738027780411351</v>
      </c>
    </row>
    <row r="1481" spans="1:3" x14ac:dyDescent="0.3">
      <c r="A1481" s="4">
        <v>0.65350694444444446</v>
      </c>
      <c r="B1481">
        <v>117.2</v>
      </c>
      <c r="C1481">
        <f t="shared" si="25"/>
        <v>0.40738027780411351</v>
      </c>
    </row>
    <row r="1482" spans="1:3" x14ac:dyDescent="0.3">
      <c r="A1482" s="4">
        <v>0.65385416666666663</v>
      </c>
      <c r="B1482">
        <v>114.5</v>
      </c>
      <c r="C1482">
        <f t="shared" si="25"/>
        <v>0.21877616239495548</v>
      </c>
    </row>
    <row r="1483" spans="1:3" x14ac:dyDescent="0.3">
      <c r="A1483" s="4">
        <v>0.6542013888888889</v>
      </c>
      <c r="B1483">
        <v>118.2</v>
      </c>
      <c r="C1483">
        <f t="shared" si="25"/>
        <v>0.51286138399136583</v>
      </c>
    </row>
    <row r="1484" spans="1:3" x14ac:dyDescent="0.3">
      <c r="A1484" s="4">
        <v>0.65454861111111107</v>
      </c>
      <c r="B1484">
        <v>117.9</v>
      </c>
      <c r="C1484">
        <f t="shared" si="25"/>
        <v>0.47863009232263964</v>
      </c>
    </row>
    <row r="1485" spans="1:3" x14ac:dyDescent="0.3">
      <c r="A1485" s="4">
        <v>0.65489583333333334</v>
      </c>
      <c r="B1485">
        <v>116.5</v>
      </c>
      <c r="C1485">
        <f t="shared" si="25"/>
        <v>0.34673685045253205</v>
      </c>
    </row>
    <row r="1486" spans="1:3" x14ac:dyDescent="0.3">
      <c r="A1486" s="4">
        <v>0.65524305555555551</v>
      </c>
      <c r="B1486">
        <v>119.1</v>
      </c>
      <c r="C1486">
        <f t="shared" si="25"/>
        <v>0.63095734448019325</v>
      </c>
    </row>
    <row r="1487" spans="1:3" x14ac:dyDescent="0.3">
      <c r="A1487" s="4">
        <v>0.65559027777777779</v>
      </c>
      <c r="B1487">
        <v>116.3</v>
      </c>
      <c r="C1487">
        <f t="shared" si="25"/>
        <v>0.33113112148259127</v>
      </c>
    </row>
    <row r="1488" spans="1:3" x14ac:dyDescent="0.3">
      <c r="A1488" s="4">
        <v>0.65593749999999995</v>
      </c>
      <c r="B1488">
        <v>118.6</v>
      </c>
      <c r="C1488">
        <f t="shared" si="25"/>
        <v>0.56234132519034907</v>
      </c>
    </row>
    <row r="1489" spans="1:3" x14ac:dyDescent="0.3">
      <c r="A1489" s="4">
        <v>0.65628472222222223</v>
      </c>
      <c r="B1489">
        <v>116.8</v>
      </c>
      <c r="C1489">
        <f t="shared" si="25"/>
        <v>0.37153522909717274</v>
      </c>
    </row>
    <row r="1490" spans="1:3" x14ac:dyDescent="0.3">
      <c r="A1490" s="4">
        <v>0.65663194444444439</v>
      </c>
      <c r="B1490">
        <v>118</v>
      </c>
      <c r="C1490">
        <f t="shared" si="25"/>
        <v>0.48977881936844675</v>
      </c>
    </row>
    <row r="1491" spans="1:3" x14ac:dyDescent="0.3">
      <c r="A1491" s="4">
        <v>0.65697916666666667</v>
      </c>
      <c r="B1491">
        <v>119.6</v>
      </c>
      <c r="C1491">
        <f t="shared" si="25"/>
        <v>0.70794578438413791</v>
      </c>
    </row>
    <row r="1492" spans="1:3" x14ac:dyDescent="0.3">
      <c r="A1492" s="4">
        <v>0.65732638888888884</v>
      </c>
      <c r="B1492">
        <v>118.4</v>
      </c>
      <c r="C1492">
        <f t="shared" si="25"/>
        <v>0.53703179637025411</v>
      </c>
    </row>
    <row r="1493" spans="1:3" x14ac:dyDescent="0.3">
      <c r="A1493" s="4">
        <v>0.65767361111111111</v>
      </c>
      <c r="B1493">
        <v>116.3</v>
      </c>
      <c r="C1493">
        <f t="shared" si="25"/>
        <v>0.33113112148259127</v>
      </c>
    </row>
    <row r="1494" spans="1:3" x14ac:dyDescent="0.3">
      <c r="A1494" s="4">
        <v>0.65802083333333339</v>
      </c>
      <c r="B1494">
        <v>119.4</v>
      </c>
      <c r="C1494">
        <f t="shared" si="25"/>
        <v>0.67608297539198348</v>
      </c>
    </row>
    <row r="1495" spans="1:3" x14ac:dyDescent="0.3">
      <c r="A1495" s="4">
        <v>0.65836805555555555</v>
      </c>
      <c r="B1495">
        <v>118.1</v>
      </c>
      <c r="C1495">
        <f t="shared" si="25"/>
        <v>0.50118723362727224</v>
      </c>
    </row>
    <row r="1496" spans="1:3" x14ac:dyDescent="0.3">
      <c r="A1496" s="4">
        <v>0.65871527777777783</v>
      </c>
      <c r="B1496">
        <v>116</v>
      </c>
      <c r="C1496">
        <f t="shared" si="25"/>
        <v>0.3090295432513594</v>
      </c>
    </row>
    <row r="1497" spans="1:3" x14ac:dyDescent="0.3">
      <c r="A1497" s="4">
        <v>0.6590625</v>
      </c>
      <c r="B1497">
        <v>120</v>
      </c>
      <c r="C1497">
        <f t="shared" si="25"/>
        <v>0.77624711662869272</v>
      </c>
    </row>
    <row r="1498" spans="1:3" x14ac:dyDescent="0.3">
      <c r="A1498" s="4">
        <v>0.65940972222222227</v>
      </c>
      <c r="B1498">
        <v>118.4</v>
      </c>
      <c r="C1498">
        <f t="shared" si="25"/>
        <v>0.53703179637025411</v>
      </c>
    </row>
    <row r="1499" spans="1:3" x14ac:dyDescent="0.3">
      <c r="A1499" s="4">
        <v>0.65975694444444444</v>
      </c>
      <c r="B1499">
        <v>116.4</v>
      </c>
      <c r="C1499">
        <f t="shared" si="25"/>
        <v>0.33884415613920338</v>
      </c>
    </row>
    <row r="1500" spans="1:3" x14ac:dyDescent="0.3">
      <c r="A1500" s="4">
        <v>0.66010416666666671</v>
      </c>
      <c r="B1500">
        <v>118.3</v>
      </c>
      <c r="C1500">
        <f t="shared" si="25"/>
        <v>0.52480746024977298</v>
      </c>
    </row>
    <row r="1501" spans="1:3" x14ac:dyDescent="0.3">
      <c r="A1501" s="4">
        <v>0.66045138888888888</v>
      </c>
      <c r="B1501">
        <v>118.9</v>
      </c>
      <c r="C1501">
        <f t="shared" si="25"/>
        <v>0.60255958607435922</v>
      </c>
    </row>
    <row r="1502" spans="1:3" x14ac:dyDescent="0.3">
      <c r="A1502" s="4">
        <v>0.66079861111111116</v>
      </c>
      <c r="B1502">
        <v>116.5</v>
      </c>
      <c r="C1502">
        <f t="shared" ref="C1502:C1565" si="26">10^((B1502-121.1)/10)</f>
        <v>0.34673685045253205</v>
      </c>
    </row>
    <row r="1503" spans="1:3" x14ac:dyDescent="0.3">
      <c r="A1503" s="4">
        <v>0.66114583333333332</v>
      </c>
      <c r="B1503">
        <v>119.1</v>
      </c>
      <c r="C1503">
        <f t="shared" si="26"/>
        <v>0.63095734448019325</v>
      </c>
    </row>
    <row r="1504" spans="1:3" x14ac:dyDescent="0.3">
      <c r="A1504" s="4">
        <v>0.6614930555555556</v>
      </c>
      <c r="B1504">
        <v>119.3</v>
      </c>
      <c r="C1504">
        <f t="shared" si="26"/>
        <v>0.66069344800759633</v>
      </c>
    </row>
    <row r="1505" spans="1:3" x14ac:dyDescent="0.3">
      <c r="A1505" s="4">
        <v>0.66184027777777776</v>
      </c>
      <c r="B1505">
        <v>118.6</v>
      </c>
      <c r="C1505">
        <f t="shared" si="26"/>
        <v>0.56234132519034907</v>
      </c>
    </row>
    <row r="1506" spans="1:3" x14ac:dyDescent="0.3">
      <c r="A1506" s="4">
        <v>0.66218750000000004</v>
      </c>
      <c r="B1506">
        <v>117</v>
      </c>
      <c r="C1506">
        <f t="shared" si="26"/>
        <v>0.38904514499428111</v>
      </c>
    </row>
    <row r="1507" spans="1:3" x14ac:dyDescent="0.3">
      <c r="A1507" s="4">
        <v>0.66253472222222221</v>
      </c>
      <c r="B1507">
        <v>115.9</v>
      </c>
      <c r="C1507">
        <f t="shared" si="26"/>
        <v>0.30199517204020232</v>
      </c>
    </row>
    <row r="1508" spans="1:3" x14ac:dyDescent="0.3">
      <c r="A1508" s="4">
        <v>0.66288194444444448</v>
      </c>
      <c r="B1508">
        <v>119.4</v>
      </c>
      <c r="C1508">
        <f t="shared" si="26"/>
        <v>0.67608297539198348</v>
      </c>
    </row>
    <row r="1509" spans="1:3" x14ac:dyDescent="0.3">
      <c r="A1509" s="4">
        <v>0.66322916666666665</v>
      </c>
      <c r="B1509">
        <v>117.6</v>
      </c>
      <c r="C1509">
        <f t="shared" si="26"/>
        <v>0.44668359215096315</v>
      </c>
    </row>
    <row r="1510" spans="1:3" x14ac:dyDescent="0.3">
      <c r="A1510" s="4">
        <v>0.66357638888888892</v>
      </c>
      <c r="B1510">
        <v>116.5</v>
      </c>
      <c r="C1510">
        <f t="shared" si="26"/>
        <v>0.34673685045253205</v>
      </c>
    </row>
    <row r="1511" spans="1:3" x14ac:dyDescent="0.3">
      <c r="A1511" s="4">
        <v>0.66392361111111109</v>
      </c>
      <c r="B1511">
        <v>117.1</v>
      </c>
      <c r="C1511">
        <f t="shared" si="26"/>
        <v>0.3981071705534972</v>
      </c>
    </row>
    <row r="1512" spans="1:3" x14ac:dyDescent="0.3">
      <c r="A1512" s="4">
        <v>0.66427083333333337</v>
      </c>
      <c r="B1512">
        <v>118.9</v>
      </c>
      <c r="C1512">
        <f t="shared" si="26"/>
        <v>0.60255958607435922</v>
      </c>
    </row>
    <row r="1513" spans="1:3" x14ac:dyDescent="0.3">
      <c r="A1513" s="4">
        <v>0.66461805555555553</v>
      </c>
      <c r="B1513">
        <v>117.4</v>
      </c>
      <c r="C1513">
        <f t="shared" si="26"/>
        <v>0.42657951880159373</v>
      </c>
    </row>
    <row r="1514" spans="1:3" x14ac:dyDescent="0.3">
      <c r="A1514" s="4">
        <v>0.66496527777777781</v>
      </c>
      <c r="B1514">
        <v>115.9</v>
      </c>
      <c r="C1514">
        <f t="shared" si="26"/>
        <v>0.30199517204020232</v>
      </c>
    </row>
    <row r="1515" spans="1:3" x14ac:dyDescent="0.3">
      <c r="A1515" s="4">
        <v>0.66531249999999997</v>
      </c>
      <c r="B1515">
        <v>119.4</v>
      </c>
      <c r="C1515">
        <f t="shared" si="26"/>
        <v>0.67608297539198348</v>
      </c>
    </row>
    <row r="1516" spans="1:3" x14ac:dyDescent="0.3">
      <c r="A1516" s="4">
        <v>0.66565972222222225</v>
      </c>
      <c r="B1516">
        <v>118</v>
      </c>
      <c r="C1516">
        <f t="shared" si="26"/>
        <v>0.48977881936844675</v>
      </c>
    </row>
    <row r="1517" spans="1:3" x14ac:dyDescent="0.3">
      <c r="A1517" s="4">
        <v>0.66600694444444442</v>
      </c>
      <c r="B1517">
        <v>116.6</v>
      </c>
      <c r="C1517">
        <f t="shared" si="26"/>
        <v>0.35481338923357542</v>
      </c>
    </row>
    <row r="1518" spans="1:3" x14ac:dyDescent="0.3">
      <c r="A1518" s="4">
        <v>0.66635416666666669</v>
      </c>
      <c r="B1518">
        <v>118.2</v>
      </c>
      <c r="C1518">
        <f t="shared" si="26"/>
        <v>0.51286138399136583</v>
      </c>
    </row>
    <row r="1519" spans="1:3" x14ac:dyDescent="0.3">
      <c r="A1519" s="4">
        <v>0.66670138888888886</v>
      </c>
      <c r="B1519">
        <v>118.6</v>
      </c>
      <c r="C1519">
        <f t="shared" si="26"/>
        <v>0.56234132519034907</v>
      </c>
    </row>
    <row r="1520" spans="1:3" x14ac:dyDescent="0.3">
      <c r="A1520" s="4">
        <v>0.66704861111111113</v>
      </c>
      <c r="B1520">
        <v>117.8</v>
      </c>
      <c r="C1520">
        <f t="shared" si="26"/>
        <v>0.46773514128719845</v>
      </c>
    </row>
    <row r="1521" spans="1:3" x14ac:dyDescent="0.3">
      <c r="A1521" s="4">
        <v>0.6673958333333333</v>
      </c>
      <c r="B1521">
        <v>115.8</v>
      </c>
      <c r="C1521">
        <f t="shared" si="26"/>
        <v>0.29512092266663875</v>
      </c>
    </row>
    <row r="1522" spans="1:3" x14ac:dyDescent="0.3">
      <c r="A1522" s="4">
        <v>0.66774305555555558</v>
      </c>
      <c r="B1522">
        <v>119.4</v>
      </c>
      <c r="C1522">
        <f t="shared" si="26"/>
        <v>0.67608297539198348</v>
      </c>
    </row>
    <row r="1523" spans="1:3" x14ac:dyDescent="0.3">
      <c r="A1523" s="4">
        <v>0.66809027777777774</v>
      </c>
      <c r="B1523">
        <v>118.9</v>
      </c>
      <c r="C1523">
        <f t="shared" si="26"/>
        <v>0.60255958607435922</v>
      </c>
    </row>
    <row r="1524" spans="1:3" x14ac:dyDescent="0.3">
      <c r="A1524" s="4">
        <v>0.66843750000000002</v>
      </c>
      <c r="B1524">
        <v>117.9</v>
      </c>
      <c r="C1524">
        <f t="shared" si="26"/>
        <v>0.47863009232263964</v>
      </c>
    </row>
    <row r="1525" spans="1:3" x14ac:dyDescent="0.3">
      <c r="A1525" s="4">
        <v>0.66878472222222218</v>
      </c>
      <c r="B1525">
        <v>117</v>
      </c>
      <c r="C1525">
        <f t="shared" si="26"/>
        <v>0.38904514499428111</v>
      </c>
    </row>
    <row r="1526" spans="1:3" x14ac:dyDescent="0.3">
      <c r="A1526" s="4">
        <v>0.66913194444444446</v>
      </c>
      <c r="B1526">
        <v>116.1</v>
      </c>
      <c r="C1526">
        <f t="shared" si="26"/>
        <v>0.31622776601683794</v>
      </c>
    </row>
    <row r="1527" spans="1:3" x14ac:dyDescent="0.3">
      <c r="A1527" s="4">
        <v>0.66947916666666663</v>
      </c>
      <c r="B1527">
        <v>118.3</v>
      </c>
      <c r="C1527">
        <f t="shared" si="26"/>
        <v>0.52480746024977298</v>
      </c>
    </row>
    <row r="1528" spans="1:3" x14ac:dyDescent="0.3">
      <c r="A1528" s="4">
        <v>0.6698263888888889</v>
      </c>
      <c r="B1528">
        <v>118.3</v>
      </c>
      <c r="C1528">
        <f t="shared" si="26"/>
        <v>0.52480746024977298</v>
      </c>
    </row>
    <row r="1529" spans="1:3" x14ac:dyDescent="0.3">
      <c r="A1529" s="4">
        <v>0.67017361111111107</v>
      </c>
      <c r="B1529">
        <v>117.5</v>
      </c>
      <c r="C1529">
        <f t="shared" si="26"/>
        <v>0.43651583224016655</v>
      </c>
    </row>
    <row r="1530" spans="1:3" x14ac:dyDescent="0.3">
      <c r="A1530" s="4">
        <v>0.67052083333333334</v>
      </c>
      <c r="B1530">
        <v>116.1</v>
      </c>
      <c r="C1530">
        <f t="shared" si="26"/>
        <v>0.31622776601683794</v>
      </c>
    </row>
    <row r="1531" spans="1:3" x14ac:dyDescent="0.3">
      <c r="A1531" s="4">
        <v>0.67086805555555551</v>
      </c>
      <c r="B1531">
        <v>117.6</v>
      </c>
      <c r="C1531">
        <f t="shared" si="26"/>
        <v>0.44668359215096315</v>
      </c>
    </row>
    <row r="1532" spans="1:3" x14ac:dyDescent="0.3">
      <c r="A1532" s="4">
        <v>0.67121527777777779</v>
      </c>
      <c r="B1532">
        <v>118.2</v>
      </c>
      <c r="C1532">
        <f t="shared" si="26"/>
        <v>0.51286138399136583</v>
      </c>
    </row>
    <row r="1533" spans="1:3" x14ac:dyDescent="0.3">
      <c r="A1533" s="4">
        <v>0.67156249999999995</v>
      </c>
      <c r="B1533">
        <v>117</v>
      </c>
      <c r="C1533">
        <f t="shared" si="26"/>
        <v>0.38904514499428111</v>
      </c>
    </row>
    <row r="1534" spans="1:3" x14ac:dyDescent="0.3">
      <c r="A1534" s="4">
        <v>0.67190972222222223</v>
      </c>
      <c r="B1534">
        <v>115.8</v>
      </c>
      <c r="C1534">
        <f t="shared" si="26"/>
        <v>0.29512092266663875</v>
      </c>
    </row>
    <row r="1535" spans="1:3" x14ac:dyDescent="0.3">
      <c r="A1535" s="4">
        <v>0.67225694444444439</v>
      </c>
      <c r="B1535">
        <v>118.6</v>
      </c>
      <c r="C1535">
        <f t="shared" si="26"/>
        <v>0.56234132519034907</v>
      </c>
    </row>
    <row r="1536" spans="1:3" x14ac:dyDescent="0.3">
      <c r="A1536" s="4">
        <v>0.67260416666666667</v>
      </c>
      <c r="B1536">
        <v>117.9</v>
      </c>
      <c r="C1536">
        <f t="shared" si="26"/>
        <v>0.47863009232263964</v>
      </c>
    </row>
    <row r="1537" spans="1:3" x14ac:dyDescent="0.3">
      <c r="A1537" s="4">
        <v>0.67295138888888884</v>
      </c>
      <c r="B1537">
        <v>117.5</v>
      </c>
      <c r="C1537">
        <f t="shared" si="26"/>
        <v>0.43651583224016655</v>
      </c>
    </row>
    <row r="1538" spans="1:3" x14ac:dyDescent="0.3">
      <c r="A1538" s="4">
        <v>0.67329861111111111</v>
      </c>
      <c r="B1538">
        <v>116.6</v>
      </c>
      <c r="C1538">
        <f t="shared" si="26"/>
        <v>0.35481338923357542</v>
      </c>
    </row>
    <row r="1539" spans="1:3" x14ac:dyDescent="0.3">
      <c r="A1539" s="4">
        <v>0.67364583333333339</v>
      </c>
      <c r="B1539">
        <v>115.9</v>
      </c>
      <c r="C1539">
        <f t="shared" si="26"/>
        <v>0.30199517204020232</v>
      </c>
    </row>
    <row r="1540" spans="1:3" x14ac:dyDescent="0.3">
      <c r="A1540" s="4">
        <v>0.67399305555555555</v>
      </c>
      <c r="B1540">
        <v>118.4</v>
      </c>
      <c r="C1540">
        <f t="shared" si="26"/>
        <v>0.53703179637025411</v>
      </c>
    </row>
    <row r="1541" spans="1:3" x14ac:dyDescent="0.3">
      <c r="A1541" s="4">
        <v>0.67434027777777783</v>
      </c>
      <c r="B1541">
        <v>117.9</v>
      </c>
      <c r="C1541">
        <f t="shared" si="26"/>
        <v>0.47863009232263964</v>
      </c>
    </row>
    <row r="1542" spans="1:3" x14ac:dyDescent="0.3">
      <c r="A1542" s="4">
        <v>0.6746875</v>
      </c>
      <c r="B1542">
        <v>117.2</v>
      </c>
      <c r="C1542">
        <f t="shared" si="26"/>
        <v>0.40738027780411351</v>
      </c>
    </row>
    <row r="1543" spans="1:3" x14ac:dyDescent="0.3">
      <c r="A1543" s="4">
        <v>0.67503472222222227</v>
      </c>
      <c r="B1543">
        <v>116.4</v>
      </c>
      <c r="C1543">
        <f t="shared" si="26"/>
        <v>0.33884415613920338</v>
      </c>
    </row>
    <row r="1544" spans="1:3" x14ac:dyDescent="0.3">
      <c r="A1544" s="4">
        <v>0.67538194444444444</v>
      </c>
      <c r="B1544">
        <v>115.9</v>
      </c>
      <c r="C1544">
        <f t="shared" si="26"/>
        <v>0.30199517204020232</v>
      </c>
    </row>
    <row r="1545" spans="1:3" x14ac:dyDescent="0.3">
      <c r="A1545" s="4">
        <v>0.67572916666666671</v>
      </c>
      <c r="B1545">
        <v>118</v>
      </c>
      <c r="C1545">
        <f t="shared" si="26"/>
        <v>0.48977881936844675</v>
      </c>
    </row>
    <row r="1546" spans="1:3" x14ac:dyDescent="0.3">
      <c r="A1546" s="4">
        <v>0.67607638888888888</v>
      </c>
      <c r="B1546">
        <v>117.7</v>
      </c>
      <c r="C1546">
        <f t="shared" si="26"/>
        <v>0.45708818961487585</v>
      </c>
    </row>
    <row r="1547" spans="1:3" x14ac:dyDescent="0.3">
      <c r="A1547" s="4">
        <v>0.67642361111111116</v>
      </c>
      <c r="B1547">
        <v>117.1</v>
      </c>
      <c r="C1547">
        <f t="shared" si="26"/>
        <v>0.3981071705534972</v>
      </c>
    </row>
    <row r="1548" spans="1:3" x14ac:dyDescent="0.3">
      <c r="A1548" s="4">
        <v>0.67677083333333332</v>
      </c>
      <c r="B1548">
        <v>115.1</v>
      </c>
      <c r="C1548">
        <f t="shared" si="26"/>
        <v>0.25118864315095801</v>
      </c>
    </row>
    <row r="1549" spans="1:3" x14ac:dyDescent="0.3">
      <c r="A1549" s="4">
        <v>0.6771180555555556</v>
      </c>
      <c r="B1549">
        <v>112.5</v>
      </c>
      <c r="C1549">
        <f t="shared" si="26"/>
        <v>0.13803842646028863</v>
      </c>
    </row>
    <row r="1550" spans="1:3" x14ac:dyDescent="0.3">
      <c r="A1550" s="4">
        <v>0.67746527777777776</v>
      </c>
      <c r="B1550">
        <v>105.6</v>
      </c>
      <c r="C1550">
        <f t="shared" si="26"/>
        <v>2.8183829312644532E-2</v>
      </c>
    </row>
    <row r="1551" spans="1:3" x14ac:dyDescent="0.3">
      <c r="A1551" s="4">
        <v>0.67781250000000004</v>
      </c>
      <c r="B1551">
        <v>89.1</v>
      </c>
      <c r="C1551">
        <f t="shared" si="26"/>
        <v>6.3095734448019244E-4</v>
      </c>
    </row>
    <row r="1552" spans="1:3" x14ac:dyDescent="0.3">
      <c r="A1552" s="4">
        <v>0.67815972222222221</v>
      </c>
      <c r="B1552">
        <v>81.599999999999994</v>
      </c>
      <c r="C1552">
        <f t="shared" si="26"/>
        <v>1.1220184543019618E-4</v>
      </c>
    </row>
    <row r="1553" spans="1:3" x14ac:dyDescent="0.3">
      <c r="A1553" s="4">
        <v>0.67850694444444448</v>
      </c>
      <c r="B1553">
        <v>77.7</v>
      </c>
      <c r="C1553">
        <f t="shared" si="26"/>
        <v>4.570881896148753E-5</v>
      </c>
    </row>
    <row r="1554" spans="1:3" x14ac:dyDescent="0.3">
      <c r="A1554" s="4">
        <v>0.67885416666666665</v>
      </c>
      <c r="B1554">
        <v>74.2</v>
      </c>
      <c r="C1554">
        <f t="shared" si="26"/>
        <v>2.0417379446695301E-5</v>
      </c>
    </row>
    <row r="1555" spans="1:3" x14ac:dyDescent="0.3">
      <c r="A1555" s="4">
        <v>0.67921296296296296</v>
      </c>
      <c r="B1555">
        <v>71.2</v>
      </c>
      <c r="C1555">
        <f t="shared" si="26"/>
        <v>1.0232929922807538E-5</v>
      </c>
    </row>
    <row r="1556" spans="1:3" x14ac:dyDescent="0.3">
      <c r="A1556" s="4">
        <v>0.67954861111111109</v>
      </c>
      <c r="B1556">
        <v>68.599999999999994</v>
      </c>
      <c r="C1556">
        <f t="shared" si="26"/>
        <v>5.6234132519034836E-6</v>
      </c>
    </row>
    <row r="1557" spans="1:3" x14ac:dyDescent="0.3">
      <c r="A1557" s="4">
        <v>0.67989583333333337</v>
      </c>
      <c r="B1557">
        <v>66.2</v>
      </c>
      <c r="C1557">
        <f t="shared" si="26"/>
        <v>3.2359365692962856E-6</v>
      </c>
    </row>
    <row r="1558" spans="1:3" x14ac:dyDescent="0.3">
      <c r="A1558" s="4">
        <v>0.68024305555555553</v>
      </c>
      <c r="B1558">
        <v>64.2</v>
      </c>
      <c r="C1558">
        <f t="shared" si="26"/>
        <v>2.0417379446695277E-6</v>
      </c>
    </row>
    <row r="1559" spans="1:3" x14ac:dyDescent="0.3">
      <c r="A1559" s="4">
        <v>0.68059027777777781</v>
      </c>
      <c r="B1559">
        <v>62.4</v>
      </c>
      <c r="C1559">
        <f t="shared" si="26"/>
        <v>1.348962882591655E-6</v>
      </c>
    </row>
    <row r="1560" spans="1:3" x14ac:dyDescent="0.3">
      <c r="A1560" s="4">
        <v>0.68093749999999997</v>
      </c>
      <c r="B1560">
        <v>60.8</v>
      </c>
      <c r="C1560">
        <f t="shared" si="26"/>
        <v>9.3325430079699167E-7</v>
      </c>
    </row>
    <row r="1561" spans="1:3" x14ac:dyDescent="0.3">
      <c r="A1561" s="4">
        <v>0.68128472222222225</v>
      </c>
      <c r="B1561">
        <v>59.4</v>
      </c>
      <c r="C1561">
        <f t="shared" si="26"/>
        <v>6.7608297539198085E-7</v>
      </c>
    </row>
    <row r="1562" spans="1:3" x14ac:dyDescent="0.3">
      <c r="A1562" s="4">
        <v>0.68163194444444442</v>
      </c>
      <c r="B1562">
        <v>58</v>
      </c>
      <c r="C1562">
        <f t="shared" si="26"/>
        <v>4.8977881936844619E-7</v>
      </c>
    </row>
    <row r="1563" spans="1:3" x14ac:dyDescent="0.3">
      <c r="A1563" s="4">
        <v>0.68197916666666669</v>
      </c>
      <c r="B1563">
        <v>56.9</v>
      </c>
      <c r="C1563">
        <f t="shared" si="26"/>
        <v>3.8018939632056152E-7</v>
      </c>
    </row>
    <row r="1564" spans="1:3" x14ac:dyDescent="0.3">
      <c r="A1564" s="4">
        <v>0.68232638888888886</v>
      </c>
      <c r="B1564">
        <v>55.9</v>
      </c>
      <c r="C1564">
        <f t="shared" si="26"/>
        <v>3.0199517204020224E-7</v>
      </c>
    </row>
    <row r="1565" spans="1:3" x14ac:dyDescent="0.3">
      <c r="A1565" s="4">
        <v>0.68267361111111113</v>
      </c>
      <c r="B1565">
        <v>54.9</v>
      </c>
      <c r="C1565">
        <f t="shared" si="26"/>
        <v>2.398832919019493E-7</v>
      </c>
    </row>
    <row r="1566" spans="1:3" x14ac:dyDescent="0.3">
      <c r="A1566" s="4">
        <v>0.6830208333333333</v>
      </c>
      <c r="B1566">
        <v>54</v>
      </c>
      <c r="C1566">
        <f t="shared" ref="C1566:C1584" si="27">10^((B1566-121.1)/10)</f>
        <v>1.9498445997580458E-7</v>
      </c>
    </row>
    <row r="1567" spans="1:3" x14ac:dyDescent="0.3">
      <c r="A1567" s="4">
        <v>0.68336805555555558</v>
      </c>
      <c r="B1567">
        <v>53.1</v>
      </c>
      <c r="C1567">
        <f t="shared" si="27"/>
        <v>1.5848931924611122E-7</v>
      </c>
    </row>
    <row r="1568" spans="1:3" x14ac:dyDescent="0.3">
      <c r="A1568" s="4">
        <v>0.68371527777777774</v>
      </c>
      <c r="B1568">
        <v>52.3</v>
      </c>
      <c r="C1568">
        <f t="shared" si="27"/>
        <v>1.3182567385564048E-7</v>
      </c>
    </row>
    <row r="1569" spans="1:3" x14ac:dyDescent="0.3">
      <c r="A1569" s="4">
        <v>0.68406250000000002</v>
      </c>
      <c r="B1569">
        <v>51.6</v>
      </c>
      <c r="C1569">
        <f t="shared" si="27"/>
        <v>1.1220184543019621E-7</v>
      </c>
    </row>
    <row r="1570" spans="1:3" x14ac:dyDescent="0.3">
      <c r="A1570" s="4">
        <v>0.68442129629629633</v>
      </c>
      <c r="B1570">
        <v>51</v>
      </c>
      <c r="C1570">
        <f t="shared" si="27"/>
        <v>9.7723722095581017E-8</v>
      </c>
    </row>
    <row r="1571" spans="1:3" x14ac:dyDescent="0.3">
      <c r="A1571" s="4">
        <v>0.68475694444444446</v>
      </c>
      <c r="B1571">
        <v>50.4</v>
      </c>
      <c r="C1571">
        <f t="shared" si="27"/>
        <v>8.511380382023795E-8</v>
      </c>
    </row>
    <row r="1572" spans="1:3" x14ac:dyDescent="0.3">
      <c r="A1572" s="4">
        <v>0.68510416666666663</v>
      </c>
      <c r="B1572">
        <v>49.9</v>
      </c>
      <c r="C1572">
        <f t="shared" si="27"/>
        <v>7.585775750291841E-8</v>
      </c>
    </row>
    <row r="1573" spans="1:3" x14ac:dyDescent="0.3">
      <c r="A1573" s="4">
        <v>0.68546296296296294</v>
      </c>
      <c r="B1573">
        <v>49.4</v>
      </c>
      <c r="C1573">
        <f t="shared" si="27"/>
        <v>6.7608297539198249E-8</v>
      </c>
    </row>
    <row r="1574" spans="1:3" x14ac:dyDescent="0.3">
      <c r="A1574" s="4">
        <v>0.68579861111111107</v>
      </c>
      <c r="B1574">
        <v>48.9</v>
      </c>
      <c r="C1574">
        <f t="shared" si="27"/>
        <v>6.0255958607435861E-8</v>
      </c>
    </row>
    <row r="1575" spans="1:3" x14ac:dyDescent="0.3">
      <c r="A1575" s="4">
        <v>0.68614583333333334</v>
      </c>
      <c r="B1575">
        <v>48.5</v>
      </c>
      <c r="C1575">
        <f t="shared" si="27"/>
        <v>5.4954087385762357E-8</v>
      </c>
    </row>
    <row r="1576" spans="1:3" x14ac:dyDescent="0.3">
      <c r="A1576" s="4">
        <v>0.68649305555555551</v>
      </c>
      <c r="B1576">
        <v>48.2</v>
      </c>
      <c r="C1576">
        <f t="shared" si="27"/>
        <v>5.1286138399136593E-8</v>
      </c>
    </row>
    <row r="1577" spans="1:3" x14ac:dyDescent="0.3">
      <c r="A1577" s="4">
        <v>0.68684027777777779</v>
      </c>
      <c r="B1577">
        <v>48</v>
      </c>
      <c r="C1577">
        <f t="shared" si="27"/>
        <v>4.8977881936844561E-8</v>
      </c>
    </row>
    <row r="1578" spans="1:3" x14ac:dyDescent="0.3">
      <c r="A1578" s="4">
        <v>0.68718749999999995</v>
      </c>
      <c r="B1578">
        <v>47.9</v>
      </c>
      <c r="C1578">
        <f t="shared" si="27"/>
        <v>4.7863009232263948E-8</v>
      </c>
    </row>
    <row r="1579" spans="1:3" x14ac:dyDescent="0.3">
      <c r="A1579" s="4">
        <v>0.68753472222222223</v>
      </c>
      <c r="B1579">
        <v>47.7</v>
      </c>
      <c r="C1579">
        <f t="shared" si="27"/>
        <v>4.5708818961487464E-8</v>
      </c>
    </row>
    <row r="1580" spans="1:3" x14ac:dyDescent="0.3">
      <c r="A1580" s="4">
        <v>0.68788194444444439</v>
      </c>
      <c r="B1580">
        <v>47.7</v>
      </c>
      <c r="C1580">
        <f t="shared" si="27"/>
        <v>4.5708818961487464E-8</v>
      </c>
    </row>
    <row r="1581" spans="1:3" x14ac:dyDescent="0.3">
      <c r="A1581" s="4">
        <v>0.68822916666666667</v>
      </c>
      <c r="B1581">
        <v>47.6</v>
      </c>
      <c r="C1581">
        <f t="shared" si="27"/>
        <v>4.466835921509628E-8</v>
      </c>
    </row>
    <row r="1582" spans="1:3" x14ac:dyDescent="0.3">
      <c r="A1582" s="4">
        <v>0.68857638888888884</v>
      </c>
      <c r="B1582">
        <v>47.7</v>
      </c>
      <c r="C1582">
        <f t="shared" si="27"/>
        <v>4.5708818961487464E-8</v>
      </c>
    </row>
    <row r="1583" spans="1:3" x14ac:dyDescent="0.3">
      <c r="A1583" s="4">
        <v>0.68892361111111111</v>
      </c>
      <c r="B1583">
        <v>47.7</v>
      </c>
      <c r="C1583">
        <f t="shared" si="27"/>
        <v>4.5708818961487464E-8</v>
      </c>
    </row>
    <row r="1584" spans="1:3" x14ac:dyDescent="0.3">
      <c r="A1584" s="4">
        <v>0.68927083333333339</v>
      </c>
      <c r="B1584">
        <v>47.9</v>
      </c>
      <c r="C1584">
        <f t="shared" si="27"/>
        <v>4.7863009232263948E-8</v>
      </c>
    </row>
    <row r="1585" spans="1:3" x14ac:dyDescent="0.3">
      <c r="A1585" s="2" t="s">
        <v>61</v>
      </c>
      <c r="C1585">
        <f>SUM(C1437:C1584)</f>
        <v>33.368571167755725</v>
      </c>
    </row>
    <row r="1587" spans="1:3" x14ac:dyDescent="0.3">
      <c r="A1587" s="2" t="s">
        <v>62</v>
      </c>
      <c r="C1587">
        <f>30/60*C1585</f>
        <v>16.684285583877863</v>
      </c>
    </row>
    <row r="1589" spans="1:3" x14ac:dyDescent="0.3">
      <c r="A1589" s="2" t="s">
        <v>242</v>
      </c>
    </row>
    <row r="1590" spans="1:3" x14ac:dyDescent="0.3">
      <c r="A1590" s="2" t="s">
        <v>58</v>
      </c>
      <c r="B1590" s="2" t="s">
        <v>59</v>
      </c>
      <c r="C1590" s="2" t="s">
        <v>60</v>
      </c>
    </row>
    <row r="1591" spans="1:3" x14ac:dyDescent="0.3">
      <c r="A1591" s="4">
        <v>0.58827546296296296</v>
      </c>
      <c r="B1591">
        <v>34.4</v>
      </c>
      <c r="C1591">
        <f>10^((B1591-121.1)/10)</f>
        <v>2.1379620895022345E-9</v>
      </c>
    </row>
    <row r="1592" spans="1:3" x14ac:dyDescent="0.3">
      <c r="A1592" s="4">
        <v>0.58862268518518523</v>
      </c>
      <c r="B1592">
        <v>34.4</v>
      </c>
      <c r="C1592">
        <f t="shared" ref="C1592:C1655" si="28">10^((B1592-121.1)/10)</f>
        <v>2.1379620895022345E-9</v>
      </c>
    </row>
    <row r="1593" spans="1:3" x14ac:dyDescent="0.3">
      <c r="A1593" s="4">
        <v>0.5889699074074074</v>
      </c>
      <c r="B1593">
        <v>34.700000000000003</v>
      </c>
      <c r="C1593">
        <f t="shared" si="28"/>
        <v>2.2908676527677749E-9</v>
      </c>
    </row>
    <row r="1594" spans="1:3" x14ac:dyDescent="0.3">
      <c r="A1594" s="4">
        <v>0.58931712962962968</v>
      </c>
      <c r="B1594">
        <v>34.9</v>
      </c>
      <c r="C1594">
        <f t="shared" si="28"/>
        <v>2.3988329190194922E-9</v>
      </c>
    </row>
    <row r="1595" spans="1:3" x14ac:dyDescent="0.3">
      <c r="A1595" s="4">
        <v>0.58966435185185184</v>
      </c>
      <c r="B1595">
        <v>36.299999999999997</v>
      </c>
      <c r="C1595">
        <f t="shared" si="28"/>
        <v>3.3113112148258966E-9</v>
      </c>
    </row>
    <row r="1596" spans="1:3" x14ac:dyDescent="0.3">
      <c r="A1596" s="4">
        <v>0.59001157407407412</v>
      </c>
      <c r="B1596">
        <v>39.6</v>
      </c>
      <c r="C1596">
        <f t="shared" si="28"/>
        <v>7.0794578438413513E-9</v>
      </c>
    </row>
    <row r="1597" spans="1:3" x14ac:dyDescent="0.3">
      <c r="A1597" s="4">
        <v>0.59034722222222225</v>
      </c>
      <c r="B1597">
        <v>45</v>
      </c>
      <c r="C1597">
        <f t="shared" si="28"/>
        <v>2.4547089156850259E-8</v>
      </c>
    </row>
    <row r="1598" spans="1:3" x14ac:dyDescent="0.3">
      <c r="A1598" s="4">
        <v>0.59069444444444441</v>
      </c>
      <c r="B1598">
        <v>50.4</v>
      </c>
      <c r="C1598">
        <f t="shared" si="28"/>
        <v>8.511380382023795E-8</v>
      </c>
    </row>
    <row r="1599" spans="1:3" x14ac:dyDescent="0.3">
      <c r="A1599" s="4">
        <v>0.59105324074074073</v>
      </c>
      <c r="B1599">
        <v>56</v>
      </c>
      <c r="C1599">
        <f t="shared" si="28"/>
        <v>3.090295432513585E-7</v>
      </c>
    </row>
    <row r="1600" spans="1:3" x14ac:dyDescent="0.3">
      <c r="A1600" s="4">
        <v>0.591400462962963</v>
      </c>
      <c r="B1600">
        <v>61.7</v>
      </c>
      <c r="C1600">
        <f t="shared" si="28"/>
        <v>1.1481536214968825E-6</v>
      </c>
    </row>
    <row r="1601" spans="1:3" x14ac:dyDescent="0.3">
      <c r="A1601" s="4">
        <v>0.59174768518518517</v>
      </c>
      <c r="B1601">
        <v>69.400000000000006</v>
      </c>
      <c r="C1601">
        <f t="shared" si="28"/>
        <v>6.7608297539198273E-6</v>
      </c>
    </row>
    <row r="1602" spans="1:3" x14ac:dyDescent="0.3">
      <c r="A1602" s="4">
        <v>0.59209490740740744</v>
      </c>
      <c r="B1602">
        <v>76.7</v>
      </c>
      <c r="C1602">
        <f t="shared" si="28"/>
        <v>3.6307805477010126E-5</v>
      </c>
    </row>
    <row r="1603" spans="1:3" x14ac:dyDescent="0.3">
      <c r="A1603" s="4">
        <v>0.59243055555555557</v>
      </c>
      <c r="B1603">
        <v>84.7</v>
      </c>
      <c r="C1603">
        <f t="shared" si="28"/>
        <v>2.2908676527677756E-4</v>
      </c>
    </row>
    <row r="1604" spans="1:3" x14ac:dyDescent="0.3">
      <c r="A1604" s="4">
        <v>0.59278935185185189</v>
      </c>
      <c r="B1604">
        <v>91.2</v>
      </c>
      <c r="C1604">
        <f t="shared" si="28"/>
        <v>1.0232929922807553E-3</v>
      </c>
    </row>
    <row r="1605" spans="1:3" x14ac:dyDescent="0.3">
      <c r="A1605" s="4">
        <v>0.59313657407407405</v>
      </c>
      <c r="B1605">
        <v>94.9</v>
      </c>
      <c r="C1605">
        <f t="shared" si="28"/>
        <v>2.3988329190194951E-3</v>
      </c>
    </row>
    <row r="1606" spans="1:3" x14ac:dyDescent="0.3">
      <c r="A1606" s="4">
        <v>0.59348379629629633</v>
      </c>
      <c r="B1606">
        <v>97.6</v>
      </c>
      <c r="C1606">
        <f t="shared" si="28"/>
        <v>4.4668359215096279E-3</v>
      </c>
    </row>
    <row r="1607" spans="1:3" x14ac:dyDescent="0.3">
      <c r="A1607" s="4">
        <v>0.59383101851851849</v>
      </c>
      <c r="B1607">
        <v>99.1</v>
      </c>
      <c r="C1607">
        <f t="shared" si="28"/>
        <v>6.3095734448019251E-3</v>
      </c>
    </row>
    <row r="1608" spans="1:3" x14ac:dyDescent="0.3">
      <c r="A1608" s="4">
        <v>0.59417824074074077</v>
      </c>
      <c r="B1608">
        <v>100.1</v>
      </c>
      <c r="C1608">
        <f t="shared" si="28"/>
        <v>7.9432823472428121E-3</v>
      </c>
    </row>
    <row r="1609" spans="1:3" x14ac:dyDescent="0.3">
      <c r="A1609" s="4">
        <v>0.59452546296296294</v>
      </c>
      <c r="B1609">
        <v>101</v>
      </c>
      <c r="C1609">
        <f t="shared" si="28"/>
        <v>9.7723722095581205E-3</v>
      </c>
    </row>
    <row r="1610" spans="1:3" x14ac:dyDescent="0.3">
      <c r="A1610" s="4">
        <v>0.59487268518518521</v>
      </c>
      <c r="B1610">
        <v>101.7</v>
      </c>
      <c r="C1610">
        <f t="shared" si="28"/>
        <v>1.1481536214968847E-2</v>
      </c>
    </row>
    <row r="1611" spans="1:3" x14ac:dyDescent="0.3">
      <c r="A1611" s="4">
        <v>0.59520833333333334</v>
      </c>
      <c r="B1611">
        <v>102.4</v>
      </c>
      <c r="C1611">
        <f t="shared" si="28"/>
        <v>1.3489628825916573E-2</v>
      </c>
    </row>
    <row r="1612" spans="1:3" x14ac:dyDescent="0.3">
      <c r="A1612" s="4">
        <v>0.5955555555555555</v>
      </c>
      <c r="B1612">
        <v>103.1</v>
      </c>
      <c r="C1612">
        <f t="shared" si="28"/>
        <v>1.5848931924611124E-2</v>
      </c>
    </row>
    <row r="1613" spans="1:3" x14ac:dyDescent="0.3">
      <c r="A1613" s="4">
        <v>0.59591435185185182</v>
      </c>
      <c r="B1613">
        <v>103.7</v>
      </c>
      <c r="C1613">
        <f t="shared" si="28"/>
        <v>1.8197008586099864E-2</v>
      </c>
    </row>
    <row r="1614" spans="1:3" x14ac:dyDescent="0.3">
      <c r="A1614" s="4">
        <v>0.5962615740740741</v>
      </c>
      <c r="B1614">
        <v>104.2</v>
      </c>
      <c r="C1614">
        <f t="shared" si="28"/>
        <v>2.0417379446695333E-2</v>
      </c>
    </row>
    <row r="1615" spans="1:3" x14ac:dyDescent="0.3">
      <c r="A1615" s="4">
        <v>0.59660879629629626</v>
      </c>
      <c r="B1615">
        <v>104.8</v>
      </c>
      <c r="C1615">
        <f t="shared" si="28"/>
        <v>2.3442288153199233E-2</v>
      </c>
    </row>
    <row r="1616" spans="1:3" x14ac:dyDescent="0.3">
      <c r="A1616" s="4">
        <v>0.59695601851851854</v>
      </c>
      <c r="B1616">
        <v>105.4</v>
      </c>
      <c r="C1616">
        <f t="shared" si="28"/>
        <v>2.6915348039269215E-2</v>
      </c>
    </row>
    <row r="1617" spans="1:3" x14ac:dyDescent="0.3">
      <c r="A1617" s="4">
        <v>0.5973032407407407</v>
      </c>
      <c r="B1617">
        <v>106</v>
      </c>
      <c r="C1617">
        <f t="shared" si="28"/>
        <v>3.0902954325135939E-2</v>
      </c>
    </row>
    <row r="1618" spans="1:3" x14ac:dyDescent="0.3">
      <c r="A1618" s="4">
        <v>0.59765046296296298</v>
      </c>
      <c r="B1618">
        <v>106.6</v>
      </c>
      <c r="C1618">
        <f t="shared" si="28"/>
        <v>3.548133892335753E-2</v>
      </c>
    </row>
    <row r="1619" spans="1:3" x14ac:dyDescent="0.3">
      <c r="A1619" s="4">
        <v>0.59799768518518515</v>
      </c>
      <c r="B1619">
        <v>107.1</v>
      </c>
      <c r="C1619">
        <f t="shared" si="28"/>
        <v>3.9810717055349727E-2</v>
      </c>
    </row>
    <row r="1620" spans="1:3" x14ac:dyDescent="0.3">
      <c r="A1620" s="4">
        <v>0.59834490740740742</v>
      </c>
      <c r="B1620">
        <v>107.7</v>
      </c>
      <c r="C1620">
        <f t="shared" si="28"/>
        <v>4.5708818961487582E-2</v>
      </c>
    </row>
    <row r="1621" spans="1:3" x14ac:dyDescent="0.3">
      <c r="A1621" s="4">
        <v>0.59869212962962959</v>
      </c>
      <c r="B1621">
        <v>108.3</v>
      </c>
      <c r="C1621">
        <f t="shared" si="28"/>
        <v>5.2480746024977279E-2</v>
      </c>
    </row>
    <row r="1622" spans="1:3" x14ac:dyDescent="0.3">
      <c r="A1622" s="4">
        <v>0.59903935185185186</v>
      </c>
      <c r="B1622">
        <v>108.8</v>
      </c>
      <c r="C1622">
        <f t="shared" si="28"/>
        <v>5.8884365535558904E-2</v>
      </c>
    </row>
    <row r="1623" spans="1:3" x14ac:dyDescent="0.3">
      <c r="A1623" s="4">
        <v>0.59938657407407403</v>
      </c>
      <c r="B1623">
        <v>109.4</v>
      </c>
      <c r="C1623">
        <f t="shared" si="28"/>
        <v>6.7608297539198337E-2</v>
      </c>
    </row>
    <row r="1624" spans="1:3" x14ac:dyDescent="0.3">
      <c r="A1624" s="4">
        <v>0.59973379629629631</v>
      </c>
      <c r="B1624">
        <v>109.9</v>
      </c>
      <c r="C1624">
        <f t="shared" si="28"/>
        <v>7.585775750291858E-2</v>
      </c>
    </row>
    <row r="1625" spans="1:3" x14ac:dyDescent="0.3">
      <c r="A1625" s="4">
        <v>0.60008101851851847</v>
      </c>
      <c r="B1625">
        <v>110.4</v>
      </c>
      <c r="C1625">
        <f t="shared" si="28"/>
        <v>8.5113803820237838E-2</v>
      </c>
    </row>
    <row r="1626" spans="1:3" x14ac:dyDescent="0.3">
      <c r="A1626" s="4">
        <v>0.60042824074074075</v>
      </c>
      <c r="B1626">
        <v>111</v>
      </c>
      <c r="C1626">
        <f t="shared" si="28"/>
        <v>9.7723722095581195E-2</v>
      </c>
    </row>
    <row r="1627" spans="1:3" x14ac:dyDescent="0.3">
      <c r="A1627" s="4">
        <v>0.60077546296296291</v>
      </c>
      <c r="B1627">
        <v>111.5</v>
      </c>
      <c r="C1627">
        <f t="shared" si="28"/>
        <v>0.10964781961431865</v>
      </c>
    </row>
    <row r="1628" spans="1:3" x14ac:dyDescent="0.3">
      <c r="A1628" s="4">
        <v>0.60112268518518519</v>
      </c>
      <c r="B1628">
        <v>112</v>
      </c>
      <c r="C1628">
        <f t="shared" si="28"/>
        <v>0.1230268770812383</v>
      </c>
    </row>
    <row r="1629" spans="1:3" x14ac:dyDescent="0.3">
      <c r="A1629" s="4">
        <v>0.60146990740740736</v>
      </c>
      <c r="B1629">
        <v>112.6</v>
      </c>
      <c r="C1629">
        <f t="shared" si="28"/>
        <v>0.14125375446227542</v>
      </c>
    </row>
    <row r="1630" spans="1:3" x14ac:dyDescent="0.3">
      <c r="A1630" s="4">
        <v>0.60181712962962963</v>
      </c>
      <c r="B1630">
        <v>113.1</v>
      </c>
      <c r="C1630">
        <f t="shared" si="28"/>
        <v>0.15848931924611132</v>
      </c>
    </row>
    <row r="1631" spans="1:3" x14ac:dyDescent="0.3">
      <c r="A1631" s="4">
        <v>0.6021643518518518</v>
      </c>
      <c r="B1631">
        <v>113.7</v>
      </c>
      <c r="C1631">
        <f t="shared" si="28"/>
        <v>0.18197008586099869</v>
      </c>
    </row>
    <row r="1632" spans="1:3" x14ac:dyDescent="0.3">
      <c r="A1632" s="4">
        <v>0.60251157407407407</v>
      </c>
      <c r="B1632">
        <v>114.2</v>
      </c>
      <c r="C1632">
        <f t="shared" si="28"/>
        <v>0.20417379446695327</v>
      </c>
    </row>
    <row r="1633" spans="1:3" x14ac:dyDescent="0.3">
      <c r="A1633" s="4">
        <v>0.60285879629629635</v>
      </c>
      <c r="B1633">
        <v>114.7</v>
      </c>
      <c r="C1633">
        <f t="shared" si="28"/>
        <v>0.22908676527677774</v>
      </c>
    </row>
    <row r="1634" spans="1:3" x14ac:dyDescent="0.3">
      <c r="A1634" s="4">
        <v>0.60320601851851852</v>
      </c>
      <c r="B1634">
        <v>115.2</v>
      </c>
      <c r="C1634">
        <f t="shared" si="28"/>
        <v>0.25703957827688678</v>
      </c>
    </row>
    <row r="1635" spans="1:3" x14ac:dyDescent="0.3">
      <c r="A1635" s="4">
        <v>0.60355324074074079</v>
      </c>
      <c r="B1635">
        <v>115.7</v>
      </c>
      <c r="C1635">
        <f t="shared" si="28"/>
        <v>0.28840315031266112</v>
      </c>
    </row>
    <row r="1636" spans="1:3" x14ac:dyDescent="0.3">
      <c r="A1636" s="4">
        <v>0.60390046296296296</v>
      </c>
      <c r="B1636">
        <v>116.1</v>
      </c>
      <c r="C1636">
        <f t="shared" si="28"/>
        <v>0.31622776601683794</v>
      </c>
    </row>
    <row r="1637" spans="1:3" x14ac:dyDescent="0.3">
      <c r="A1637" s="4">
        <v>0.60424768518518523</v>
      </c>
      <c r="B1637">
        <v>116.8</v>
      </c>
      <c r="C1637">
        <f t="shared" si="28"/>
        <v>0.37153522909717274</v>
      </c>
    </row>
    <row r="1638" spans="1:3" x14ac:dyDescent="0.3">
      <c r="A1638" s="4">
        <v>0.6045949074074074</v>
      </c>
      <c r="B1638">
        <v>117.4</v>
      </c>
      <c r="C1638">
        <f t="shared" si="28"/>
        <v>0.42657951880159373</v>
      </c>
    </row>
    <row r="1639" spans="1:3" x14ac:dyDescent="0.3">
      <c r="A1639" s="4">
        <v>0.60494212962962968</v>
      </c>
      <c r="B1639">
        <v>117.9</v>
      </c>
      <c r="C1639">
        <f t="shared" si="28"/>
        <v>0.47863009232263964</v>
      </c>
    </row>
    <row r="1640" spans="1:3" x14ac:dyDescent="0.3">
      <c r="A1640" s="4">
        <v>0.60528935185185184</v>
      </c>
      <c r="B1640">
        <v>118.4</v>
      </c>
      <c r="C1640">
        <f t="shared" si="28"/>
        <v>0.53703179637025411</v>
      </c>
    </row>
    <row r="1641" spans="1:3" x14ac:dyDescent="0.3">
      <c r="A1641" s="4">
        <v>0.60563657407407412</v>
      </c>
      <c r="B1641">
        <v>118.9</v>
      </c>
      <c r="C1641">
        <f t="shared" si="28"/>
        <v>0.60255958607435922</v>
      </c>
    </row>
    <row r="1642" spans="1:3" x14ac:dyDescent="0.3">
      <c r="A1642" s="4">
        <v>0.60598379629629628</v>
      </c>
      <c r="B1642">
        <v>119.3</v>
      </c>
      <c r="C1642">
        <f t="shared" si="28"/>
        <v>0.66069344800759633</v>
      </c>
    </row>
    <row r="1643" spans="1:3" x14ac:dyDescent="0.3">
      <c r="A1643" s="4">
        <v>0.60633101851851856</v>
      </c>
      <c r="B1643">
        <v>119.9</v>
      </c>
      <c r="C1643">
        <f t="shared" si="28"/>
        <v>0.75857757502918577</v>
      </c>
    </row>
    <row r="1644" spans="1:3" x14ac:dyDescent="0.3">
      <c r="A1644" s="4">
        <v>0.60667824074074073</v>
      </c>
      <c r="B1644">
        <v>120.4</v>
      </c>
      <c r="C1644">
        <f t="shared" si="28"/>
        <v>0.85113803820237877</v>
      </c>
    </row>
    <row r="1645" spans="1:3" x14ac:dyDescent="0.3">
      <c r="A1645" s="4">
        <v>0.607025462962963</v>
      </c>
      <c r="B1645">
        <v>121</v>
      </c>
      <c r="C1645">
        <f t="shared" si="28"/>
        <v>0.977237220955812</v>
      </c>
    </row>
    <row r="1646" spans="1:3" x14ac:dyDescent="0.3">
      <c r="A1646" s="4">
        <v>0.60737268518518517</v>
      </c>
      <c r="B1646">
        <v>120.8</v>
      </c>
      <c r="C1646">
        <f t="shared" si="28"/>
        <v>0.93325430079699168</v>
      </c>
    </row>
    <row r="1647" spans="1:3" x14ac:dyDescent="0.3">
      <c r="A1647" s="4">
        <v>0.60771990740740744</v>
      </c>
      <c r="B1647">
        <v>120</v>
      </c>
      <c r="C1647">
        <f t="shared" si="28"/>
        <v>0.77624711662869272</v>
      </c>
    </row>
    <row r="1648" spans="1:3" x14ac:dyDescent="0.3">
      <c r="A1648" s="4">
        <v>0.60806712962962961</v>
      </c>
      <c r="B1648">
        <v>121.6</v>
      </c>
      <c r="C1648">
        <f t="shared" si="28"/>
        <v>1.1220184543019636</v>
      </c>
    </row>
    <row r="1649" spans="1:3" x14ac:dyDescent="0.3">
      <c r="A1649" s="4">
        <v>0.60841435185185189</v>
      </c>
      <c r="B1649">
        <v>122.6</v>
      </c>
      <c r="C1649">
        <f t="shared" si="28"/>
        <v>1.4125375446227544</v>
      </c>
    </row>
    <row r="1650" spans="1:3" x14ac:dyDescent="0.3">
      <c r="A1650" s="4">
        <v>0.60876157407407405</v>
      </c>
      <c r="B1650">
        <v>121.7</v>
      </c>
      <c r="C1650">
        <f t="shared" si="28"/>
        <v>1.148153621496885</v>
      </c>
    </row>
    <row r="1651" spans="1:3" x14ac:dyDescent="0.3">
      <c r="A1651" s="4">
        <v>0.60910879629629633</v>
      </c>
      <c r="B1651">
        <v>120.9</v>
      </c>
      <c r="C1651">
        <f t="shared" si="28"/>
        <v>0.95499258602143855</v>
      </c>
    </row>
    <row r="1652" spans="1:3" x14ac:dyDescent="0.3">
      <c r="A1652" s="4">
        <v>0.60945601851851849</v>
      </c>
      <c r="B1652">
        <v>120.1</v>
      </c>
      <c r="C1652">
        <f t="shared" si="28"/>
        <v>0.79432823472428149</v>
      </c>
    </row>
    <row r="1653" spans="1:3" x14ac:dyDescent="0.3">
      <c r="A1653" s="4">
        <v>0.60980324074074077</v>
      </c>
      <c r="B1653">
        <v>122.5</v>
      </c>
      <c r="C1653">
        <f t="shared" si="28"/>
        <v>1.3803842646028868</v>
      </c>
    </row>
    <row r="1654" spans="1:3" x14ac:dyDescent="0.3">
      <c r="A1654" s="4">
        <v>0.61015046296296294</v>
      </c>
      <c r="B1654">
        <v>124.2</v>
      </c>
      <c r="C1654">
        <f t="shared" si="28"/>
        <v>2.0417379446695336</v>
      </c>
    </row>
    <row r="1655" spans="1:3" x14ac:dyDescent="0.3">
      <c r="A1655" s="4">
        <v>0.61049768518518521</v>
      </c>
      <c r="B1655">
        <v>123.2</v>
      </c>
      <c r="C1655">
        <f t="shared" si="28"/>
        <v>1.6218100973589331</v>
      </c>
    </row>
    <row r="1656" spans="1:3" x14ac:dyDescent="0.3">
      <c r="A1656" s="4">
        <v>0.61084490740740738</v>
      </c>
      <c r="B1656">
        <v>122.4</v>
      </c>
      <c r="C1656">
        <f t="shared" ref="C1656:C1719" si="29">10^((B1656-121.1)/10)</f>
        <v>1.3489628825916571</v>
      </c>
    </row>
    <row r="1657" spans="1:3" x14ac:dyDescent="0.3">
      <c r="A1657" s="4">
        <v>0.61119212962962965</v>
      </c>
      <c r="B1657">
        <v>121.7</v>
      </c>
      <c r="C1657">
        <f t="shared" si="29"/>
        <v>1.148153621496885</v>
      </c>
    </row>
    <row r="1658" spans="1:3" x14ac:dyDescent="0.3">
      <c r="A1658" s="4">
        <v>0.61153935185185182</v>
      </c>
      <c r="B1658">
        <v>121.1</v>
      </c>
      <c r="C1658">
        <f t="shared" si="29"/>
        <v>1</v>
      </c>
    </row>
    <row r="1659" spans="1:3" x14ac:dyDescent="0.3">
      <c r="A1659" s="4">
        <v>0.6118865740740741</v>
      </c>
      <c r="B1659">
        <v>120.2</v>
      </c>
      <c r="C1659">
        <f t="shared" si="29"/>
        <v>0.81283051616410085</v>
      </c>
    </row>
    <row r="1660" spans="1:3" x14ac:dyDescent="0.3">
      <c r="A1660" s="4">
        <v>0.61223379629629626</v>
      </c>
      <c r="B1660">
        <v>122.3</v>
      </c>
      <c r="C1660">
        <f t="shared" si="29"/>
        <v>1.3182567385564079</v>
      </c>
    </row>
    <row r="1661" spans="1:3" x14ac:dyDescent="0.3">
      <c r="A1661" s="4">
        <v>0.61258101851851854</v>
      </c>
      <c r="B1661">
        <v>124.3</v>
      </c>
      <c r="C1661">
        <f t="shared" si="29"/>
        <v>2.089296130854041</v>
      </c>
    </row>
    <row r="1662" spans="1:3" x14ac:dyDescent="0.3">
      <c r="A1662" s="4">
        <v>0.6129282407407407</v>
      </c>
      <c r="B1662">
        <v>123.6</v>
      </c>
      <c r="C1662">
        <f t="shared" si="29"/>
        <v>1.778279410038923</v>
      </c>
    </row>
    <row r="1663" spans="1:3" x14ac:dyDescent="0.3">
      <c r="A1663" s="4">
        <v>0.61327546296296298</v>
      </c>
      <c r="B1663">
        <v>122.7</v>
      </c>
      <c r="C1663">
        <f t="shared" si="29"/>
        <v>1.4454397707459303</v>
      </c>
    </row>
    <row r="1664" spans="1:3" x14ac:dyDescent="0.3">
      <c r="A1664" s="4">
        <v>0.61362268518518515</v>
      </c>
      <c r="B1664">
        <v>122</v>
      </c>
      <c r="C1664">
        <f t="shared" si="29"/>
        <v>1.2302687708123832</v>
      </c>
    </row>
    <row r="1665" spans="1:3" x14ac:dyDescent="0.3">
      <c r="A1665" s="4">
        <v>0.61396990740740742</v>
      </c>
      <c r="B1665">
        <v>121.4</v>
      </c>
      <c r="C1665">
        <f t="shared" si="29"/>
        <v>1.0715193052376093</v>
      </c>
    </row>
    <row r="1666" spans="1:3" x14ac:dyDescent="0.3">
      <c r="A1666" s="4">
        <v>0.61431712962962959</v>
      </c>
      <c r="B1666">
        <v>115.9</v>
      </c>
      <c r="C1666">
        <f t="shared" si="29"/>
        <v>0.30199517204020232</v>
      </c>
    </row>
    <row r="1667" spans="1:3" x14ac:dyDescent="0.3">
      <c r="A1667" s="4">
        <v>0.61466435185185186</v>
      </c>
      <c r="B1667">
        <v>111.7</v>
      </c>
      <c r="C1667">
        <f t="shared" si="29"/>
        <v>0.11481536214968847</v>
      </c>
    </row>
    <row r="1668" spans="1:3" x14ac:dyDescent="0.3">
      <c r="A1668" s="4">
        <v>0.61501157407407403</v>
      </c>
      <c r="B1668">
        <v>107.9</v>
      </c>
      <c r="C1668">
        <f t="shared" si="29"/>
        <v>4.7863009232263928E-2</v>
      </c>
    </row>
    <row r="1669" spans="1:3" x14ac:dyDescent="0.3">
      <c r="A1669" s="4">
        <v>0.61535879629629631</v>
      </c>
      <c r="B1669">
        <v>94.9</v>
      </c>
      <c r="C1669">
        <f t="shared" si="29"/>
        <v>2.3988329190194951E-3</v>
      </c>
    </row>
    <row r="1670" spans="1:3" x14ac:dyDescent="0.3">
      <c r="A1670" s="4">
        <v>0.61570601851851847</v>
      </c>
      <c r="B1670">
        <v>84.7</v>
      </c>
      <c r="C1670">
        <f t="shared" si="29"/>
        <v>2.2908676527677756E-4</v>
      </c>
    </row>
    <row r="1671" spans="1:3" x14ac:dyDescent="0.3">
      <c r="A1671" s="4">
        <v>0.61605324074074075</v>
      </c>
      <c r="B1671">
        <v>84</v>
      </c>
      <c r="C1671">
        <f t="shared" si="29"/>
        <v>1.9498445997580453E-4</v>
      </c>
    </row>
    <row r="1672" spans="1:3" x14ac:dyDescent="0.3">
      <c r="A1672" s="4">
        <v>0.61640046296296291</v>
      </c>
      <c r="B1672">
        <v>82.2</v>
      </c>
      <c r="C1672">
        <f t="shared" si="29"/>
        <v>1.2882495516931361E-4</v>
      </c>
    </row>
    <row r="1673" spans="1:3" x14ac:dyDescent="0.3">
      <c r="A1673" s="4">
        <v>0.61674768518518519</v>
      </c>
      <c r="B1673">
        <v>80.3</v>
      </c>
      <c r="C1673">
        <f t="shared" si="29"/>
        <v>8.3176377110266955E-5</v>
      </c>
    </row>
    <row r="1674" spans="1:3" x14ac:dyDescent="0.3">
      <c r="A1674" s="4">
        <v>0.61709490740740736</v>
      </c>
      <c r="B1674">
        <v>79.2</v>
      </c>
      <c r="C1674">
        <f t="shared" si="29"/>
        <v>6.4565422903465613E-5</v>
      </c>
    </row>
    <row r="1675" spans="1:3" x14ac:dyDescent="0.3">
      <c r="A1675" s="4">
        <v>0.61744212962962963</v>
      </c>
      <c r="B1675">
        <v>78.2</v>
      </c>
      <c r="C1675">
        <f t="shared" si="29"/>
        <v>5.1286138399136583E-5</v>
      </c>
    </row>
    <row r="1676" spans="1:3" x14ac:dyDescent="0.3">
      <c r="A1676" s="4">
        <v>0.6177893518518518</v>
      </c>
      <c r="B1676">
        <v>77.400000000000006</v>
      </c>
      <c r="C1676">
        <f t="shared" si="29"/>
        <v>4.2657951880159304E-5</v>
      </c>
    </row>
    <row r="1677" spans="1:3" x14ac:dyDescent="0.3">
      <c r="A1677" s="4">
        <v>0.61813657407407407</v>
      </c>
      <c r="B1677">
        <v>76.7</v>
      </c>
      <c r="C1677">
        <f t="shared" si="29"/>
        <v>3.6307805477010126E-5</v>
      </c>
    </row>
    <row r="1678" spans="1:3" x14ac:dyDescent="0.3">
      <c r="A1678" s="4">
        <v>0.61848379629629635</v>
      </c>
      <c r="B1678">
        <v>76.099999999999994</v>
      </c>
      <c r="C1678">
        <f t="shared" si="29"/>
        <v>3.1622776601683748E-5</v>
      </c>
    </row>
    <row r="1679" spans="1:3" x14ac:dyDescent="0.3">
      <c r="A1679" s="4">
        <v>0.61883101851851852</v>
      </c>
      <c r="B1679">
        <v>75</v>
      </c>
      <c r="C1679">
        <f t="shared" si="29"/>
        <v>2.4547089156850296E-5</v>
      </c>
    </row>
    <row r="1680" spans="1:3" x14ac:dyDescent="0.3">
      <c r="A1680" s="4">
        <v>0.61917824074074079</v>
      </c>
      <c r="B1680">
        <v>72.599999999999994</v>
      </c>
      <c r="C1680">
        <f t="shared" si="29"/>
        <v>1.4125375446227545E-5</v>
      </c>
    </row>
    <row r="1681" spans="1:3" x14ac:dyDescent="0.3">
      <c r="A1681" s="4">
        <v>0.61952546296296296</v>
      </c>
      <c r="B1681">
        <v>69.400000000000006</v>
      </c>
      <c r="C1681">
        <f t="shared" si="29"/>
        <v>6.7608297539198273E-6</v>
      </c>
    </row>
    <row r="1682" spans="1:3" x14ac:dyDescent="0.3">
      <c r="A1682" s="4">
        <v>0.61987268518518523</v>
      </c>
      <c r="B1682">
        <v>66.900000000000006</v>
      </c>
      <c r="C1682">
        <f t="shared" si="29"/>
        <v>3.8018939632056132E-6</v>
      </c>
    </row>
    <row r="1683" spans="1:3" x14ac:dyDescent="0.3">
      <c r="A1683" s="4">
        <v>0.6202199074074074</v>
      </c>
      <c r="B1683">
        <v>65</v>
      </c>
      <c r="C1683">
        <f t="shared" si="29"/>
        <v>2.4547089156850314E-6</v>
      </c>
    </row>
    <row r="1684" spans="1:3" x14ac:dyDescent="0.3">
      <c r="A1684" s="4">
        <v>0.62056712962962968</v>
      </c>
      <c r="B1684">
        <v>63.2</v>
      </c>
      <c r="C1684">
        <f t="shared" si="29"/>
        <v>1.6218100973589304E-6</v>
      </c>
    </row>
    <row r="1685" spans="1:3" x14ac:dyDescent="0.3">
      <c r="A1685" s="4">
        <v>0.62091435185185184</v>
      </c>
      <c r="B1685">
        <v>61.6</v>
      </c>
      <c r="C1685">
        <f t="shared" si="29"/>
        <v>1.1220184543019635E-6</v>
      </c>
    </row>
    <row r="1686" spans="1:3" x14ac:dyDescent="0.3">
      <c r="A1686" s="4">
        <v>0.62126157407407412</v>
      </c>
      <c r="B1686">
        <v>60.2</v>
      </c>
      <c r="C1686">
        <f t="shared" si="29"/>
        <v>8.1283051616410038E-7</v>
      </c>
    </row>
    <row r="1687" spans="1:3" x14ac:dyDescent="0.3">
      <c r="A1687" s="4">
        <v>0.62160879629629628</v>
      </c>
      <c r="B1687">
        <v>58.9</v>
      </c>
      <c r="C1687">
        <f t="shared" si="29"/>
        <v>6.0255958607435721E-7</v>
      </c>
    </row>
    <row r="1688" spans="1:3" x14ac:dyDescent="0.3">
      <c r="A1688" s="4">
        <v>0.62195601851851856</v>
      </c>
      <c r="B1688">
        <v>57.7</v>
      </c>
      <c r="C1688">
        <f t="shared" si="29"/>
        <v>4.5708818961487505E-7</v>
      </c>
    </row>
    <row r="1689" spans="1:3" x14ac:dyDescent="0.3">
      <c r="A1689" s="4">
        <v>0.62230324074074073</v>
      </c>
      <c r="B1689">
        <v>56.6</v>
      </c>
      <c r="C1689">
        <f t="shared" si="29"/>
        <v>3.5481338923357463E-7</v>
      </c>
    </row>
    <row r="1690" spans="1:3" x14ac:dyDescent="0.3">
      <c r="A1690" s="4">
        <v>0.622650462962963</v>
      </c>
      <c r="B1690">
        <v>55.7</v>
      </c>
      <c r="C1690">
        <f t="shared" si="29"/>
        <v>2.8840315031266067E-7</v>
      </c>
    </row>
    <row r="1691" spans="1:3" x14ac:dyDescent="0.3">
      <c r="A1691" s="4">
        <v>0.62299768518518517</v>
      </c>
      <c r="B1691">
        <v>54.8</v>
      </c>
      <c r="C1691">
        <f t="shared" si="29"/>
        <v>2.3442288153199206E-7</v>
      </c>
    </row>
    <row r="1692" spans="1:3" x14ac:dyDescent="0.3">
      <c r="A1692" s="4">
        <v>0.62334490740740744</v>
      </c>
      <c r="B1692">
        <v>53.9</v>
      </c>
      <c r="C1692">
        <f t="shared" si="29"/>
        <v>1.9054607179632509E-7</v>
      </c>
    </row>
    <row r="1693" spans="1:3" x14ac:dyDescent="0.3">
      <c r="A1693" s="4">
        <v>0.62369212962962961</v>
      </c>
      <c r="B1693">
        <v>53.2</v>
      </c>
      <c r="C1693">
        <f t="shared" si="29"/>
        <v>1.6218100973589314E-7</v>
      </c>
    </row>
    <row r="1694" spans="1:3" x14ac:dyDescent="0.3">
      <c r="A1694" s="4">
        <v>0.62403935185185189</v>
      </c>
      <c r="B1694">
        <v>52.4</v>
      </c>
      <c r="C1694">
        <f t="shared" si="29"/>
        <v>1.3489628825916535E-7</v>
      </c>
    </row>
    <row r="1695" spans="1:3" x14ac:dyDescent="0.3">
      <c r="A1695" s="4">
        <v>0.62438657407407405</v>
      </c>
      <c r="B1695">
        <v>51.8</v>
      </c>
      <c r="C1695">
        <f t="shared" si="29"/>
        <v>1.174897554939528E-7</v>
      </c>
    </row>
    <row r="1696" spans="1:3" x14ac:dyDescent="0.3">
      <c r="A1696" s="4">
        <v>0.62473379629629633</v>
      </c>
      <c r="B1696">
        <v>51.2</v>
      </c>
      <c r="C1696">
        <f t="shared" si="29"/>
        <v>1.0232929922807534E-7</v>
      </c>
    </row>
    <row r="1697" spans="1:3" x14ac:dyDescent="0.3">
      <c r="A1697" s="4">
        <v>0.62508101851851849</v>
      </c>
      <c r="B1697">
        <v>50.5</v>
      </c>
      <c r="C1697">
        <f t="shared" si="29"/>
        <v>8.7096358995608061E-8</v>
      </c>
    </row>
    <row r="1698" spans="1:3" x14ac:dyDescent="0.3">
      <c r="A1698" s="4">
        <v>0.62542824074074077</v>
      </c>
      <c r="B1698">
        <v>50</v>
      </c>
      <c r="C1698">
        <f t="shared" si="29"/>
        <v>7.762471166286921E-8</v>
      </c>
    </row>
    <row r="1699" spans="1:3" x14ac:dyDescent="0.3">
      <c r="A1699" s="4">
        <v>0.62577546296296294</v>
      </c>
      <c r="B1699">
        <v>49.5</v>
      </c>
      <c r="C1699">
        <f t="shared" si="29"/>
        <v>6.9183097091893717E-8</v>
      </c>
    </row>
    <row r="1700" spans="1:3" x14ac:dyDescent="0.3">
      <c r="A1700" s="4">
        <v>0.62612268518518521</v>
      </c>
      <c r="B1700">
        <v>49.1</v>
      </c>
      <c r="C1700">
        <f t="shared" si="29"/>
        <v>6.3095734448019177E-8</v>
      </c>
    </row>
    <row r="1701" spans="1:3" x14ac:dyDescent="0.3">
      <c r="A1701" s="4">
        <v>0.62646990740740738</v>
      </c>
      <c r="B1701">
        <v>48.6</v>
      </c>
      <c r="C1701">
        <f t="shared" si="29"/>
        <v>5.6234132519034806E-8</v>
      </c>
    </row>
    <row r="1702" spans="1:3" x14ac:dyDescent="0.3">
      <c r="A1702" s="4">
        <v>0.62681712962962965</v>
      </c>
      <c r="B1702">
        <v>48.2</v>
      </c>
      <c r="C1702">
        <f t="shared" si="29"/>
        <v>5.1286138399136593E-8</v>
      </c>
    </row>
    <row r="1703" spans="1:3" x14ac:dyDescent="0.3">
      <c r="A1703" s="4">
        <v>0.62716435185185182</v>
      </c>
      <c r="B1703">
        <v>47.8</v>
      </c>
      <c r="C1703">
        <f t="shared" si="29"/>
        <v>4.6773514128719769E-8</v>
      </c>
    </row>
    <row r="1704" spans="1:3" x14ac:dyDescent="0.3">
      <c r="A1704" s="4">
        <v>0.6275115740740741</v>
      </c>
      <c r="B1704">
        <v>47.5</v>
      </c>
      <c r="C1704">
        <f t="shared" si="29"/>
        <v>4.3651583224016566E-8</v>
      </c>
    </row>
    <row r="1705" spans="1:3" x14ac:dyDescent="0.3">
      <c r="A1705" s="4">
        <v>0.62785879629629626</v>
      </c>
      <c r="B1705">
        <v>47.1</v>
      </c>
      <c r="C1705">
        <f t="shared" si="29"/>
        <v>3.981071705534957E-8</v>
      </c>
    </row>
    <row r="1706" spans="1:3" x14ac:dyDescent="0.3">
      <c r="A1706" s="4">
        <v>0.62820601851851854</v>
      </c>
      <c r="B1706">
        <v>46.8</v>
      </c>
      <c r="C1706">
        <f t="shared" si="29"/>
        <v>3.7153522909717246E-8</v>
      </c>
    </row>
    <row r="1707" spans="1:3" x14ac:dyDescent="0.3">
      <c r="A1707" s="4">
        <v>0.6285532407407407</v>
      </c>
      <c r="B1707">
        <v>46.6</v>
      </c>
      <c r="C1707">
        <f t="shared" si="29"/>
        <v>3.5481338923357426E-8</v>
      </c>
    </row>
    <row r="1708" spans="1:3" x14ac:dyDescent="0.3">
      <c r="A1708" s="4">
        <v>0.62890046296296298</v>
      </c>
      <c r="B1708">
        <v>46.3</v>
      </c>
      <c r="C1708">
        <f t="shared" si="29"/>
        <v>3.3113112148259124E-8</v>
      </c>
    </row>
    <row r="1709" spans="1:3" x14ac:dyDescent="0.3">
      <c r="A1709" s="4">
        <v>0.62924768518518515</v>
      </c>
      <c r="B1709">
        <v>46.1</v>
      </c>
      <c r="C1709">
        <f t="shared" si="29"/>
        <v>3.1622776601683699E-8</v>
      </c>
    </row>
    <row r="1710" spans="1:3" x14ac:dyDescent="0.3">
      <c r="A1710" s="4">
        <v>0.62959490740740742</v>
      </c>
      <c r="B1710">
        <v>45.8</v>
      </c>
      <c r="C1710">
        <f t="shared" si="29"/>
        <v>2.9512092266663881E-8</v>
      </c>
    </row>
    <row r="1711" spans="1:3" x14ac:dyDescent="0.3">
      <c r="A1711" s="4">
        <v>0.62994212962962959</v>
      </c>
      <c r="B1711">
        <v>45.6</v>
      </c>
      <c r="C1711">
        <f t="shared" si="29"/>
        <v>2.8183829312644468E-8</v>
      </c>
    </row>
    <row r="1712" spans="1:3" x14ac:dyDescent="0.3">
      <c r="A1712" s="4">
        <v>0.63028935185185186</v>
      </c>
      <c r="B1712">
        <v>45.4</v>
      </c>
      <c r="C1712">
        <f t="shared" si="29"/>
        <v>2.691534803926919E-8</v>
      </c>
    </row>
    <row r="1713" spans="1:3" x14ac:dyDescent="0.3">
      <c r="A1713" s="4">
        <v>0.63063657407407403</v>
      </c>
      <c r="B1713">
        <v>45.2</v>
      </c>
      <c r="C1713">
        <f t="shared" si="29"/>
        <v>2.5703957827688676E-8</v>
      </c>
    </row>
    <row r="1714" spans="1:3" x14ac:dyDescent="0.3">
      <c r="A1714" s="4">
        <v>0.63098379629629631</v>
      </c>
      <c r="B1714">
        <v>45.1</v>
      </c>
      <c r="C1714">
        <f t="shared" si="29"/>
        <v>2.5118864315095751E-8</v>
      </c>
    </row>
    <row r="1715" spans="1:3" x14ac:dyDescent="0.3">
      <c r="A1715" s="4">
        <v>0.63133101851851847</v>
      </c>
      <c r="B1715">
        <v>44.9</v>
      </c>
      <c r="C1715">
        <f t="shared" si="29"/>
        <v>2.3988329190194944E-8</v>
      </c>
    </row>
    <row r="1716" spans="1:3" x14ac:dyDescent="0.3">
      <c r="A1716" s="4">
        <v>0.63167824074074075</v>
      </c>
      <c r="B1716">
        <v>44.8</v>
      </c>
      <c r="C1716">
        <f t="shared" si="29"/>
        <v>2.3442288153199181E-8</v>
      </c>
    </row>
    <row r="1717" spans="1:3" x14ac:dyDescent="0.3">
      <c r="A1717" s="4">
        <v>0.63202546296296291</v>
      </c>
      <c r="B1717">
        <v>44.7</v>
      </c>
      <c r="C1717">
        <f t="shared" si="29"/>
        <v>2.2908676527677776E-8</v>
      </c>
    </row>
    <row r="1718" spans="1:3" x14ac:dyDescent="0.3">
      <c r="A1718" s="4">
        <v>0.63237268518518519</v>
      </c>
      <c r="B1718">
        <v>44.6</v>
      </c>
      <c r="C1718">
        <f t="shared" si="29"/>
        <v>2.2387211385683365E-8</v>
      </c>
    </row>
    <row r="1719" spans="1:3" x14ac:dyDescent="0.3">
      <c r="A1719" s="4">
        <v>0.63271990740740736</v>
      </c>
      <c r="B1719">
        <v>44.5</v>
      </c>
      <c r="C1719">
        <f t="shared" si="29"/>
        <v>2.1877616239495494E-8</v>
      </c>
    </row>
    <row r="1720" spans="1:3" x14ac:dyDescent="0.3">
      <c r="A1720" s="4">
        <v>0.63306712962962963</v>
      </c>
      <c r="B1720">
        <v>44.4</v>
      </c>
      <c r="C1720">
        <f t="shared" ref="C1720:C1783" si="30">10^((B1720-121.1)/10)</f>
        <v>2.1379620895022368E-8</v>
      </c>
    </row>
    <row r="1721" spans="1:3" x14ac:dyDescent="0.3">
      <c r="A1721" s="4">
        <v>0.6334143518518518</v>
      </c>
      <c r="B1721">
        <v>44.3</v>
      </c>
      <c r="C1721">
        <f t="shared" si="30"/>
        <v>2.0892961308540368E-8</v>
      </c>
    </row>
    <row r="1722" spans="1:3" x14ac:dyDescent="0.3">
      <c r="A1722" s="4">
        <v>0.63376157407407407</v>
      </c>
      <c r="B1722">
        <v>44.2</v>
      </c>
      <c r="C1722">
        <f t="shared" si="30"/>
        <v>2.0417379446695271E-8</v>
      </c>
    </row>
    <row r="1723" spans="1:3" x14ac:dyDescent="0.3">
      <c r="A1723" s="4">
        <v>0.63410879629629635</v>
      </c>
      <c r="B1723">
        <v>44.1</v>
      </c>
      <c r="C1723">
        <f t="shared" si="30"/>
        <v>1.9952623149688773E-8</v>
      </c>
    </row>
    <row r="1724" spans="1:3" x14ac:dyDescent="0.3">
      <c r="A1724" s="4">
        <v>0.63445601851851852</v>
      </c>
      <c r="B1724">
        <v>44.1</v>
      </c>
      <c r="C1724">
        <f t="shared" si="30"/>
        <v>1.9952623149688773E-8</v>
      </c>
    </row>
    <row r="1725" spans="1:3" x14ac:dyDescent="0.3">
      <c r="A1725" s="4">
        <v>0.63480324074074079</v>
      </c>
      <c r="B1725">
        <v>44</v>
      </c>
      <c r="C1725">
        <f t="shared" si="30"/>
        <v>1.9498445997580434E-8</v>
      </c>
    </row>
    <row r="1726" spans="1:3" x14ac:dyDescent="0.3">
      <c r="A1726" s="4">
        <v>0.63515046296296296</v>
      </c>
      <c r="B1726">
        <v>44</v>
      </c>
      <c r="C1726">
        <f t="shared" si="30"/>
        <v>1.9498445997580434E-8</v>
      </c>
    </row>
    <row r="1727" spans="1:3" x14ac:dyDescent="0.3">
      <c r="A1727" s="4">
        <v>0.63549768518518523</v>
      </c>
      <c r="B1727">
        <v>43.9</v>
      </c>
      <c r="C1727">
        <f t="shared" si="30"/>
        <v>1.9054607179632522E-8</v>
      </c>
    </row>
    <row r="1728" spans="1:3" x14ac:dyDescent="0.3">
      <c r="A1728" s="4">
        <v>0.6358449074074074</v>
      </c>
      <c r="B1728">
        <v>43.9</v>
      </c>
      <c r="C1728">
        <f t="shared" si="30"/>
        <v>1.9054607179632522E-8</v>
      </c>
    </row>
    <row r="1729" spans="1:3" x14ac:dyDescent="0.3">
      <c r="A1729" s="4">
        <v>0.63619212962962968</v>
      </c>
      <c r="B1729">
        <v>43.9</v>
      </c>
      <c r="C1729">
        <f t="shared" si="30"/>
        <v>1.9054607179632522E-8</v>
      </c>
    </row>
    <row r="1730" spans="1:3" x14ac:dyDescent="0.3">
      <c r="A1730" s="4">
        <v>0.63653935185185184</v>
      </c>
      <c r="B1730">
        <v>43.8</v>
      </c>
      <c r="C1730">
        <f t="shared" si="30"/>
        <v>1.8620871366628663E-8</v>
      </c>
    </row>
    <row r="1731" spans="1:3" x14ac:dyDescent="0.3">
      <c r="A1731" s="4">
        <v>0.63688657407407412</v>
      </c>
      <c r="B1731">
        <v>43.8</v>
      </c>
      <c r="C1731">
        <f t="shared" si="30"/>
        <v>1.8620871366628663E-8</v>
      </c>
    </row>
    <row r="1732" spans="1:3" x14ac:dyDescent="0.3">
      <c r="A1732" s="4">
        <v>0.63723379629629628</v>
      </c>
      <c r="B1732">
        <v>43.8</v>
      </c>
      <c r="C1732">
        <f t="shared" si="30"/>
        <v>1.8620871366628663E-8</v>
      </c>
    </row>
    <row r="1733" spans="1:3" x14ac:dyDescent="0.3">
      <c r="A1733" s="4">
        <v>0.63758101851851856</v>
      </c>
      <c r="B1733">
        <v>43.7</v>
      </c>
      <c r="C1733">
        <f t="shared" si="30"/>
        <v>1.8197008586099822E-8</v>
      </c>
    </row>
    <row r="1734" spans="1:3" x14ac:dyDescent="0.3">
      <c r="A1734" s="4">
        <v>0.63792824074074073</v>
      </c>
      <c r="B1734">
        <v>43.7</v>
      </c>
      <c r="C1734">
        <f t="shared" si="30"/>
        <v>1.8197008586099822E-8</v>
      </c>
    </row>
    <row r="1735" spans="1:3" x14ac:dyDescent="0.3">
      <c r="A1735" s="4">
        <v>0.638275462962963</v>
      </c>
      <c r="B1735">
        <v>43.7</v>
      </c>
      <c r="C1735">
        <f t="shared" si="30"/>
        <v>1.8197008586099822E-8</v>
      </c>
    </row>
    <row r="1736" spans="1:3" x14ac:dyDescent="0.3">
      <c r="A1736" s="4">
        <v>0.63862268518518517</v>
      </c>
      <c r="B1736">
        <v>43.6</v>
      </c>
      <c r="C1736">
        <f t="shared" si="30"/>
        <v>1.7782794100389218E-8</v>
      </c>
    </row>
    <row r="1737" spans="1:3" x14ac:dyDescent="0.3">
      <c r="A1737" s="4">
        <v>0.63896990740740744</v>
      </c>
      <c r="B1737">
        <v>43.6</v>
      </c>
      <c r="C1737">
        <f t="shared" si="30"/>
        <v>1.7782794100389218E-8</v>
      </c>
    </row>
    <row r="1738" spans="1:3" x14ac:dyDescent="0.3">
      <c r="A1738" s="4">
        <v>0.63931712962962961</v>
      </c>
      <c r="B1738">
        <v>43.5</v>
      </c>
      <c r="C1738">
        <f t="shared" si="30"/>
        <v>1.7378008287493747E-8</v>
      </c>
    </row>
    <row r="1739" spans="1:3" x14ac:dyDescent="0.3">
      <c r="A1739" s="4">
        <v>0.63966435185185189</v>
      </c>
      <c r="B1739">
        <v>43.5</v>
      </c>
      <c r="C1739">
        <f t="shared" si="30"/>
        <v>1.7378008287493747E-8</v>
      </c>
    </row>
    <row r="1740" spans="1:3" x14ac:dyDescent="0.3">
      <c r="A1740" s="4">
        <v>0.64001157407407405</v>
      </c>
      <c r="B1740">
        <v>43.5</v>
      </c>
      <c r="C1740">
        <f t="shared" si="30"/>
        <v>1.7378008287493747E-8</v>
      </c>
    </row>
    <row r="1741" spans="1:3" x14ac:dyDescent="0.3">
      <c r="A1741" s="4">
        <v>0.64035879629629633</v>
      </c>
      <c r="B1741">
        <v>43.4</v>
      </c>
      <c r="C1741">
        <f t="shared" si="30"/>
        <v>1.6982436524617439E-8</v>
      </c>
    </row>
    <row r="1742" spans="1:3" x14ac:dyDescent="0.3">
      <c r="A1742" s="4">
        <v>0.64070601851851849</v>
      </c>
      <c r="B1742">
        <v>43.4</v>
      </c>
      <c r="C1742">
        <f t="shared" si="30"/>
        <v>1.6982436524617439E-8</v>
      </c>
    </row>
    <row r="1743" spans="1:3" x14ac:dyDescent="0.3">
      <c r="A1743" s="4">
        <v>0.64105324074074077</v>
      </c>
      <c r="B1743">
        <v>43.4</v>
      </c>
      <c r="C1743">
        <f t="shared" si="30"/>
        <v>1.6982436524617439E-8</v>
      </c>
    </row>
    <row r="1744" spans="1:3" x14ac:dyDescent="0.3">
      <c r="A1744" s="4">
        <v>0.64140046296296294</v>
      </c>
      <c r="B1744">
        <v>43.3</v>
      </c>
      <c r="C1744">
        <f t="shared" si="30"/>
        <v>1.65958690743756E-8</v>
      </c>
    </row>
    <row r="1745" spans="1:3" x14ac:dyDescent="0.3">
      <c r="A1745" s="4">
        <v>0.64174768518518521</v>
      </c>
      <c r="B1745">
        <v>43.2</v>
      </c>
      <c r="C1745">
        <f t="shared" si="30"/>
        <v>1.6218100973589297E-8</v>
      </c>
    </row>
    <row r="1746" spans="1:3" x14ac:dyDescent="0.3">
      <c r="A1746" s="4">
        <v>0.64209490740740738</v>
      </c>
      <c r="B1746">
        <v>43.2</v>
      </c>
      <c r="C1746">
        <f t="shared" si="30"/>
        <v>1.6218100973589297E-8</v>
      </c>
    </row>
    <row r="1747" spans="1:3" x14ac:dyDescent="0.3">
      <c r="A1747" s="4">
        <v>0.64244212962962965</v>
      </c>
      <c r="B1747">
        <v>43.2</v>
      </c>
      <c r="C1747">
        <f t="shared" si="30"/>
        <v>1.6218100973589297E-8</v>
      </c>
    </row>
    <row r="1748" spans="1:3" x14ac:dyDescent="0.3">
      <c r="A1748" s="4">
        <v>0.64278935185185182</v>
      </c>
      <c r="B1748">
        <v>43.2</v>
      </c>
      <c r="C1748">
        <f t="shared" si="30"/>
        <v>1.6218100973589297E-8</v>
      </c>
    </row>
    <row r="1749" spans="1:3" x14ac:dyDescent="0.3">
      <c r="A1749" s="4">
        <v>0.6431365740740741</v>
      </c>
      <c r="B1749">
        <v>43.1</v>
      </c>
      <c r="C1749">
        <f t="shared" si="30"/>
        <v>1.5848931924611133E-8</v>
      </c>
    </row>
    <row r="1750" spans="1:3" x14ac:dyDescent="0.3">
      <c r="A1750" s="4">
        <v>0.64348379629629626</v>
      </c>
      <c r="B1750">
        <v>43.1</v>
      </c>
      <c r="C1750">
        <f t="shared" si="30"/>
        <v>1.5848931924611133E-8</v>
      </c>
    </row>
    <row r="1751" spans="1:3" x14ac:dyDescent="0.3">
      <c r="A1751" s="4">
        <v>0.64383101851851854</v>
      </c>
      <c r="B1751">
        <v>43</v>
      </c>
      <c r="C1751">
        <f t="shared" si="30"/>
        <v>1.5488166189124814E-8</v>
      </c>
    </row>
    <row r="1752" spans="1:3" x14ac:dyDescent="0.3">
      <c r="A1752" s="4">
        <v>0.6441782407407407</v>
      </c>
      <c r="B1752">
        <v>43</v>
      </c>
      <c r="C1752">
        <f t="shared" si="30"/>
        <v>1.5488166189124814E-8</v>
      </c>
    </row>
    <row r="1753" spans="1:3" x14ac:dyDescent="0.3">
      <c r="A1753" s="4">
        <v>0.64452546296296298</v>
      </c>
      <c r="B1753">
        <v>42.9</v>
      </c>
      <c r="C1753">
        <f t="shared" si="30"/>
        <v>1.5135612484362082E-8</v>
      </c>
    </row>
    <row r="1754" spans="1:3" x14ac:dyDescent="0.3">
      <c r="A1754" s="4">
        <v>0.64487268518518515</v>
      </c>
      <c r="B1754">
        <v>42.9</v>
      </c>
      <c r="C1754">
        <f t="shared" si="30"/>
        <v>1.5135612484362082E-8</v>
      </c>
    </row>
    <row r="1755" spans="1:3" x14ac:dyDescent="0.3">
      <c r="A1755" s="4">
        <v>0.64521990740740742</v>
      </c>
      <c r="B1755">
        <v>42.9</v>
      </c>
      <c r="C1755">
        <f t="shared" si="30"/>
        <v>1.5135612484362082E-8</v>
      </c>
    </row>
    <row r="1756" spans="1:3" x14ac:dyDescent="0.3">
      <c r="A1756" s="4">
        <v>0.64556712962962959</v>
      </c>
      <c r="B1756">
        <v>42.9</v>
      </c>
      <c r="C1756">
        <f t="shared" si="30"/>
        <v>1.5135612484362082E-8</v>
      </c>
    </row>
    <row r="1757" spans="1:3" x14ac:dyDescent="0.3">
      <c r="A1757" s="4">
        <v>0.64591435185185186</v>
      </c>
      <c r="B1757">
        <v>42.8</v>
      </c>
      <c r="C1757">
        <f t="shared" si="30"/>
        <v>1.4791083881682026E-8</v>
      </c>
    </row>
    <row r="1758" spans="1:3" x14ac:dyDescent="0.3">
      <c r="A1758" s="4">
        <v>0.64626157407407403</v>
      </c>
      <c r="B1758">
        <v>42.8</v>
      </c>
      <c r="C1758">
        <f t="shared" si="30"/>
        <v>1.4791083881682026E-8</v>
      </c>
    </row>
    <row r="1759" spans="1:3" x14ac:dyDescent="0.3">
      <c r="A1759" s="4">
        <v>0.64660879629629631</v>
      </c>
      <c r="B1759">
        <v>42.7</v>
      </c>
      <c r="C1759">
        <f t="shared" si="30"/>
        <v>1.4454397707459279E-8</v>
      </c>
    </row>
    <row r="1760" spans="1:3" x14ac:dyDescent="0.3">
      <c r="A1760" s="4">
        <v>0.64695601851851847</v>
      </c>
      <c r="B1760">
        <v>42.7</v>
      </c>
      <c r="C1760">
        <f t="shared" si="30"/>
        <v>1.4454397707459279E-8</v>
      </c>
    </row>
    <row r="1761" spans="1:3" x14ac:dyDescent="0.3">
      <c r="A1761" s="4">
        <v>0.64730324074074075</v>
      </c>
      <c r="B1761">
        <v>42.6</v>
      </c>
      <c r="C1761">
        <f t="shared" si="30"/>
        <v>1.4125375446227547E-8</v>
      </c>
    </row>
    <row r="1762" spans="1:3" x14ac:dyDescent="0.3">
      <c r="A1762" s="4">
        <v>0.64765046296296291</v>
      </c>
      <c r="B1762">
        <v>42.6</v>
      </c>
      <c r="C1762">
        <f t="shared" si="30"/>
        <v>1.4125375446227547E-8</v>
      </c>
    </row>
    <row r="1763" spans="1:3" x14ac:dyDescent="0.3">
      <c r="A1763" s="4">
        <v>0.64799768518518519</v>
      </c>
      <c r="B1763">
        <v>42.6</v>
      </c>
      <c r="C1763">
        <f t="shared" si="30"/>
        <v>1.4125375446227547E-8</v>
      </c>
    </row>
    <row r="1764" spans="1:3" x14ac:dyDescent="0.3">
      <c r="A1764" s="4">
        <v>0.64834490740740736</v>
      </c>
      <c r="B1764">
        <v>42.5</v>
      </c>
      <c r="C1764">
        <f t="shared" si="30"/>
        <v>1.3803842646028856E-8</v>
      </c>
    </row>
    <row r="1765" spans="1:3" x14ac:dyDescent="0.3">
      <c r="A1765" s="4">
        <v>0.64869212962962963</v>
      </c>
      <c r="B1765">
        <v>42.5</v>
      </c>
      <c r="C1765">
        <f t="shared" si="30"/>
        <v>1.3803842646028856E-8</v>
      </c>
    </row>
    <row r="1766" spans="1:3" x14ac:dyDescent="0.3">
      <c r="A1766" s="4">
        <v>0.6490393518518518</v>
      </c>
      <c r="B1766">
        <v>42.5</v>
      </c>
      <c r="C1766">
        <f t="shared" si="30"/>
        <v>1.3803842646028856E-8</v>
      </c>
    </row>
    <row r="1767" spans="1:3" x14ac:dyDescent="0.3">
      <c r="A1767" s="4">
        <v>0.64938657407407407</v>
      </c>
      <c r="B1767">
        <v>42.4</v>
      </c>
      <c r="C1767">
        <f t="shared" si="30"/>
        <v>1.3489628825916543E-8</v>
      </c>
    </row>
    <row r="1768" spans="1:3" x14ac:dyDescent="0.3">
      <c r="A1768" s="4">
        <v>0.64973379629629635</v>
      </c>
      <c r="B1768">
        <v>42.4</v>
      </c>
      <c r="C1768">
        <f t="shared" si="30"/>
        <v>1.3489628825916543E-8</v>
      </c>
    </row>
    <row r="1769" spans="1:3" x14ac:dyDescent="0.3">
      <c r="A1769" s="4">
        <v>0.65008101851851852</v>
      </c>
      <c r="B1769">
        <v>42.4</v>
      </c>
      <c r="C1769">
        <f t="shared" si="30"/>
        <v>1.3489628825916543E-8</v>
      </c>
    </row>
    <row r="1770" spans="1:3" x14ac:dyDescent="0.3">
      <c r="A1770" s="4">
        <v>0.65042824074074079</v>
      </c>
      <c r="B1770">
        <v>42.3</v>
      </c>
      <c r="C1770">
        <f t="shared" si="30"/>
        <v>1.3182567385564031E-8</v>
      </c>
    </row>
    <row r="1771" spans="1:3" x14ac:dyDescent="0.3">
      <c r="A1771" s="4">
        <v>0.65077546296296296</v>
      </c>
      <c r="B1771">
        <v>42.3</v>
      </c>
      <c r="C1771">
        <f t="shared" si="30"/>
        <v>1.3182567385564031E-8</v>
      </c>
    </row>
    <row r="1772" spans="1:3" x14ac:dyDescent="0.3">
      <c r="A1772" s="4">
        <v>0.65112268518518523</v>
      </c>
      <c r="B1772">
        <v>42.2</v>
      </c>
      <c r="C1772">
        <f t="shared" si="30"/>
        <v>1.288249551693135E-8</v>
      </c>
    </row>
    <row r="1773" spans="1:3" x14ac:dyDescent="0.3">
      <c r="A1773" s="4">
        <v>0.6514699074074074</v>
      </c>
      <c r="B1773">
        <v>42.2</v>
      </c>
      <c r="C1773">
        <f t="shared" si="30"/>
        <v>1.288249551693135E-8</v>
      </c>
    </row>
    <row r="1774" spans="1:3" x14ac:dyDescent="0.3">
      <c r="A1774" s="4">
        <v>0.65181712962962968</v>
      </c>
      <c r="B1774">
        <v>42.2</v>
      </c>
      <c r="C1774">
        <f t="shared" si="30"/>
        <v>1.288249551693135E-8</v>
      </c>
    </row>
    <row r="1775" spans="1:3" x14ac:dyDescent="0.3">
      <c r="A1775" s="4">
        <v>0.65216435185185184</v>
      </c>
      <c r="B1775">
        <v>42.1</v>
      </c>
      <c r="C1775">
        <f t="shared" si="30"/>
        <v>1.2589254117941638E-8</v>
      </c>
    </row>
    <row r="1776" spans="1:3" x14ac:dyDescent="0.3">
      <c r="A1776" s="4">
        <v>0.65251157407407412</v>
      </c>
      <c r="B1776">
        <v>42.1</v>
      </c>
      <c r="C1776">
        <f t="shared" si="30"/>
        <v>1.2589254117941638E-8</v>
      </c>
    </row>
    <row r="1777" spans="1:3" x14ac:dyDescent="0.3">
      <c r="A1777" s="4">
        <v>0.65285879629629628</v>
      </c>
      <c r="B1777">
        <v>42</v>
      </c>
      <c r="C1777">
        <f t="shared" si="30"/>
        <v>1.2302687708123826E-8</v>
      </c>
    </row>
    <row r="1778" spans="1:3" x14ac:dyDescent="0.3">
      <c r="A1778" s="4">
        <v>0.65320601851851856</v>
      </c>
      <c r="B1778">
        <v>42</v>
      </c>
      <c r="C1778">
        <f t="shared" si="30"/>
        <v>1.2302687708123826E-8</v>
      </c>
    </row>
    <row r="1779" spans="1:3" x14ac:dyDescent="0.3">
      <c r="A1779" s="4">
        <v>0.65355324074074073</v>
      </c>
      <c r="B1779">
        <v>42</v>
      </c>
      <c r="C1779">
        <f t="shared" si="30"/>
        <v>1.2302687708123826E-8</v>
      </c>
    </row>
    <row r="1780" spans="1:3" x14ac:dyDescent="0.3">
      <c r="A1780" s="4">
        <v>0.653900462962963</v>
      </c>
      <c r="B1780">
        <v>41.9</v>
      </c>
      <c r="C1780">
        <f t="shared" si="30"/>
        <v>1.2022644346174142E-8</v>
      </c>
    </row>
    <row r="1781" spans="1:3" x14ac:dyDescent="0.3">
      <c r="A1781" s="4">
        <v>0.65424768518518517</v>
      </c>
      <c r="B1781">
        <v>41.9</v>
      </c>
      <c r="C1781">
        <f t="shared" si="30"/>
        <v>1.2022644346174142E-8</v>
      </c>
    </row>
    <row r="1782" spans="1:3" x14ac:dyDescent="0.3">
      <c r="A1782" s="4">
        <v>0.65459490740740744</v>
      </c>
      <c r="B1782">
        <v>41.9</v>
      </c>
      <c r="C1782">
        <f t="shared" si="30"/>
        <v>1.2022644346174142E-8</v>
      </c>
    </row>
    <row r="1783" spans="1:3" x14ac:dyDescent="0.3">
      <c r="A1783" s="4">
        <v>0.65494212962962961</v>
      </c>
      <c r="B1783">
        <v>41.8</v>
      </c>
      <c r="C1783">
        <f t="shared" si="30"/>
        <v>1.1748975549395268E-8</v>
      </c>
    </row>
    <row r="1784" spans="1:3" x14ac:dyDescent="0.3">
      <c r="A1784" s="4">
        <v>0.65528935185185189</v>
      </c>
      <c r="B1784">
        <v>41.8</v>
      </c>
      <c r="C1784">
        <f t="shared" ref="C1784:C1847" si="31">10^((B1784-121.1)/10)</f>
        <v>1.1748975549395268E-8</v>
      </c>
    </row>
    <row r="1785" spans="1:3" x14ac:dyDescent="0.3">
      <c r="A1785" s="4">
        <v>0.65563657407407405</v>
      </c>
      <c r="B1785">
        <v>41.8</v>
      </c>
      <c r="C1785">
        <f t="shared" si="31"/>
        <v>1.1748975549395268E-8</v>
      </c>
    </row>
    <row r="1786" spans="1:3" x14ac:dyDescent="0.3">
      <c r="A1786" s="4">
        <v>0.65598379629629633</v>
      </c>
      <c r="B1786">
        <v>41.7</v>
      </c>
      <c r="C1786">
        <f t="shared" si="31"/>
        <v>1.14815362149688E-8</v>
      </c>
    </row>
    <row r="1787" spans="1:3" x14ac:dyDescent="0.3">
      <c r="A1787" s="4">
        <v>0.65633101851851849</v>
      </c>
      <c r="B1787">
        <v>41.7</v>
      </c>
      <c r="C1787">
        <f t="shared" si="31"/>
        <v>1.14815362149688E-8</v>
      </c>
    </row>
    <row r="1788" spans="1:3" x14ac:dyDescent="0.3">
      <c r="A1788" s="4">
        <v>0.65667824074074077</v>
      </c>
      <c r="B1788">
        <v>41.6</v>
      </c>
      <c r="C1788">
        <f t="shared" si="31"/>
        <v>1.1220184543019609E-8</v>
      </c>
    </row>
    <row r="1789" spans="1:3" x14ac:dyDescent="0.3">
      <c r="A1789" s="4">
        <v>0.65702546296296294</v>
      </c>
      <c r="B1789">
        <v>41.6</v>
      </c>
      <c r="C1789">
        <f t="shared" si="31"/>
        <v>1.1220184543019609E-8</v>
      </c>
    </row>
    <row r="1790" spans="1:3" x14ac:dyDescent="0.3">
      <c r="A1790" s="4">
        <v>0.65737268518518521</v>
      </c>
      <c r="B1790">
        <v>41.6</v>
      </c>
      <c r="C1790">
        <f t="shared" si="31"/>
        <v>1.1220184543019609E-8</v>
      </c>
    </row>
    <row r="1791" spans="1:3" x14ac:dyDescent="0.3">
      <c r="A1791" s="4">
        <v>0.65771990740740738</v>
      </c>
      <c r="B1791">
        <v>41.6</v>
      </c>
      <c r="C1791">
        <f t="shared" si="31"/>
        <v>1.1220184543019609E-8</v>
      </c>
    </row>
    <row r="1792" spans="1:3" x14ac:dyDescent="0.3">
      <c r="A1792" s="4">
        <v>0.65806712962962965</v>
      </c>
      <c r="B1792">
        <v>41.6</v>
      </c>
      <c r="C1792">
        <f t="shared" si="31"/>
        <v>1.1220184543019609E-8</v>
      </c>
    </row>
    <row r="1793" spans="1:3" x14ac:dyDescent="0.3">
      <c r="A1793" s="4">
        <v>0.65841435185185182</v>
      </c>
      <c r="B1793">
        <v>41.5</v>
      </c>
      <c r="C1793">
        <f t="shared" si="31"/>
        <v>1.0964781961431866E-8</v>
      </c>
    </row>
    <row r="1794" spans="1:3" x14ac:dyDescent="0.3">
      <c r="A1794" s="4">
        <v>0.6587615740740741</v>
      </c>
      <c r="B1794">
        <v>41.5</v>
      </c>
      <c r="C1794">
        <f t="shared" si="31"/>
        <v>1.0964781961431866E-8</v>
      </c>
    </row>
    <row r="1795" spans="1:3" x14ac:dyDescent="0.3">
      <c r="A1795" s="4">
        <v>0.65910879629629626</v>
      </c>
      <c r="B1795">
        <v>41.5</v>
      </c>
      <c r="C1795">
        <f t="shared" si="31"/>
        <v>1.0964781961431866E-8</v>
      </c>
    </row>
    <row r="1796" spans="1:3" x14ac:dyDescent="0.3">
      <c r="A1796" s="4">
        <v>0.65945601851851854</v>
      </c>
      <c r="B1796">
        <v>41.4</v>
      </c>
      <c r="C1796">
        <f t="shared" si="31"/>
        <v>1.0715193052376079E-8</v>
      </c>
    </row>
    <row r="1797" spans="1:3" x14ac:dyDescent="0.3">
      <c r="A1797" s="4">
        <v>0.6598032407407407</v>
      </c>
      <c r="B1797">
        <v>41.4</v>
      </c>
      <c r="C1797">
        <f t="shared" si="31"/>
        <v>1.0715193052376079E-8</v>
      </c>
    </row>
    <row r="1798" spans="1:3" x14ac:dyDescent="0.3">
      <c r="A1798" s="4">
        <v>0.66015046296296298</v>
      </c>
      <c r="B1798">
        <v>41.4</v>
      </c>
      <c r="C1798">
        <f t="shared" si="31"/>
        <v>1.0715193052376079E-8</v>
      </c>
    </row>
    <row r="1799" spans="1:3" x14ac:dyDescent="0.3">
      <c r="A1799" s="4">
        <v>0.66049768518518515</v>
      </c>
      <c r="B1799">
        <v>41.3</v>
      </c>
      <c r="C1799">
        <f t="shared" si="31"/>
        <v>1.0471285480508974E-8</v>
      </c>
    </row>
    <row r="1800" spans="1:3" x14ac:dyDescent="0.3">
      <c r="A1800" s="4">
        <v>0.66084490740740742</v>
      </c>
      <c r="B1800">
        <v>41.3</v>
      </c>
      <c r="C1800">
        <f t="shared" si="31"/>
        <v>1.0471285480508974E-8</v>
      </c>
    </row>
    <row r="1801" spans="1:3" x14ac:dyDescent="0.3">
      <c r="A1801" s="4">
        <v>0.66119212962962959</v>
      </c>
      <c r="B1801">
        <v>41.3</v>
      </c>
      <c r="C1801">
        <f t="shared" si="31"/>
        <v>1.0471285480508974E-8</v>
      </c>
    </row>
    <row r="1802" spans="1:3" x14ac:dyDescent="0.3">
      <c r="A1802" s="4">
        <v>0.66153935185185186</v>
      </c>
      <c r="B1802">
        <v>41.2</v>
      </c>
      <c r="C1802">
        <f t="shared" si="31"/>
        <v>1.0232929922807522E-8</v>
      </c>
    </row>
    <row r="1803" spans="1:3" x14ac:dyDescent="0.3">
      <c r="A1803" s="4">
        <v>0.66188657407407403</v>
      </c>
      <c r="B1803">
        <v>41.2</v>
      </c>
      <c r="C1803">
        <f t="shared" si="31"/>
        <v>1.0232929922807522E-8</v>
      </c>
    </row>
    <row r="1804" spans="1:3" x14ac:dyDescent="0.3">
      <c r="A1804" s="4">
        <v>0.66223379629629631</v>
      </c>
      <c r="B1804">
        <v>41.2</v>
      </c>
      <c r="C1804">
        <f t="shared" si="31"/>
        <v>1.0232929922807522E-8</v>
      </c>
    </row>
    <row r="1805" spans="1:3" x14ac:dyDescent="0.3">
      <c r="A1805" s="4">
        <v>0.66258101851851847</v>
      </c>
      <c r="B1805">
        <v>41.1</v>
      </c>
      <c r="C1805">
        <f t="shared" si="31"/>
        <v>1E-8</v>
      </c>
    </row>
    <row r="1806" spans="1:3" x14ac:dyDescent="0.3">
      <c r="A1806" s="4">
        <v>0.66292824074074075</v>
      </c>
      <c r="B1806">
        <v>41.1</v>
      </c>
      <c r="C1806">
        <f t="shared" si="31"/>
        <v>1E-8</v>
      </c>
    </row>
    <row r="1807" spans="1:3" x14ac:dyDescent="0.3">
      <c r="A1807" s="4">
        <v>0.66327546296296291</v>
      </c>
      <c r="B1807">
        <v>41.1</v>
      </c>
      <c r="C1807">
        <f t="shared" si="31"/>
        <v>1E-8</v>
      </c>
    </row>
    <row r="1808" spans="1:3" x14ac:dyDescent="0.3">
      <c r="A1808" s="4">
        <v>0.66362268518518519</v>
      </c>
      <c r="B1808">
        <v>41</v>
      </c>
      <c r="C1808">
        <f t="shared" si="31"/>
        <v>9.7723722095580911E-9</v>
      </c>
    </row>
    <row r="1809" spans="1:3" x14ac:dyDescent="0.3">
      <c r="A1809" s="4">
        <v>0.66396990740740736</v>
      </c>
      <c r="B1809">
        <v>41</v>
      </c>
      <c r="C1809">
        <f t="shared" si="31"/>
        <v>9.7723722095580911E-9</v>
      </c>
    </row>
    <row r="1810" spans="1:3" x14ac:dyDescent="0.3">
      <c r="A1810" s="4">
        <v>0.66431712962962963</v>
      </c>
      <c r="B1810">
        <v>41</v>
      </c>
      <c r="C1810">
        <f t="shared" si="31"/>
        <v>9.7723722095580911E-9</v>
      </c>
    </row>
    <row r="1811" spans="1:3" x14ac:dyDescent="0.3">
      <c r="A1811" s="4">
        <v>0.6646643518518518</v>
      </c>
      <c r="B1811">
        <v>41</v>
      </c>
      <c r="C1811">
        <f t="shared" si="31"/>
        <v>9.7723722095580911E-9</v>
      </c>
    </row>
    <row r="1812" spans="1:3" x14ac:dyDescent="0.3">
      <c r="A1812" s="4">
        <v>0.66501157407407407</v>
      </c>
      <c r="B1812">
        <v>40.9</v>
      </c>
      <c r="C1812">
        <f t="shared" si="31"/>
        <v>9.5499258602143453E-9</v>
      </c>
    </row>
    <row r="1813" spans="1:3" x14ac:dyDescent="0.3">
      <c r="A1813" s="4">
        <v>0.66535879629629635</v>
      </c>
      <c r="B1813">
        <v>40.9</v>
      </c>
      <c r="C1813">
        <f t="shared" si="31"/>
        <v>9.5499258602143453E-9</v>
      </c>
    </row>
    <row r="1814" spans="1:3" x14ac:dyDescent="0.3">
      <c r="A1814" s="4">
        <v>0.66570601851851852</v>
      </c>
      <c r="B1814">
        <v>40.9</v>
      </c>
      <c r="C1814">
        <f t="shared" si="31"/>
        <v>9.5499258602143453E-9</v>
      </c>
    </row>
    <row r="1815" spans="1:3" x14ac:dyDescent="0.3">
      <c r="A1815" s="4">
        <v>0.66605324074074079</v>
      </c>
      <c r="B1815">
        <v>40.9</v>
      </c>
      <c r="C1815">
        <f t="shared" si="31"/>
        <v>9.5499258602143453E-9</v>
      </c>
    </row>
    <row r="1816" spans="1:3" x14ac:dyDescent="0.3">
      <c r="A1816" s="4">
        <v>0.66640046296296296</v>
      </c>
      <c r="B1816">
        <v>40.799999999999997</v>
      </c>
      <c r="C1816">
        <f t="shared" si="31"/>
        <v>9.3325430079698966E-9</v>
      </c>
    </row>
    <row r="1817" spans="1:3" x14ac:dyDescent="0.3">
      <c r="A1817" s="4">
        <v>0.66674768518518523</v>
      </c>
      <c r="B1817">
        <v>40.799999999999997</v>
      </c>
      <c r="C1817">
        <f t="shared" si="31"/>
        <v>9.3325430079698966E-9</v>
      </c>
    </row>
    <row r="1818" spans="1:3" x14ac:dyDescent="0.3">
      <c r="A1818" s="4">
        <v>0.6670949074074074</v>
      </c>
      <c r="B1818">
        <v>40.700000000000003</v>
      </c>
      <c r="C1818">
        <f t="shared" si="31"/>
        <v>9.1201083935590851E-9</v>
      </c>
    </row>
    <row r="1819" spans="1:3" x14ac:dyDescent="0.3">
      <c r="A1819" s="4">
        <v>0.66744212962962968</v>
      </c>
      <c r="B1819">
        <v>40.700000000000003</v>
      </c>
      <c r="C1819">
        <f t="shared" si="31"/>
        <v>9.1201083935590851E-9</v>
      </c>
    </row>
    <row r="1820" spans="1:3" x14ac:dyDescent="0.3">
      <c r="A1820" s="4">
        <v>0.66778935185185184</v>
      </c>
      <c r="B1820">
        <v>40.700000000000003</v>
      </c>
      <c r="C1820">
        <f t="shared" si="31"/>
        <v>9.1201083935590851E-9</v>
      </c>
    </row>
    <row r="1821" spans="1:3" x14ac:dyDescent="0.3">
      <c r="A1821" s="4">
        <v>0.66814814814814816</v>
      </c>
      <c r="B1821">
        <v>40.700000000000003</v>
      </c>
      <c r="C1821">
        <f t="shared" si="31"/>
        <v>9.1201083935590851E-9</v>
      </c>
    </row>
    <row r="1822" spans="1:3" x14ac:dyDescent="0.3">
      <c r="A1822" s="4">
        <v>0.66848379629629628</v>
      </c>
      <c r="B1822">
        <v>40.700000000000003</v>
      </c>
      <c r="C1822">
        <f t="shared" si="31"/>
        <v>9.1201083935590851E-9</v>
      </c>
    </row>
    <row r="1823" spans="1:3" x14ac:dyDescent="0.3">
      <c r="A1823" s="4">
        <v>0.66883101851851856</v>
      </c>
      <c r="B1823">
        <v>40.700000000000003</v>
      </c>
      <c r="C1823">
        <f t="shared" si="31"/>
        <v>9.1201083935590851E-9</v>
      </c>
    </row>
    <row r="1824" spans="1:3" x14ac:dyDescent="0.3">
      <c r="A1824" s="4">
        <v>0.66917824074074073</v>
      </c>
      <c r="B1824">
        <v>40.700000000000003</v>
      </c>
      <c r="C1824">
        <f t="shared" si="31"/>
        <v>9.1201083935590851E-9</v>
      </c>
    </row>
    <row r="1825" spans="1:3" x14ac:dyDescent="0.3">
      <c r="A1825" s="4">
        <v>0.66953703703703704</v>
      </c>
      <c r="B1825">
        <v>40.6</v>
      </c>
      <c r="C1825">
        <f t="shared" si="31"/>
        <v>8.9125093813374133E-9</v>
      </c>
    </row>
    <row r="1826" spans="1:3" x14ac:dyDescent="0.3">
      <c r="A1826" s="4">
        <v>0.66987268518518517</v>
      </c>
      <c r="B1826">
        <v>40.6</v>
      </c>
      <c r="C1826">
        <f t="shared" si="31"/>
        <v>8.9125093813374133E-9</v>
      </c>
    </row>
    <row r="1827" spans="1:3" x14ac:dyDescent="0.3">
      <c r="A1827" s="4">
        <v>0.67021990740740744</v>
      </c>
      <c r="B1827">
        <v>40.6</v>
      </c>
      <c r="C1827">
        <f t="shared" si="31"/>
        <v>8.9125093813374133E-9</v>
      </c>
    </row>
    <row r="1828" spans="1:3" x14ac:dyDescent="0.3">
      <c r="A1828" s="4">
        <v>0.67056712962962961</v>
      </c>
      <c r="B1828">
        <v>40.6</v>
      </c>
      <c r="C1828">
        <f t="shared" si="31"/>
        <v>8.9125093813374133E-9</v>
      </c>
    </row>
    <row r="1829" spans="1:3" x14ac:dyDescent="0.3">
      <c r="A1829" s="4">
        <v>0.67091435185185189</v>
      </c>
      <c r="B1829">
        <v>40.5</v>
      </c>
      <c r="C1829">
        <f t="shared" si="31"/>
        <v>8.7096358995608263E-9</v>
      </c>
    </row>
    <row r="1830" spans="1:3" x14ac:dyDescent="0.3">
      <c r="A1830" s="4">
        <v>0.6712731481481482</v>
      </c>
      <c r="B1830">
        <v>40.5</v>
      </c>
      <c r="C1830">
        <f t="shared" si="31"/>
        <v>8.7096358995608263E-9</v>
      </c>
    </row>
    <row r="1831" spans="1:3" x14ac:dyDescent="0.3">
      <c r="A1831" s="4">
        <v>0.67160879629629633</v>
      </c>
      <c r="B1831">
        <v>40.5</v>
      </c>
      <c r="C1831">
        <f t="shared" si="31"/>
        <v>8.7096358995608263E-9</v>
      </c>
    </row>
    <row r="1832" spans="1:3" x14ac:dyDescent="0.3">
      <c r="A1832" s="4">
        <v>0.67195601851851849</v>
      </c>
      <c r="B1832">
        <v>40.5</v>
      </c>
      <c r="C1832">
        <f t="shared" si="31"/>
        <v>8.7096358995608263E-9</v>
      </c>
    </row>
    <row r="1833" spans="1:3" x14ac:dyDescent="0.3">
      <c r="A1833" s="4">
        <v>0.67230324074074077</v>
      </c>
      <c r="B1833">
        <v>40.4</v>
      </c>
      <c r="C1833">
        <f t="shared" si="31"/>
        <v>8.5113803820237851E-9</v>
      </c>
    </row>
    <row r="1834" spans="1:3" x14ac:dyDescent="0.3">
      <c r="A1834" s="4">
        <v>0.67265046296296294</v>
      </c>
      <c r="B1834">
        <v>40.4</v>
      </c>
      <c r="C1834">
        <f t="shared" si="31"/>
        <v>8.5113803820237851E-9</v>
      </c>
    </row>
    <row r="1835" spans="1:3" x14ac:dyDescent="0.3">
      <c r="A1835" s="4">
        <v>0.67299768518518521</v>
      </c>
      <c r="B1835">
        <v>40.4</v>
      </c>
      <c r="C1835">
        <f t="shared" si="31"/>
        <v>8.5113803820237851E-9</v>
      </c>
    </row>
    <row r="1836" spans="1:3" x14ac:dyDescent="0.3">
      <c r="A1836" s="4">
        <v>0.67334490740740738</v>
      </c>
      <c r="B1836">
        <v>40.299999999999997</v>
      </c>
      <c r="C1836">
        <f t="shared" si="31"/>
        <v>8.3176377110267021E-9</v>
      </c>
    </row>
    <row r="1837" spans="1:3" x14ac:dyDescent="0.3">
      <c r="A1837" s="4">
        <v>0.67369212962962965</v>
      </c>
      <c r="B1837">
        <v>40.299999999999997</v>
      </c>
      <c r="C1837">
        <f t="shared" si="31"/>
        <v>8.3176377110267021E-9</v>
      </c>
    </row>
    <row r="1838" spans="1:3" x14ac:dyDescent="0.3">
      <c r="A1838" s="4">
        <v>0.67405092592592597</v>
      </c>
      <c r="B1838">
        <v>40.299999999999997</v>
      </c>
      <c r="C1838">
        <f t="shared" si="31"/>
        <v>8.3176377110267021E-9</v>
      </c>
    </row>
    <row r="1839" spans="1:3" x14ac:dyDescent="0.3">
      <c r="A1839" s="4">
        <v>0.6743865740740741</v>
      </c>
      <c r="B1839">
        <v>40.299999999999997</v>
      </c>
      <c r="C1839">
        <f t="shared" si="31"/>
        <v>8.3176377110267021E-9</v>
      </c>
    </row>
    <row r="1840" spans="1:3" x14ac:dyDescent="0.3">
      <c r="A1840" s="4">
        <v>0.67473379629629626</v>
      </c>
      <c r="B1840">
        <v>40.299999999999997</v>
      </c>
      <c r="C1840">
        <f t="shared" si="31"/>
        <v>8.3176377110267021E-9</v>
      </c>
    </row>
    <row r="1841" spans="1:3" x14ac:dyDescent="0.3">
      <c r="A1841" s="4">
        <v>0.67508101851851854</v>
      </c>
      <c r="B1841">
        <v>40.200000000000003</v>
      </c>
      <c r="C1841">
        <f t="shared" si="31"/>
        <v>8.1283051616409861E-9</v>
      </c>
    </row>
    <row r="1842" spans="1:3" x14ac:dyDescent="0.3">
      <c r="A1842" s="4">
        <v>0.67543981481481485</v>
      </c>
      <c r="B1842">
        <v>40.200000000000003</v>
      </c>
      <c r="C1842">
        <f t="shared" si="31"/>
        <v>8.1283051616409861E-9</v>
      </c>
    </row>
    <row r="1843" spans="1:3" x14ac:dyDescent="0.3">
      <c r="A1843" s="4">
        <v>0.67578703703703702</v>
      </c>
      <c r="B1843">
        <v>40.200000000000003</v>
      </c>
      <c r="C1843">
        <f t="shared" si="31"/>
        <v>8.1283051616409861E-9</v>
      </c>
    </row>
    <row r="1844" spans="1:3" x14ac:dyDescent="0.3">
      <c r="A1844" s="4">
        <v>0.67612268518518515</v>
      </c>
      <c r="B1844">
        <v>40.1</v>
      </c>
      <c r="C1844">
        <f t="shared" si="31"/>
        <v>7.9432823472428087E-9</v>
      </c>
    </row>
    <row r="1845" spans="1:3" x14ac:dyDescent="0.3">
      <c r="A1845" s="4">
        <v>0.67646990740740742</v>
      </c>
      <c r="B1845">
        <v>40.1</v>
      </c>
      <c r="C1845">
        <f t="shared" si="31"/>
        <v>7.9432823472428087E-9</v>
      </c>
    </row>
    <row r="1846" spans="1:3" x14ac:dyDescent="0.3">
      <c r="A1846" s="4">
        <v>0.67682870370370374</v>
      </c>
      <c r="B1846">
        <v>40.1</v>
      </c>
      <c r="C1846">
        <f t="shared" si="31"/>
        <v>7.9432823472428087E-9</v>
      </c>
    </row>
    <row r="1847" spans="1:3" x14ac:dyDescent="0.3">
      <c r="A1847" s="4">
        <v>0.6771759259259259</v>
      </c>
      <c r="B1847">
        <v>40.1</v>
      </c>
      <c r="C1847">
        <f t="shared" si="31"/>
        <v>7.9432823472428087E-9</v>
      </c>
    </row>
    <row r="1848" spans="1:3" x14ac:dyDescent="0.3">
      <c r="A1848" s="4">
        <v>0.67752314814814818</v>
      </c>
      <c r="B1848">
        <v>40</v>
      </c>
      <c r="C1848">
        <f t="shared" ref="C1848:C1878" si="32">10^((B1848-121.1)/10)</f>
        <v>7.7624711662869124E-9</v>
      </c>
    </row>
    <row r="1849" spans="1:3" x14ac:dyDescent="0.3">
      <c r="A1849" s="4">
        <v>0.67787037037037035</v>
      </c>
      <c r="B1849">
        <v>40</v>
      </c>
      <c r="C1849">
        <f t="shared" si="32"/>
        <v>7.7624711662869124E-9</v>
      </c>
    </row>
    <row r="1850" spans="1:3" x14ac:dyDescent="0.3">
      <c r="A1850" s="4">
        <v>0.67820601851851847</v>
      </c>
      <c r="B1850">
        <v>40</v>
      </c>
      <c r="C1850">
        <f t="shared" si="32"/>
        <v>7.7624711662869124E-9</v>
      </c>
    </row>
    <row r="1851" spans="1:3" x14ac:dyDescent="0.3">
      <c r="A1851" s="4">
        <v>0.67855324074074075</v>
      </c>
      <c r="B1851">
        <v>40</v>
      </c>
      <c r="C1851">
        <f t="shared" si="32"/>
        <v>7.7624711662869124E-9</v>
      </c>
    </row>
    <row r="1852" spans="1:3" x14ac:dyDescent="0.3">
      <c r="A1852" s="4">
        <v>0.67890046296296291</v>
      </c>
      <c r="B1852">
        <v>39.9</v>
      </c>
      <c r="C1852">
        <f t="shared" si="32"/>
        <v>7.585775750291834E-9</v>
      </c>
    </row>
    <row r="1853" spans="1:3" x14ac:dyDescent="0.3">
      <c r="A1853" s="4">
        <v>0.67924768518518519</v>
      </c>
      <c r="B1853">
        <v>39.9</v>
      </c>
      <c r="C1853">
        <f t="shared" si="32"/>
        <v>7.585775750291834E-9</v>
      </c>
    </row>
    <row r="1854" spans="1:3" x14ac:dyDescent="0.3">
      <c r="A1854" s="4">
        <v>0.67960648148148151</v>
      </c>
      <c r="B1854">
        <v>39.9</v>
      </c>
      <c r="C1854">
        <f t="shared" si="32"/>
        <v>7.585775750291834E-9</v>
      </c>
    </row>
    <row r="1855" spans="1:3" x14ac:dyDescent="0.3">
      <c r="A1855" s="4">
        <v>0.67995370370370367</v>
      </c>
      <c r="B1855">
        <v>39.9</v>
      </c>
      <c r="C1855">
        <f t="shared" si="32"/>
        <v>7.585775750291834E-9</v>
      </c>
    </row>
    <row r="1856" spans="1:3" x14ac:dyDescent="0.3">
      <c r="A1856" s="4">
        <v>0.6802893518518518</v>
      </c>
      <c r="B1856">
        <v>39.9</v>
      </c>
      <c r="C1856">
        <f t="shared" si="32"/>
        <v>7.585775750291834E-9</v>
      </c>
    </row>
    <row r="1857" spans="1:3" x14ac:dyDescent="0.3">
      <c r="A1857" s="4">
        <v>0.68063657407407407</v>
      </c>
      <c r="B1857">
        <v>39.799999999999997</v>
      </c>
      <c r="C1857">
        <f t="shared" si="32"/>
        <v>7.4131024130091707E-9</v>
      </c>
    </row>
    <row r="1858" spans="1:3" x14ac:dyDescent="0.3">
      <c r="A1858" s="4">
        <v>0.68098379629629635</v>
      </c>
      <c r="B1858">
        <v>39.799999999999997</v>
      </c>
      <c r="C1858">
        <f t="shared" si="32"/>
        <v>7.4131024130091707E-9</v>
      </c>
    </row>
    <row r="1859" spans="1:3" x14ac:dyDescent="0.3">
      <c r="A1859" s="4">
        <v>0.68134259259259256</v>
      </c>
      <c r="B1859">
        <v>39.799999999999997</v>
      </c>
      <c r="C1859">
        <f t="shared" si="32"/>
        <v>7.4131024130091707E-9</v>
      </c>
    </row>
    <row r="1860" spans="1:3" x14ac:dyDescent="0.3">
      <c r="A1860" s="4">
        <v>0.68167824074074079</v>
      </c>
      <c r="B1860">
        <v>39.799999999999997</v>
      </c>
      <c r="C1860">
        <f t="shared" si="32"/>
        <v>7.4131024130091707E-9</v>
      </c>
    </row>
    <row r="1861" spans="1:3" x14ac:dyDescent="0.3">
      <c r="A1861" s="4">
        <v>0.68202546296296296</v>
      </c>
      <c r="B1861">
        <v>39.799999999999997</v>
      </c>
      <c r="C1861">
        <f t="shared" si="32"/>
        <v>7.4131024130091707E-9</v>
      </c>
    </row>
    <row r="1862" spans="1:3" x14ac:dyDescent="0.3">
      <c r="A1862" s="4">
        <v>0.68237268518518523</v>
      </c>
      <c r="B1862">
        <v>39.700000000000003</v>
      </c>
      <c r="C1862">
        <f t="shared" si="32"/>
        <v>7.2443596007498986E-9</v>
      </c>
    </row>
    <row r="1863" spans="1:3" x14ac:dyDescent="0.3">
      <c r="A1863" s="4">
        <v>0.6827199074074074</v>
      </c>
      <c r="B1863">
        <v>39.700000000000003</v>
      </c>
      <c r="C1863">
        <f t="shared" si="32"/>
        <v>7.2443596007498986E-9</v>
      </c>
    </row>
    <row r="1864" spans="1:3" x14ac:dyDescent="0.3">
      <c r="A1864" s="4">
        <v>0.68306712962962968</v>
      </c>
      <c r="B1864">
        <v>39.700000000000003</v>
      </c>
      <c r="C1864">
        <f t="shared" si="32"/>
        <v>7.2443596007498986E-9</v>
      </c>
    </row>
    <row r="1865" spans="1:3" x14ac:dyDescent="0.3">
      <c r="A1865" s="4">
        <v>0.68341435185185184</v>
      </c>
      <c r="B1865">
        <v>39.700000000000003</v>
      </c>
      <c r="C1865">
        <f t="shared" si="32"/>
        <v>7.2443596007498986E-9</v>
      </c>
    </row>
    <row r="1866" spans="1:3" x14ac:dyDescent="0.3">
      <c r="A1866" s="4">
        <v>0.68377314814814816</v>
      </c>
      <c r="B1866">
        <v>39.700000000000003</v>
      </c>
      <c r="C1866">
        <f t="shared" si="32"/>
        <v>7.2443596007498986E-9</v>
      </c>
    </row>
    <row r="1867" spans="1:3" x14ac:dyDescent="0.3">
      <c r="A1867" s="4">
        <v>0.68412037037037032</v>
      </c>
      <c r="B1867">
        <v>39.6</v>
      </c>
      <c r="C1867">
        <f t="shared" si="32"/>
        <v>7.0794578438413513E-9</v>
      </c>
    </row>
    <row r="1868" spans="1:3" x14ac:dyDescent="0.3">
      <c r="A1868" s="4">
        <v>0.6844675925925926</v>
      </c>
      <c r="B1868">
        <v>39.5</v>
      </c>
      <c r="C1868">
        <f t="shared" si="32"/>
        <v>6.9183097091893386E-9</v>
      </c>
    </row>
    <row r="1869" spans="1:3" x14ac:dyDescent="0.3">
      <c r="A1869" s="4">
        <v>0.68481481481481477</v>
      </c>
      <c r="B1869">
        <v>39.5</v>
      </c>
      <c r="C1869">
        <f t="shared" si="32"/>
        <v>6.9183097091893386E-9</v>
      </c>
    </row>
    <row r="1870" spans="1:3" x14ac:dyDescent="0.3">
      <c r="A1870" s="4">
        <v>0.685150462962963</v>
      </c>
      <c r="B1870">
        <v>39.5</v>
      </c>
      <c r="C1870">
        <f t="shared" si="32"/>
        <v>6.9183097091893386E-9</v>
      </c>
    </row>
    <row r="1871" spans="1:3" x14ac:dyDescent="0.3">
      <c r="A1871" s="4">
        <v>0.68550925925925921</v>
      </c>
      <c r="B1871">
        <v>39.5</v>
      </c>
      <c r="C1871">
        <f t="shared" si="32"/>
        <v>6.9183097091893386E-9</v>
      </c>
    </row>
    <row r="1872" spans="1:3" x14ac:dyDescent="0.3">
      <c r="A1872" s="4">
        <v>0.68584490740740744</v>
      </c>
      <c r="B1872">
        <v>39.4</v>
      </c>
      <c r="C1872">
        <f t="shared" si="32"/>
        <v>6.7608297539198406E-9</v>
      </c>
    </row>
    <row r="1873" spans="1:3" x14ac:dyDescent="0.3">
      <c r="A1873" s="4">
        <v>0.68620370370370365</v>
      </c>
      <c r="B1873">
        <v>39.4</v>
      </c>
      <c r="C1873">
        <f t="shared" si="32"/>
        <v>6.7608297539198406E-9</v>
      </c>
    </row>
    <row r="1874" spans="1:3" x14ac:dyDescent="0.3">
      <c r="A1874" s="4">
        <v>0.68655092592592593</v>
      </c>
      <c r="B1874">
        <v>39.4</v>
      </c>
      <c r="C1874">
        <f t="shared" si="32"/>
        <v>6.7608297539198406E-9</v>
      </c>
    </row>
    <row r="1875" spans="1:3" x14ac:dyDescent="0.3">
      <c r="A1875" s="4">
        <v>0.6868981481481482</v>
      </c>
      <c r="B1875">
        <v>39.4</v>
      </c>
      <c r="C1875">
        <f t="shared" si="32"/>
        <v>6.7608297539198406E-9</v>
      </c>
    </row>
    <row r="1876" spans="1:3" x14ac:dyDescent="0.3">
      <c r="A1876" s="4">
        <v>0.68724537037037037</v>
      </c>
      <c r="B1876">
        <v>39.4</v>
      </c>
      <c r="C1876">
        <f t="shared" si="32"/>
        <v>6.7608297539198406E-9</v>
      </c>
    </row>
    <row r="1877" spans="1:3" x14ac:dyDescent="0.3">
      <c r="A1877" s="4">
        <v>0.68758101851851849</v>
      </c>
      <c r="B1877">
        <v>39.4</v>
      </c>
      <c r="C1877">
        <f t="shared" si="32"/>
        <v>6.7608297539198406E-9</v>
      </c>
    </row>
    <row r="1878" spans="1:3" x14ac:dyDescent="0.3">
      <c r="A1878" s="4">
        <v>0.68793981481481481</v>
      </c>
      <c r="B1878">
        <v>39.299999999999997</v>
      </c>
      <c r="C1878">
        <f t="shared" si="32"/>
        <v>6.6069344800759602E-9</v>
      </c>
    </row>
    <row r="1879" spans="1:3" x14ac:dyDescent="0.3">
      <c r="A1879" s="2" t="s">
        <v>61</v>
      </c>
      <c r="C1879">
        <f>SUM(C1591:C1878)</f>
        <v>34.321320851727307</v>
      </c>
    </row>
    <row r="1881" spans="1:3" x14ac:dyDescent="0.3">
      <c r="A1881" s="2" t="s">
        <v>62</v>
      </c>
      <c r="C1881">
        <f>30/60*C1879</f>
        <v>17.160660425863654</v>
      </c>
    </row>
    <row r="1883" spans="1:3" x14ac:dyDescent="0.3">
      <c r="A1883" s="2" t="s">
        <v>243</v>
      </c>
    </row>
    <row r="1884" spans="1:3" x14ac:dyDescent="0.3">
      <c r="A1884" s="2" t="s">
        <v>58</v>
      </c>
      <c r="B1884" s="2" t="s">
        <v>59</v>
      </c>
      <c r="C1884" s="2" t="s">
        <v>60</v>
      </c>
    </row>
    <row r="1885" spans="1:3" x14ac:dyDescent="0.3">
      <c r="A1885" s="4">
        <v>0.69318287037037041</v>
      </c>
      <c r="B1885">
        <v>39.1</v>
      </c>
      <c r="C1885">
        <f>10^((B1885-121.1)/10)</f>
        <v>6.3095734448019329E-9</v>
      </c>
    </row>
    <row r="1886" spans="1:3" x14ac:dyDescent="0.3">
      <c r="A1886" s="4">
        <v>0.69353009259259257</v>
      </c>
      <c r="B1886">
        <v>39.1</v>
      </c>
      <c r="C1886">
        <f t="shared" ref="C1886:C1949" si="33">10^((B1886-121.1)/10)</f>
        <v>6.3095734448019329E-9</v>
      </c>
    </row>
    <row r="1887" spans="1:3" x14ac:dyDescent="0.3">
      <c r="A1887" s="4">
        <v>0.69387731481481485</v>
      </c>
      <c r="B1887">
        <v>38.700000000000003</v>
      </c>
      <c r="C1887">
        <f t="shared" si="33"/>
        <v>5.7543993733715727E-9</v>
      </c>
    </row>
    <row r="1888" spans="1:3" x14ac:dyDescent="0.3">
      <c r="A1888" s="4">
        <v>0.69422453703703701</v>
      </c>
      <c r="B1888">
        <v>39.200000000000003</v>
      </c>
      <c r="C1888">
        <f t="shared" si="33"/>
        <v>6.456542290346555E-9</v>
      </c>
    </row>
    <row r="1889" spans="1:3" x14ac:dyDescent="0.3">
      <c r="A1889" s="4">
        <v>0.69457175925925929</v>
      </c>
      <c r="B1889">
        <v>43.1</v>
      </c>
      <c r="C1889">
        <f t="shared" si="33"/>
        <v>1.5848931924611133E-8</v>
      </c>
    </row>
    <row r="1890" spans="1:3" x14ac:dyDescent="0.3">
      <c r="A1890" s="4">
        <v>0.69491898148148146</v>
      </c>
      <c r="B1890">
        <v>52.6</v>
      </c>
      <c r="C1890">
        <f t="shared" si="33"/>
        <v>1.4125375446227539E-7</v>
      </c>
    </row>
    <row r="1891" spans="1:3" x14ac:dyDescent="0.3">
      <c r="A1891" s="4">
        <v>0.69526620370370373</v>
      </c>
      <c r="B1891">
        <v>66.8</v>
      </c>
      <c r="C1891">
        <f t="shared" si="33"/>
        <v>3.7153522909717272E-6</v>
      </c>
    </row>
    <row r="1892" spans="1:3" x14ac:dyDescent="0.3">
      <c r="A1892" s="4">
        <v>0.6956134259259259</v>
      </c>
      <c r="B1892">
        <v>97.1</v>
      </c>
      <c r="C1892">
        <f t="shared" si="33"/>
        <v>3.9810717055349717E-3</v>
      </c>
    </row>
    <row r="1893" spans="1:3" x14ac:dyDescent="0.3">
      <c r="A1893" s="4">
        <v>0.69596064814814818</v>
      </c>
      <c r="B1893">
        <v>105.5</v>
      </c>
      <c r="C1893">
        <f t="shared" si="33"/>
        <v>2.7542287033381695E-2</v>
      </c>
    </row>
    <row r="1894" spans="1:3" x14ac:dyDescent="0.3">
      <c r="A1894" s="4">
        <v>0.69630787037037034</v>
      </c>
      <c r="B1894">
        <v>109.3</v>
      </c>
      <c r="C1894">
        <f t="shared" si="33"/>
        <v>6.6069344800759641E-2</v>
      </c>
    </row>
    <row r="1895" spans="1:3" x14ac:dyDescent="0.3">
      <c r="A1895" s="4">
        <v>0.69665509259259262</v>
      </c>
      <c r="B1895">
        <v>111.6</v>
      </c>
      <c r="C1895">
        <f t="shared" si="33"/>
        <v>0.11220184543019632</v>
      </c>
    </row>
    <row r="1896" spans="1:3" x14ac:dyDescent="0.3">
      <c r="A1896" s="4">
        <v>0.69700231481481478</v>
      </c>
      <c r="B1896">
        <v>113.1</v>
      </c>
      <c r="C1896">
        <f t="shared" si="33"/>
        <v>0.15848931924611132</v>
      </c>
    </row>
    <row r="1897" spans="1:3" x14ac:dyDescent="0.3">
      <c r="A1897" s="4">
        <v>0.69734953703703706</v>
      </c>
      <c r="B1897">
        <v>114</v>
      </c>
      <c r="C1897">
        <f t="shared" si="33"/>
        <v>0.19498445997580477</v>
      </c>
    </row>
    <row r="1898" spans="1:3" x14ac:dyDescent="0.3">
      <c r="A1898" s="4">
        <v>0.69769675925925922</v>
      </c>
      <c r="B1898">
        <v>114.7</v>
      </c>
      <c r="C1898">
        <f t="shared" si="33"/>
        <v>0.22908676527677774</v>
      </c>
    </row>
    <row r="1899" spans="1:3" x14ac:dyDescent="0.3">
      <c r="A1899" s="4">
        <v>0.6980439814814815</v>
      </c>
      <c r="B1899">
        <v>115.1</v>
      </c>
      <c r="C1899">
        <f t="shared" si="33"/>
        <v>0.25118864315095801</v>
      </c>
    </row>
    <row r="1900" spans="1:3" x14ac:dyDescent="0.3">
      <c r="A1900" s="4">
        <v>0.69839120370370367</v>
      </c>
      <c r="B1900">
        <v>115.3</v>
      </c>
      <c r="C1900">
        <f t="shared" si="33"/>
        <v>0.26302679918953831</v>
      </c>
    </row>
    <row r="1901" spans="1:3" x14ac:dyDescent="0.3">
      <c r="A1901" s="4">
        <v>0.69873842592592594</v>
      </c>
      <c r="B1901">
        <v>115.8</v>
      </c>
      <c r="C1901">
        <f t="shared" si="33"/>
        <v>0.29512092266663875</v>
      </c>
    </row>
    <row r="1902" spans="1:3" x14ac:dyDescent="0.3">
      <c r="A1902" s="4">
        <v>0.69908564814814811</v>
      </c>
      <c r="B1902">
        <v>115.5</v>
      </c>
      <c r="C1902">
        <f t="shared" si="33"/>
        <v>0.27542287033381702</v>
      </c>
    </row>
    <row r="1903" spans="1:3" x14ac:dyDescent="0.3">
      <c r="A1903" s="4">
        <v>0.69943287037037039</v>
      </c>
      <c r="B1903">
        <v>115.3</v>
      </c>
      <c r="C1903">
        <f t="shared" si="33"/>
        <v>0.26302679918953831</v>
      </c>
    </row>
    <row r="1904" spans="1:3" x14ac:dyDescent="0.3">
      <c r="A1904" s="4">
        <v>0.69978009259259255</v>
      </c>
      <c r="B1904">
        <v>116.3</v>
      </c>
      <c r="C1904">
        <f t="shared" si="33"/>
        <v>0.33113112148259127</v>
      </c>
    </row>
    <row r="1905" spans="1:3" x14ac:dyDescent="0.3">
      <c r="A1905" s="4">
        <v>0.70012731481481483</v>
      </c>
      <c r="B1905">
        <v>114.9</v>
      </c>
      <c r="C1905">
        <f t="shared" si="33"/>
        <v>0.23988329190194962</v>
      </c>
    </row>
    <row r="1906" spans="1:3" x14ac:dyDescent="0.3">
      <c r="A1906" s="4">
        <v>0.70047453703703699</v>
      </c>
      <c r="B1906">
        <v>116</v>
      </c>
      <c r="C1906">
        <f t="shared" si="33"/>
        <v>0.3090295432513594</v>
      </c>
    </row>
    <row r="1907" spans="1:3" x14ac:dyDescent="0.3">
      <c r="A1907" s="4">
        <v>0.70082175925925927</v>
      </c>
      <c r="B1907">
        <v>116.6</v>
      </c>
      <c r="C1907">
        <f t="shared" si="33"/>
        <v>0.35481338923357542</v>
      </c>
    </row>
    <row r="1908" spans="1:3" x14ac:dyDescent="0.3">
      <c r="A1908" s="4">
        <v>0.70116898148148143</v>
      </c>
      <c r="B1908">
        <v>115.5</v>
      </c>
      <c r="C1908">
        <f t="shared" si="33"/>
        <v>0.27542287033381702</v>
      </c>
    </row>
    <row r="1909" spans="1:3" x14ac:dyDescent="0.3">
      <c r="A1909" s="4">
        <v>0.70151620370370371</v>
      </c>
      <c r="B1909">
        <v>116.7</v>
      </c>
      <c r="C1909">
        <f t="shared" si="33"/>
        <v>0.36307805477010202</v>
      </c>
    </row>
    <row r="1910" spans="1:3" x14ac:dyDescent="0.3">
      <c r="A1910" s="4">
        <v>0.70186342592592588</v>
      </c>
      <c r="B1910">
        <v>117</v>
      </c>
      <c r="C1910">
        <f t="shared" si="33"/>
        <v>0.38904514499428111</v>
      </c>
    </row>
    <row r="1911" spans="1:3" x14ac:dyDescent="0.3">
      <c r="A1911" s="4">
        <v>0.70221064814814815</v>
      </c>
      <c r="B1911">
        <v>115.5</v>
      </c>
      <c r="C1911">
        <f t="shared" si="33"/>
        <v>0.27542287033381702</v>
      </c>
    </row>
    <row r="1912" spans="1:3" x14ac:dyDescent="0.3">
      <c r="A1912" s="4">
        <v>0.70255787037037032</v>
      </c>
      <c r="B1912">
        <v>116.6</v>
      </c>
      <c r="C1912">
        <f t="shared" si="33"/>
        <v>0.35481338923357542</v>
      </c>
    </row>
    <row r="1913" spans="1:3" x14ac:dyDescent="0.3">
      <c r="A1913" s="4">
        <v>0.7029050925925926</v>
      </c>
      <c r="B1913">
        <v>118.1</v>
      </c>
      <c r="C1913">
        <f t="shared" si="33"/>
        <v>0.50118723362727224</v>
      </c>
    </row>
    <row r="1914" spans="1:3" x14ac:dyDescent="0.3">
      <c r="A1914" s="4">
        <v>0.70325231481481476</v>
      </c>
      <c r="B1914">
        <v>116.9</v>
      </c>
      <c r="C1914">
        <f t="shared" si="33"/>
        <v>0.38018939632056215</v>
      </c>
    </row>
    <row r="1915" spans="1:3" x14ac:dyDescent="0.3">
      <c r="A1915" s="4">
        <v>0.70359953703703704</v>
      </c>
      <c r="B1915">
        <v>115.9</v>
      </c>
      <c r="C1915">
        <f t="shared" si="33"/>
        <v>0.30199517204020232</v>
      </c>
    </row>
    <row r="1916" spans="1:3" x14ac:dyDescent="0.3">
      <c r="A1916" s="4">
        <v>0.70394675925925931</v>
      </c>
      <c r="B1916">
        <v>115.8</v>
      </c>
      <c r="C1916">
        <f t="shared" si="33"/>
        <v>0.29512092266663875</v>
      </c>
    </row>
    <row r="1917" spans="1:3" x14ac:dyDescent="0.3">
      <c r="A1917" s="4">
        <v>0.70429398148148148</v>
      </c>
      <c r="B1917">
        <v>118.8</v>
      </c>
      <c r="C1917">
        <f t="shared" si="33"/>
        <v>0.58884365535558936</v>
      </c>
    </row>
    <row r="1918" spans="1:3" x14ac:dyDescent="0.3">
      <c r="A1918" s="4">
        <v>0.70464120370370376</v>
      </c>
      <c r="B1918">
        <v>118.7</v>
      </c>
      <c r="C1918">
        <f t="shared" si="33"/>
        <v>0.57543993733715804</v>
      </c>
    </row>
    <row r="1919" spans="1:3" x14ac:dyDescent="0.3">
      <c r="A1919" s="4">
        <v>0.70498842592592592</v>
      </c>
      <c r="B1919">
        <v>117.7</v>
      </c>
      <c r="C1919">
        <f t="shared" si="33"/>
        <v>0.45708818961487585</v>
      </c>
    </row>
    <row r="1920" spans="1:3" x14ac:dyDescent="0.3">
      <c r="A1920" s="4">
        <v>0.7053356481481482</v>
      </c>
      <c r="B1920">
        <v>116.9</v>
      </c>
      <c r="C1920">
        <f t="shared" si="33"/>
        <v>0.38018939632056215</v>
      </c>
    </row>
    <row r="1921" spans="1:3" x14ac:dyDescent="0.3">
      <c r="A1921" s="4">
        <v>0.70568287037037036</v>
      </c>
      <c r="B1921">
        <v>116.1</v>
      </c>
      <c r="C1921">
        <f t="shared" si="33"/>
        <v>0.31622776601683794</v>
      </c>
    </row>
    <row r="1922" spans="1:3" x14ac:dyDescent="0.3">
      <c r="A1922" s="4">
        <v>0.70603009259259264</v>
      </c>
      <c r="B1922">
        <v>115.4</v>
      </c>
      <c r="C1922">
        <f t="shared" si="33"/>
        <v>0.26915348039269227</v>
      </c>
    </row>
    <row r="1923" spans="1:3" x14ac:dyDescent="0.3">
      <c r="A1923" s="4">
        <v>0.70637731481481481</v>
      </c>
      <c r="B1923">
        <v>117.5</v>
      </c>
      <c r="C1923">
        <f t="shared" si="33"/>
        <v>0.43651583224016655</v>
      </c>
    </row>
    <row r="1924" spans="1:3" x14ac:dyDescent="0.3">
      <c r="A1924" s="4">
        <v>0.70672453703703708</v>
      </c>
      <c r="B1924">
        <v>120.3</v>
      </c>
      <c r="C1924">
        <f t="shared" si="33"/>
        <v>0.83176377110267163</v>
      </c>
    </row>
    <row r="1925" spans="1:3" x14ac:dyDescent="0.3">
      <c r="A1925" s="4">
        <v>0.70707175925925925</v>
      </c>
      <c r="B1925">
        <v>119.3</v>
      </c>
      <c r="C1925">
        <f t="shared" si="33"/>
        <v>0.66069344800759633</v>
      </c>
    </row>
    <row r="1926" spans="1:3" x14ac:dyDescent="0.3">
      <c r="A1926" s="4">
        <v>0.70741898148148152</v>
      </c>
      <c r="B1926">
        <v>118.5</v>
      </c>
      <c r="C1926">
        <f t="shared" si="33"/>
        <v>0.54954087385762518</v>
      </c>
    </row>
    <row r="1927" spans="1:3" x14ac:dyDescent="0.3">
      <c r="A1927" s="4">
        <v>0.70776620370370369</v>
      </c>
      <c r="B1927">
        <v>117.9</v>
      </c>
      <c r="C1927">
        <f t="shared" si="33"/>
        <v>0.47863009232263964</v>
      </c>
    </row>
    <row r="1928" spans="1:3" x14ac:dyDescent="0.3">
      <c r="A1928" s="4">
        <v>0.70811342592592597</v>
      </c>
      <c r="B1928">
        <v>117.2</v>
      </c>
      <c r="C1928">
        <f t="shared" si="33"/>
        <v>0.40738027780411351</v>
      </c>
    </row>
    <row r="1929" spans="1:3" x14ac:dyDescent="0.3">
      <c r="A1929" s="4">
        <v>0.70846064814814813</v>
      </c>
      <c r="B1929">
        <v>116.7</v>
      </c>
      <c r="C1929">
        <f t="shared" si="33"/>
        <v>0.36307805477010202</v>
      </c>
    </row>
    <row r="1930" spans="1:3" x14ac:dyDescent="0.3">
      <c r="A1930" s="4">
        <v>0.70880787037037041</v>
      </c>
      <c r="B1930">
        <v>116.1</v>
      </c>
      <c r="C1930">
        <f t="shared" si="33"/>
        <v>0.31622776601683794</v>
      </c>
    </row>
    <row r="1931" spans="1:3" x14ac:dyDescent="0.3">
      <c r="A1931" s="4">
        <v>0.70915509259259257</v>
      </c>
      <c r="B1931">
        <v>115.5</v>
      </c>
      <c r="C1931">
        <f t="shared" si="33"/>
        <v>0.27542287033381702</v>
      </c>
    </row>
    <row r="1932" spans="1:3" x14ac:dyDescent="0.3">
      <c r="A1932" s="4">
        <v>0.70950231481481485</v>
      </c>
      <c r="B1932">
        <v>117.4</v>
      </c>
      <c r="C1932">
        <f t="shared" si="33"/>
        <v>0.42657951880159373</v>
      </c>
    </row>
    <row r="1933" spans="1:3" x14ac:dyDescent="0.3">
      <c r="A1933" s="4">
        <v>0.70984953703703701</v>
      </c>
      <c r="B1933">
        <v>120</v>
      </c>
      <c r="C1933">
        <f t="shared" si="33"/>
        <v>0.77624711662869272</v>
      </c>
    </row>
    <row r="1934" spans="1:3" x14ac:dyDescent="0.3">
      <c r="A1934" s="4">
        <v>0.71019675925925929</v>
      </c>
      <c r="B1934">
        <v>119.1</v>
      </c>
      <c r="C1934">
        <f t="shared" si="33"/>
        <v>0.63095734448019325</v>
      </c>
    </row>
    <row r="1935" spans="1:3" x14ac:dyDescent="0.3">
      <c r="A1935" s="4">
        <v>0.71055555555555561</v>
      </c>
      <c r="B1935">
        <v>118.5</v>
      </c>
      <c r="C1935">
        <f t="shared" si="33"/>
        <v>0.54954087385762518</v>
      </c>
    </row>
    <row r="1936" spans="1:3" x14ac:dyDescent="0.3">
      <c r="A1936" s="4">
        <v>0.71089120370370373</v>
      </c>
      <c r="B1936">
        <v>117.9</v>
      </c>
      <c r="C1936">
        <f t="shared" si="33"/>
        <v>0.47863009232263964</v>
      </c>
    </row>
    <row r="1937" spans="1:3" x14ac:dyDescent="0.3">
      <c r="A1937" s="4">
        <v>0.7112384259259259</v>
      </c>
      <c r="B1937">
        <v>117.4</v>
      </c>
      <c r="C1937">
        <f t="shared" si="33"/>
        <v>0.42657951880159373</v>
      </c>
    </row>
    <row r="1938" spans="1:3" x14ac:dyDescent="0.3">
      <c r="A1938" s="4">
        <v>0.71158564814814818</v>
      </c>
      <c r="B1938">
        <v>116.8</v>
      </c>
      <c r="C1938">
        <f t="shared" si="33"/>
        <v>0.37153522909717274</v>
      </c>
    </row>
    <row r="1939" spans="1:3" x14ac:dyDescent="0.3">
      <c r="A1939" s="4">
        <v>0.71193287037037034</v>
      </c>
      <c r="B1939">
        <v>116.4</v>
      </c>
      <c r="C1939">
        <f t="shared" si="33"/>
        <v>0.33884415613920338</v>
      </c>
    </row>
    <row r="1940" spans="1:3" x14ac:dyDescent="0.3">
      <c r="A1940" s="4">
        <v>0.71228009259259262</v>
      </c>
      <c r="B1940">
        <v>116</v>
      </c>
      <c r="C1940">
        <f t="shared" si="33"/>
        <v>0.3090295432513594</v>
      </c>
    </row>
    <row r="1941" spans="1:3" x14ac:dyDescent="0.3">
      <c r="A1941" s="4">
        <v>0.71262731481481478</v>
      </c>
      <c r="B1941">
        <v>115.4</v>
      </c>
      <c r="C1941">
        <f t="shared" si="33"/>
        <v>0.26915348039269227</v>
      </c>
    </row>
    <row r="1942" spans="1:3" x14ac:dyDescent="0.3">
      <c r="A1942" s="4">
        <v>0.71297453703703706</v>
      </c>
      <c r="B1942">
        <v>117.8</v>
      </c>
      <c r="C1942">
        <f t="shared" si="33"/>
        <v>0.46773514128719845</v>
      </c>
    </row>
    <row r="1943" spans="1:3" x14ac:dyDescent="0.3">
      <c r="A1943" s="4">
        <v>0.71332175925925922</v>
      </c>
      <c r="B1943">
        <v>119.8</v>
      </c>
      <c r="C1943">
        <f t="shared" si="33"/>
        <v>0.74131024130091794</v>
      </c>
    </row>
    <row r="1944" spans="1:3" x14ac:dyDescent="0.3">
      <c r="A1944" s="4">
        <v>0.7136689814814815</v>
      </c>
      <c r="B1944">
        <v>119</v>
      </c>
      <c r="C1944">
        <f t="shared" si="33"/>
        <v>0.61659500186148286</v>
      </c>
    </row>
    <row r="1945" spans="1:3" x14ac:dyDescent="0.3">
      <c r="A1945" s="4">
        <v>0.71401620370370367</v>
      </c>
      <c r="B1945">
        <v>118.4</v>
      </c>
      <c r="C1945">
        <f t="shared" si="33"/>
        <v>0.53703179637025411</v>
      </c>
    </row>
    <row r="1946" spans="1:3" x14ac:dyDescent="0.3">
      <c r="A1946" s="4">
        <v>0.71436342592592594</v>
      </c>
      <c r="B1946">
        <v>117.8</v>
      </c>
      <c r="C1946">
        <f t="shared" si="33"/>
        <v>0.46773514128719845</v>
      </c>
    </row>
    <row r="1947" spans="1:3" x14ac:dyDescent="0.3">
      <c r="A1947" s="4">
        <v>0.71471064814814811</v>
      </c>
      <c r="B1947">
        <v>117.4</v>
      </c>
      <c r="C1947">
        <f t="shared" si="33"/>
        <v>0.42657951880159373</v>
      </c>
    </row>
    <row r="1948" spans="1:3" x14ac:dyDescent="0.3">
      <c r="A1948" s="4">
        <v>0.71505787037037039</v>
      </c>
      <c r="B1948">
        <v>117</v>
      </c>
      <c r="C1948">
        <f t="shared" si="33"/>
        <v>0.38904514499428111</v>
      </c>
    </row>
    <row r="1949" spans="1:3" x14ac:dyDescent="0.3">
      <c r="A1949" s="4">
        <v>0.71540509259259255</v>
      </c>
      <c r="B1949">
        <v>116.6</v>
      </c>
      <c r="C1949">
        <f t="shared" si="33"/>
        <v>0.35481338923357542</v>
      </c>
    </row>
    <row r="1950" spans="1:3" x14ac:dyDescent="0.3">
      <c r="A1950" s="4">
        <v>0.71575231481481483</v>
      </c>
      <c r="B1950">
        <v>116.2</v>
      </c>
      <c r="C1950">
        <f t="shared" ref="C1950:C2013" si="34">10^((B1950-121.1)/10)</f>
        <v>0.32359365692962883</v>
      </c>
    </row>
    <row r="1951" spans="1:3" x14ac:dyDescent="0.3">
      <c r="A1951" s="4">
        <v>0.71609953703703699</v>
      </c>
      <c r="B1951">
        <v>115.8</v>
      </c>
      <c r="C1951">
        <f t="shared" si="34"/>
        <v>0.29512092266663875</v>
      </c>
    </row>
    <row r="1952" spans="1:3" x14ac:dyDescent="0.3">
      <c r="A1952" s="4">
        <v>0.71644675925925927</v>
      </c>
      <c r="B1952">
        <v>115.1</v>
      </c>
      <c r="C1952">
        <f t="shared" si="34"/>
        <v>0.25118864315095801</v>
      </c>
    </row>
    <row r="1953" spans="1:3" x14ac:dyDescent="0.3">
      <c r="A1953" s="4">
        <v>0.71679398148148143</v>
      </c>
      <c r="B1953">
        <v>109.2</v>
      </c>
      <c r="C1953">
        <f t="shared" si="34"/>
        <v>6.4565422903465688E-2</v>
      </c>
    </row>
    <row r="1954" spans="1:3" x14ac:dyDescent="0.3">
      <c r="A1954" s="4">
        <v>0.71714120370370371</v>
      </c>
      <c r="B1954">
        <v>99.3</v>
      </c>
      <c r="C1954">
        <f t="shared" si="34"/>
        <v>6.6069344800759626E-3</v>
      </c>
    </row>
    <row r="1955" spans="1:3" x14ac:dyDescent="0.3">
      <c r="A1955" s="4">
        <v>0.71748842592592588</v>
      </c>
      <c r="B1955">
        <v>88.3</v>
      </c>
      <c r="C1955">
        <f t="shared" si="34"/>
        <v>5.2480746024977229E-4</v>
      </c>
    </row>
    <row r="1956" spans="1:3" x14ac:dyDescent="0.3">
      <c r="A1956" s="4">
        <v>0.71783564814814815</v>
      </c>
      <c r="B1956">
        <v>82.4</v>
      </c>
      <c r="C1956">
        <f t="shared" si="34"/>
        <v>1.3489628825916555E-4</v>
      </c>
    </row>
    <row r="1957" spans="1:3" x14ac:dyDescent="0.3">
      <c r="A1957" s="4">
        <v>0.71818287037037032</v>
      </c>
      <c r="B1957">
        <v>78.8</v>
      </c>
      <c r="C1957">
        <f t="shared" si="34"/>
        <v>5.8884365535558867E-5</v>
      </c>
    </row>
    <row r="1958" spans="1:3" x14ac:dyDescent="0.3">
      <c r="A1958" s="4">
        <v>0.7185300925925926</v>
      </c>
      <c r="B1958">
        <v>75.900000000000006</v>
      </c>
      <c r="C1958">
        <f t="shared" si="34"/>
        <v>3.0199517204020233E-5</v>
      </c>
    </row>
    <row r="1959" spans="1:3" x14ac:dyDescent="0.3">
      <c r="A1959" s="4">
        <v>0.71888888888888891</v>
      </c>
      <c r="B1959">
        <v>73.599999999999994</v>
      </c>
      <c r="C1959">
        <f t="shared" si="34"/>
        <v>1.7782794100389215E-5</v>
      </c>
    </row>
    <row r="1960" spans="1:3" x14ac:dyDescent="0.3">
      <c r="A1960" s="4">
        <v>0.71922453703703704</v>
      </c>
      <c r="B1960">
        <v>71.3</v>
      </c>
      <c r="C1960">
        <f t="shared" si="34"/>
        <v>1.0471285480508992E-5</v>
      </c>
    </row>
    <row r="1961" spans="1:3" x14ac:dyDescent="0.3">
      <c r="A1961" s="4">
        <v>0.71957175925925931</v>
      </c>
      <c r="B1961">
        <v>69.400000000000006</v>
      </c>
      <c r="C1961">
        <f t="shared" si="34"/>
        <v>6.7608297539198273E-6</v>
      </c>
    </row>
    <row r="1962" spans="1:3" x14ac:dyDescent="0.3">
      <c r="A1962" s="4">
        <v>0.71991898148148148</v>
      </c>
      <c r="B1962">
        <v>67.8</v>
      </c>
      <c r="C1962">
        <f t="shared" si="34"/>
        <v>4.6773514128719787E-6</v>
      </c>
    </row>
    <row r="1963" spans="1:3" x14ac:dyDescent="0.3">
      <c r="A1963" s="4">
        <v>0.72026620370370376</v>
      </c>
      <c r="B1963">
        <v>66.400000000000006</v>
      </c>
      <c r="C1963">
        <f t="shared" si="34"/>
        <v>3.3884415613920284E-6</v>
      </c>
    </row>
    <row r="1964" spans="1:3" x14ac:dyDescent="0.3">
      <c r="A1964" s="4">
        <v>0.72061342592592592</v>
      </c>
      <c r="B1964">
        <v>65</v>
      </c>
      <c r="C1964">
        <f t="shared" si="34"/>
        <v>2.4547089156850314E-6</v>
      </c>
    </row>
    <row r="1965" spans="1:3" x14ac:dyDescent="0.3">
      <c r="A1965" s="4">
        <v>0.7209606481481482</v>
      </c>
      <c r="B1965">
        <v>63.6</v>
      </c>
      <c r="C1965">
        <f t="shared" si="34"/>
        <v>1.7782794100389257E-6</v>
      </c>
    </row>
    <row r="1966" spans="1:3" x14ac:dyDescent="0.3">
      <c r="A1966" s="4">
        <v>0.7213194444444444</v>
      </c>
      <c r="B1966">
        <v>62.5</v>
      </c>
      <c r="C1966">
        <f t="shared" si="34"/>
        <v>1.3803842646028861E-6</v>
      </c>
    </row>
    <row r="1967" spans="1:3" x14ac:dyDescent="0.3">
      <c r="A1967" s="4">
        <v>0.72165509259259264</v>
      </c>
      <c r="B1967">
        <v>61.4</v>
      </c>
      <c r="C1967">
        <f t="shared" si="34"/>
        <v>1.0715193052376047E-6</v>
      </c>
    </row>
    <row r="1968" spans="1:3" x14ac:dyDescent="0.3">
      <c r="A1968" s="4">
        <v>0.72200231481481481</v>
      </c>
      <c r="B1968">
        <v>60.4</v>
      </c>
      <c r="C1968">
        <f t="shared" si="34"/>
        <v>8.5113803820237588E-7</v>
      </c>
    </row>
    <row r="1969" spans="1:3" x14ac:dyDescent="0.3">
      <c r="A1969" s="4">
        <v>0.72234953703703708</v>
      </c>
      <c r="B1969">
        <v>59.6</v>
      </c>
      <c r="C1969">
        <f t="shared" si="34"/>
        <v>7.0794578438413801E-7</v>
      </c>
    </row>
    <row r="1970" spans="1:3" x14ac:dyDescent="0.3">
      <c r="A1970" s="4">
        <v>0.72269675925925925</v>
      </c>
      <c r="B1970">
        <v>58.8</v>
      </c>
      <c r="C1970">
        <f t="shared" si="34"/>
        <v>5.888436553555885E-7</v>
      </c>
    </row>
    <row r="1971" spans="1:3" x14ac:dyDescent="0.3">
      <c r="A1971" s="4">
        <v>0.72304398148148152</v>
      </c>
      <c r="B1971">
        <v>58</v>
      </c>
      <c r="C1971">
        <f t="shared" si="34"/>
        <v>4.8977881936844619E-7</v>
      </c>
    </row>
    <row r="1972" spans="1:3" x14ac:dyDescent="0.3">
      <c r="A1972" s="4">
        <v>0.72339120370370369</v>
      </c>
      <c r="B1972">
        <v>57.1</v>
      </c>
      <c r="C1972">
        <f t="shared" si="34"/>
        <v>3.9810717055349682E-7</v>
      </c>
    </row>
    <row r="1973" spans="1:3" x14ac:dyDescent="0.3">
      <c r="A1973" s="4">
        <v>0.72373842592592597</v>
      </c>
      <c r="B1973">
        <v>56.5</v>
      </c>
      <c r="C1973">
        <f t="shared" si="34"/>
        <v>3.4673685045253212E-7</v>
      </c>
    </row>
    <row r="1974" spans="1:3" x14ac:dyDescent="0.3">
      <c r="A1974" s="4">
        <v>0.72408564814814813</v>
      </c>
      <c r="B1974">
        <v>55.8</v>
      </c>
      <c r="C1974">
        <f t="shared" si="34"/>
        <v>2.9512092266663867E-7</v>
      </c>
    </row>
    <row r="1975" spans="1:3" x14ac:dyDescent="0.3">
      <c r="A1975" s="4">
        <v>0.72444444444444445</v>
      </c>
      <c r="B1975">
        <v>55.2</v>
      </c>
      <c r="C1975">
        <f t="shared" si="34"/>
        <v>2.5703957827688658E-7</v>
      </c>
    </row>
    <row r="1976" spans="1:3" x14ac:dyDescent="0.3">
      <c r="A1976" s="4">
        <v>0.72478009259259257</v>
      </c>
      <c r="B1976">
        <v>54.7</v>
      </c>
      <c r="C1976">
        <f t="shared" si="34"/>
        <v>2.2908676527677761E-7</v>
      </c>
    </row>
    <row r="1977" spans="1:3" x14ac:dyDescent="0.3">
      <c r="A1977" s="4">
        <v>0.72512731481481485</v>
      </c>
      <c r="B1977">
        <v>54.2</v>
      </c>
      <c r="C1977">
        <f t="shared" si="34"/>
        <v>2.0417379446695291E-7</v>
      </c>
    </row>
    <row r="1978" spans="1:3" x14ac:dyDescent="0.3">
      <c r="A1978" s="4">
        <v>0.72547453703703701</v>
      </c>
      <c r="B1978">
        <v>53.7</v>
      </c>
      <c r="C1978">
        <f t="shared" si="34"/>
        <v>1.8197008586099843E-7</v>
      </c>
    </row>
    <row r="1979" spans="1:3" x14ac:dyDescent="0.3">
      <c r="A1979" s="4">
        <v>0.72582175925925929</v>
      </c>
      <c r="B1979">
        <v>53.2</v>
      </c>
      <c r="C1979">
        <f t="shared" si="34"/>
        <v>1.6218100973589314E-7</v>
      </c>
    </row>
    <row r="1980" spans="1:3" x14ac:dyDescent="0.3">
      <c r="A1980" s="4">
        <v>0.72618055555555561</v>
      </c>
      <c r="B1980">
        <v>52.8</v>
      </c>
      <c r="C1980">
        <f t="shared" si="34"/>
        <v>1.479108388168204E-7</v>
      </c>
    </row>
    <row r="1981" spans="1:3" x14ac:dyDescent="0.3">
      <c r="A1981" s="4">
        <v>0.72651620370370373</v>
      </c>
      <c r="B1981">
        <v>52.4</v>
      </c>
      <c r="C1981">
        <f t="shared" si="34"/>
        <v>1.3489628825916535E-7</v>
      </c>
    </row>
    <row r="1982" spans="1:3" x14ac:dyDescent="0.3">
      <c r="A1982" s="4">
        <v>0.7268634259259259</v>
      </c>
      <c r="B1982">
        <v>52</v>
      </c>
      <c r="C1982">
        <f t="shared" si="34"/>
        <v>1.2302687708123817E-7</v>
      </c>
    </row>
    <row r="1983" spans="1:3" x14ac:dyDescent="0.3">
      <c r="A1983" s="4">
        <v>0.72721064814814818</v>
      </c>
      <c r="B1983">
        <v>51.7</v>
      </c>
      <c r="C1983">
        <f t="shared" si="34"/>
        <v>1.1481536214968814E-7</v>
      </c>
    </row>
    <row r="1984" spans="1:3" x14ac:dyDescent="0.3">
      <c r="A1984" s="4">
        <v>0.72755787037037034</v>
      </c>
      <c r="B1984">
        <v>51.3</v>
      </c>
      <c r="C1984">
        <f t="shared" si="34"/>
        <v>1.0471285480508987E-7</v>
      </c>
    </row>
    <row r="1985" spans="1:3" x14ac:dyDescent="0.3">
      <c r="A1985" s="4">
        <v>0.72790509259259262</v>
      </c>
      <c r="B1985">
        <v>51</v>
      </c>
      <c r="C1985">
        <f t="shared" si="34"/>
        <v>9.7723722095581017E-8</v>
      </c>
    </row>
    <row r="1986" spans="1:3" x14ac:dyDescent="0.3">
      <c r="A1986" s="4">
        <v>0.72825231481481478</v>
      </c>
      <c r="B1986">
        <v>50.7</v>
      </c>
      <c r="C1986">
        <f t="shared" si="34"/>
        <v>9.120108393559095E-8</v>
      </c>
    </row>
    <row r="1987" spans="1:3" x14ac:dyDescent="0.3">
      <c r="A1987" s="4">
        <v>0.72859953703703706</v>
      </c>
      <c r="B1987">
        <v>50.5</v>
      </c>
      <c r="C1987">
        <f t="shared" si="34"/>
        <v>8.7096358995608061E-8</v>
      </c>
    </row>
    <row r="1988" spans="1:3" x14ac:dyDescent="0.3">
      <c r="A1988" s="4">
        <v>0.72894675925925922</v>
      </c>
      <c r="B1988">
        <v>50.2</v>
      </c>
      <c r="C1988">
        <f t="shared" si="34"/>
        <v>8.128305161640995E-8</v>
      </c>
    </row>
    <row r="1989" spans="1:3" x14ac:dyDescent="0.3">
      <c r="A1989" s="4">
        <v>0.7292939814814815</v>
      </c>
      <c r="B1989">
        <v>50</v>
      </c>
      <c r="C1989">
        <f t="shared" si="34"/>
        <v>7.762471166286921E-8</v>
      </c>
    </row>
    <row r="1990" spans="1:3" x14ac:dyDescent="0.3">
      <c r="A1990" s="4">
        <v>0.72964120370370367</v>
      </c>
      <c r="B1990">
        <v>49.8</v>
      </c>
      <c r="C1990">
        <f t="shared" si="34"/>
        <v>7.413102413009154E-8</v>
      </c>
    </row>
    <row r="1991" spans="1:3" x14ac:dyDescent="0.3">
      <c r="A1991" s="4">
        <v>0.73</v>
      </c>
      <c r="B1991">
        <v>49.6</v>
      </c>
      <c r="C1991">
        <f t="shared" si="34"/>
        <v>7.0794578438413597E-8</v>
      </c>
    </row>
    <row r="1992" spans="1:3" x14ac:dyDescent="0.3">
      <c r="A1992" s="4">
        <v>0.73033564814814811</v>
      </c>
      <c r="B1992">
        <v>49.4</v>
      </c>
      <c r="C1992">
        <f t="shared" si="34"/>
        <v>6.7608297539198249E-8</v>
      </c>
    </row>
    <row r="1993" spans="1:3" x14ac:dyDescent="0.3">
      <c r="A1993" s="4">
        <v>0.73068287037037039</v>
      </c>
      <c r="B1993">
        <v>49.2</v>
      </c>
      <c r="C1993">
        <f t="shared" si="34"/>
        <v>6.4565422903465636E-8</v>
      </c>
    </row>
    <row r="1994" spans="1:3" x14ac:dyDescent="0.3">
      <c r="A1994" s="4">
        <v>0.7310416666666667</v>
      </c>
      <c r="B1994">
        <v>49</v>
      </c>
      <c r="C1994">
        <f t="shared" si="34"/>
        <v>6.1659500186148299E-8</v>
      </c>
    </row>
    <row r="1995" spans="1:3" x14ac:dyDescent="0.3">
      <c r="A1995" s="4">
        <v>0.73137731481481483</v>
      </c>
      <c r="B1995">
        <v>48.9</v>
      </c>
      <c r="C1995">
        <f t="shared" si="34"/>
        <v>6.0255958607435861E-8</v>
      </c>
    </row>
    <row r="1996" spans="1:3" x14ac:dyDescent="0.3">
      <c r="A1996" s="4">
        <v>0.73172453703703699</v>
      </c>
      <c r="B1996">
        <v>48.7</v>
      </c>
      <c r="C1996">
        <f t="shared" si="34"/>
        <v>5.7543993733715791E-8</v>
      </c>
    </row>
    <row r="1997" spans="1:3" x14ac:dyDescent="0.3">
      <c r="A1997" s="4">
        <v>0.73207175925925927</v>
      </c>
      <c r="B1997">
        <v>48.6</v>
      </c>
      <c r="C1997">
        <f t="shared" si="34"/>
        <v>5.6234132519034806E-8</v>
      </c>
    </row>
    <row r="1998" spans="1:3" x14ac:dyDescent="0.3">
      <c r="A1998" s="4">
        <v>0.73241898148148143</v>
      </c>
      <c r="B1998">
        <v>48.5</v>
      </c>
      <c r="C1998">
        <f t="shared" si="34"/>
        <v>5.4954087385762357E-8</v>
      </c>
    </row>
    <row r="1999" spans="1:3" x14ac:dyDescent="0.3">
      <c r="A1999" s="4">
        <v>0.73276620370370371</v>
      </c>
      <c r="B1999">
        <v>48.3</v>
      </c>
      <c r="C1999">
        <f t="shared" si="34"/>
        <v>5.2480746024977185E-8</v>
      </c>
    </row>
    <row r="2000" spans="1:3" x14ac:dyDescent="0.3">
      <c r="A2000" s="4">
        <v>0.73312500000000003</v>
      </c>
      <c r="B2000">
        <v>48.2</v>
      </c>
      <c r="C2000">
        <f t="shared" si="34"/>
        <v>5.1286138399136593E-8</v>
      </c>
    </row>
    <row r="2001" spans="1:3" x14ac:dyDescent="0.3">
      <c r="A2001" s="4">
        <v>0.73347222222222219</v>
      </c>
      <c r="B2001">
        <v>48.1</v>
      </c>
      <c r="C2001">
        <f t="shared" si="34"/>
        <v>5.0118723362727164E-8</v>
      </c>
    </row>
    <row r="2002" spans="1:3" x14ac:dyDescent="0.3">
      <c r="A2002" s="4">
        <v>0.73380787037037032</v>
      </c>
      <c r="B2002">
        <v>48</v>
      </c>
      <c r="C2002">
        <f t="shared" si="34"/>
        <v>4.8977881936844561E-8</v>
      </c>
    </row>
    <row r="2003" spans="1:3" x14ac:dyDescent="0.3">
      <c r="A2003" s="4">
        <v>0.7341550925925926</v>
      </c>
      <c r="B2003">
        <v>47.9</v>
      </c>
      <c r="C2003">
        <f t="shared" si="34"/>
        <v>4.7863009232263948E-8</v>
      </c>
    </row>
    <row r="2004" spans="1:3" x14ac:dyDescent="0.3">
      <c r="A2004" s="4">
        <v>0.73450231481481476</v>
      </c>
      <c r="B2004">
        <v>47.8</v>
      </c>
      <c r="C2004">
        <f t="shared" si="34"/>
        <v>4.6773514128719769E-8</v>
      </c>
    </row>
    <row r="2005" spans="1:3" x14ac:dyDescent="0.3">
      <c r="A2005" s="4">
        <v>0.73484953703703704</v>
      </c>
      <c r="B2005">
        <v>47.7</v>
      </c>
      <c r="C2005">
        <f t="shared" si="34"/>
        <v>4.5708818961487464E-8</v>
      </c>
    </row>
    <row r="2006" spans="1:3" x14ac:dyDescent="0.3">
      <c r="A2006" s="4">
        <v>0.73519675925925931</v>
      </c>
      <c r="B2006">
        <v>47.6</v>
      </c>
      <c r="C2006">
        <f t="shared" si="34"/>
        <v>4.466835921509628E-8</v>
      </c>
    </row>
    <row r="2007" spans="1:3" x14ac:dyDescent="0.3">
      <c r="A2007" s="4">
        <v>0.73554398148148148</v>
      </c>
      <c r="B2007">
        <v>47.5</v>
      </c>
      <c r="C2007">
        <f t="shared" si="34"/>
        <v>4.3651583224016566E-8</v>
      </c>
    </row>
    <row r="2008" spans="1:3" x14ac:dyDescent="0.3">
      <c r="A2008" s="4">
        <v>0.73590277777777779</v>
      </c>
      <c r="B2008">
        <v>47.5</v>
      </c>
      <c r="C2008">
        <f t="shared" si="34"/>
        <v>4.3651583224016566E-8</v>
      </c>
    </row>
    <row r="2009" spans="1:3" x14ac:dyDescent="0.3">
      <c r="A2009" s="4">
        <v>0.73623842592592592</v>
      </c>
      <c r="B2009">
        <v>47.4</v>
      </c>
      <c r="C2009">
        <f t="shared" si="34"/>
        <v>4.2657951880159239E-8</v>
      </c>
    </row>
    <row r="2010" spans="1:3" x14ac:dyDescent="0.3">
      <c r="A2010" s="4">
        <v>0.7365856481481482</v>
      </c>
      <c r="B2010">
        <v>47.3</v>
      </c>
      <c r="C2010">
        <f t="shared" si="34"/>
        <v>4.1686938347033516E-8</v>
      </c>
    </row>
    <row r="2011" spans="1:3" x14ac:dyDescent="0.3">
      <c r="A2011" s="4">
        <v>0.7369444444444444</v>
      </c>
      <c r="B2011">
        <v>47.3</v>
      </c>
      <c r="C2011">
        <f t="shared" si="34"/>
        <v>4.1686938347033516E-8</v>
      </c>
    </row>
    <row r="2012" spans="1:3" x14ac:dyDescent="0.3">
      <c r="A2012" s="4">
        <v>0.73729166666666668</v>
      </c>
      <c r="B2012">
        <v>47.2</v>
      </c>
      <c r="C2012">
        <f t="shared" si="34"/>
        <v>4.0738027780411254E-8</v>
      </c>
    </row>
    <row r="2013" spans="1:3" x14ac:dyDescent="0.3">
      <c r="A2013" s="4">
        <v>0.73762731481481481</v>
      </c>
      <c r="B2013">
        <v>47.1</v>
      </c>
      <c r="C2013">
        <f t="shared" si="34"/>
        <v>3.981071705534957E-8</v>
      </c>
    </row>
    <row r="2014" spans="1:3" x14ac:dyDescent="0.3">
      <c r="A2014" s="4">
        <v>0.73797453703703708</v>
      </c>
      <c r="B2014">
        <v>47.1</v>
      </c>
      <c r="C2014">
        <f t="shared" ref="C2014:C2039" si="35">10^((B2014-121.1)/10)</f>
        <v>3.981071705534957E-8</v>
      </c>
    </row>
    <row r="2015" spans="1:3" x14ac:dyDescent="0.3">
      <c r="A2015" s="4">
        <v>0.73833333333333329</v>
      </c>
      <c r="B2015">
        <v>47</v>
      </c>
      <c r="C2015">
        <f t="shared" si="35"/>
        <v>3.890451449942805E-8</v>
      </c>
    </row>
    <row r="2016" spans="1:3" x14ac:dyDescent="0.3">
      <c r="A2016" s="4">
        <v>0.73868055555555556</v>
      </c>
      <c r="B2016">
        <v>47</v>
      </c>
      <c r="C2016">
        <f t="shared" si="35"/>
        <v>3.890451449942805E-8</v>
      </c>
    </row>
    <row r="2017" spans="1:3" x14ac:dyDescent="0.3">
      <c r="A2017" s="4">
        <v>0.73901620370370369</v>
      </c>
      <c r="B2017">
        <v>46.9</v>
      </c>
      <c r="C2017">
        <f t="shared" si="35"/>
        <v>3.8018939632056113E-8</v>
      </c>
    </row>
    <row r="2018" spans="1:3" x14ac:dyDescent="0.3">
      <c r="A2018" s="4">
        <v>0.739375</v>
      </c>
      <c r="B2018">
        <v>46.9</v>
      </c>
      <c r="C2018">
        <f t="shared" si="35"/>
        <v>3.8018939632056113E-8</v>
      </c>
    </row>
    <row r="2019" spans="1:3" x14ac:dyDescent="0.3">
      <c r="A2019" s="4">
        <v>0.73971064814814813</v>
      </c>
      <c r="B2019">
        <v>46.9</v>
      </c>
      <c r="C2019">
        <f t="shared" si="35"/>
        <v>3.8018939632056113E-8</v>
      </c>
    </row>
    <row r="2020" spans="1:3" x14ac:dyDescent="0.3">
      <c r="A2020" s="4">
        <v>0.74006944444444445</v>
      </c>
      <c r="B2020">
        <v>46.8</v>
      </c>
      <c r="C2020">
        <f t="shared" si="35"/>
        <v>3.7153522909717246E-8</v>
      </c>
    </row>
    <row r="2021" spans="1:3" x14ac:dyDescent="0.3">
      <c r="A2021" s="4">
        <v>0.74040509259259257</v>
      </c>
      <c r="B2021">
        <v>46.8</v>
      </c>
      <c r="C2021">
        <f t="shared" si="35"/>
        <v>3.7153522909717246E-8</v>
      </c>
    </row>
    <row r="2022" spans="1:3" x14ac:dyDescent="0.3">
      <c r="A2022" s="4">
        <v>0.74075231481481485</v>
      </c>
      <c r="B2022">
        <v>46.7</v>
      </c>
      <c r="C2022">
        <f t="shared" si="35"/>
        <v>3.6307805477010135E-8</v>
      </c>
    </row>
    <row r="2023" spans="1:3" x14ac:dyDescent="0.3">
      <c r="A2023" s="4">
        <v>0.74109953703703701</v>
      </c>
      <c r="B2023">
        <v>46.7</v>
      </c>
      <c r="C2023">
        <f t="shared" si="35"/>
        <v>3.6307805477010135E-8</v>
      </c>
    </row>
    <row r="2024" spans="1:3" x14ac:dyDescent="0.3">
      <c r="A2024" s="4">
        <v>0.74144675925925929</v>
      </c>
      <c r="B2024">
        <v>46.7</v>
      </c>
      <c r="C2024">
        <f t="shared" si="35"/>
        <v>3.6307805477010135E-8</v>
      </c>
    </row>
    <row r="2025" spans="1:3" x14ac:dyDescent="0.3">
      <c r="A2025" s="4">
        <v>0.74180555555555561</v>
      </c>
      <c r="B2025">
        <v>46.7</v>
      </c>
      <c r="C2025">
        <f t="shared" si="35"/>
        <v>3.6307805477010135E-8</v>
      </c>
    </row>
    <row r="2026" spans="1:3" x14ac:dyDescent="0.3">
      <c r="A2026" s="4">
        <v>0.74214120370370373</v>
      </c>
      <c r="B2026">
        <v>46.7</v>
      </c>
      <c r="C2026">
        <f t="shared" si="35"/>
        <v>3.6307805477010135E-8</v>
      </c>
    </row>
    <row r="2027" spans="1:3" x14ac:dyDescent="0.3">
      <c r="A2027" s="4">
        <v>0.74250000000000005</v>
      </c>
      <c r="B2027">
        <v>46.6</v>
      </c>
      <c r="C2027">
        <f t="shared" si="35"/>
        <v>3.5481338923357426E-8</v>
      </c>
    </row>
    <row r="2028" spans="1:3" x14ac:dyDescent="0.3">
      <c r="A2028" s="4">
        <v>0.74284722222222221</v>
      </c>
      <c r="B2028">
        <v>46.6</v>
      </c>
      <c r="C2028">
        <f t="shared" si="35"/>
        <v>3.5481338923357426E-8</v>
      </c>
    </row>
    <row r="2029" spans="1:3" x14ac:dyDescent="0.3">
      <c r="A2029" s="4">
        <v>0.74319444444444449</v>
      </c>
      <c r="B2029">
        <v>46.5</v>
      </c>
      <c r="C2029">
        <f t="shared" si="35"/>
        <v>3.4673685045253171E-8</v>
      </c>
    </row>
    <row r="2030" spans="1:3" x14ac:dyDescent="0.3">
      <c r="A2030" s="4">
        <v>0.74354166666666666</v>
      </c>
      <c r="B2030">
        <v>46.5</v>
      </c>
      <c r="C2030">
        <f t="shared" si="35"/>
        <v>3.4673685045253171E-8</v>
      </c>
    </row>
    <row r="2031" spans="1:3" x14ac:dyDescent="0.3">
      <c r="A2031" s="4">
        <v>0.74387731481481478</v>
      </c>
      <c r="B2031">
        <v>46.5</v>
      </c>
      <c r="C2031">
        <f t="shared" si="35"/>
        <v>3.4673685045253171E-8</v>
      </c>
    </row>
    <row r="2032" spans="1:3" x14ac:dyDescent="0.3">
      <c r="A2032" s="4">
        <v>0.74422453703703706</v>
      </c>
      <c r="B2032">
        <v>46.5</v>
      </c>
      <c r="C2032">
        <f t="shared" si="35"/>
        <v>3.4673685045253171E-8</v>
      </c>
    </row>
    <row r="2033" spans="1:3" x14ac:dyDescent="0.3">
      <c r="A2033" s="4">
        <v>0.74458333333333337</v>
      </c>
      <c r="B2033">
        <v>46.4</v>
      </c>
      <c r="C2033">
        <f t="shared" si="35"/>
        <v>3.3884415613920266E-8</v>
      </c>
    </row>
    <row r="2034" spans="1:3" x14ac:dyDescent="0.3">
      <c r="A2034" s="4">
        <v>0.74493055555555554</v>
      </c>
      <c r="B2034">
        <v>46.1</v>
      </c>
      <c r="C2034">
        <f t="shared" si="35"/>
        <v>3.1622776601683699E-8</v>
      </c>
    </row>
    <row r="2035" spans="1:3" x14ac:dyDescent="0.3">
      <c r="A2035" s="4">
        <v>0.74526620370370367</v>
      </c>
      <c r="B2035">
        <v>45.6</v>
      </c>
      <c r="C2035">
        <f t="shared" si="35"/>
        <v>2.8183829312644468E-8</v>
      </c>
    </row>
    <row r="2036" spans="1:3" x14ac:dyDescent="0.3">
      <c r="A2036" s="4">
        <v>0.74562499999999998</v>
      </c>
      <c r="B2036">
        <v>45.2</v>
      </c>
      <c r="C2036">
        <f t="shared" si="35"/>
        <v>2.5703957827688676E-8</v>
      </c>
    </row>
    <row r="2037" spans="1:3" x14ac:dyDescent="0.3">
      <c r="A2037" s="4">
        <v>0.74596064814814811</v>
      </c>
      <c r="B2037">
        <v>44.7</v>
      </c>
      <c r="C2037">
        <f t="shared" si="35"/>
        <v>2.2908676527677776E-8</v>
      </c>
    </row>
    <row r="2038" spans="1:3" x14ac:dyDescent="0.3">
      <c r="A2038" s="4">
        <v>0.74630787037037039</v>
      </c>
      <c r="B2038">
        <v>44.4</v>
      </c>
      <c r="C2038">
        <f t="shared" si="35"/>
        <v>2.1379620895022368E-8</v>
      </c>
    </row>
    <row r="2039" spans="1:3" x14ac:dyDescent="0.3">
      <c r="A2039" s="4">
        <v>0.74665509259259255</v>
      </c>
      <c r="B2039">
        <v>44</v>
      </c>
      <c r="C2039">
        <f t="shared" si="35"/>
        <v>1.9498445997580434E-8</v>
      </c>
    </row>
    <row r="2040" spans="1:3" x14ac:dyDescent="0.3">
      <c r="A2040" s="2" t="s">
        <v>61</v>
      </c>
      <c r="C2040">
        <f>SUM(C1885:C2039)</f>
        <v>22.937297121515964</v>
      </c>
    </row>
    <row r="2042" spans="1:3" x14ac:dyDescent="0.3">
      <c r="A2042" s="2" t="s">
        <v>62</v>
      </c>
      <c r="C2042">
        <f>30/60*C2040</f>
        <v>11.468648560757982</v>
      </c>
    </row>
    <row r="2044" spans="1:3" x14ac:dyDescent="0.3">
      <c r="A2044" s="2" t="s">
        <v>244</v>
      </c>
    </row>
    <row r="2045" spans="1:3" x14ac:dyDescent="0.3">
      <c r="A2045" s="2" t="s">
        <v>58</v>
      </c>
      <c r="B2045" s="2" t="s">
        <v>59</v>
      </c>
      <c r="C2045" s="2" t="s">
        <v>60</v>
      </c>
    </row>
    <row r="2046" spans="1:3" x14ac:dyDescent="0.3">
      <c r="A2046" s="4">
        <v>0.50967592592592592</v>
      </c>
      <c r="B2046">
        <v>33.4</v>
      </c>
      <c r="C2046">
        <f>10^((B2046-121.1)/10)</f>
        <v>1.6982436524617417E-9</v>
      </c>
    </row>
    <row r="2047" spans="1:3" x14ac:dyDescent="0.3">
      <c r="A2047" s="4">
        <v>0.5100231481481482</v>
      </c>
      <c r="B2047">
        <v>33.5</v>
      </c>
      <c r="C2047">
        <f t="shared" ref="C2047:C2110" si="36">10^((B2047-121.1)/10)</f>
        <v>1.7378008287493727E-9</v>
      </c>
    </row>
    <row r="2048" spans="1:3" x14ac:dyDescent="0.3">
      <c r="A2048" s="4">
        <v>0.51037037037037036</v>
      </c>
      <c r="B2048">
        <v>33.5</v>
      </c>
      <c r="C2048">
        <f t="shared" si="36"/>
        <v>1.7378008287493727E-9</v>
      </c>
    </row>
    <row r="2049" spans="1:3" x14ac:dyDescent="0.3">
      <c r="A2049" s="4">
        <v>0.51071759259259264</v>
      </c>
      <c r="B2049">
        <v>34.9</v>
      </c>
      <c r="C2049">
        <f t="shared" si="36"/>
        <v>2.3988329190194922E-9</v>
      </c>
    </row>
    <row r="2050" spans="1:3" x14ac:dyDescent="0.3">
      <c r="A2050" s="4">
        <v>0.51106481481481481</v>
      </c>
      <c r="B2050">
        <v>38.1</v>
      </c>
      <c r="C2050">
        <f t="shared" si="36"/>
        <v>5.0118723362727114E-9</v>
      </c>
    </row>
    <row r="2051" spans="1:3" x14ac:dyDescent="0.3">
      <c r="A2051" s="4">
        <v>0.51141203703703708</v>
      </c>
      <c r="B2051">
        <v>42.2</v>
      </c>
      <c r="C2051">
        <f t="shared" si="36"/>
        <v>1.288249551693135E-8</v>
      </c>
    </row>
    <row r="2052" spans="1:3" x14ac:dyDescent="0.3">
      <c r="A2052" s="4">
        <v>0.51175925925925925</v>
      </c>
      <c r="B2052">
        <v>46.8</v>
      </c>
      <c r="C2052">
        <f t="shared" si="36"/>
        <v>3.7153522909717246E-8</v>
      </c>
    </row>
    <row r="2053" spans="1:3" x14ac:dyDescent="0.3">
      <c r="A2053" s="4">
        <v>0.51210648148148152</v>
      </c>
      <c r="B2053">
        <v>52.3</v>
      </c>
      <c r="C2053">
        <f t="shared" si="36"/>
        <v>1.3182567385564048E-7</v>
      </c>
    </row>
    <row r="2054" spans="1:3" x14ac:dyDescent="0.3">
      <c r="A2054" s="4">
        <v>0.51245370370370369</v>
      </c>
      <c r="B2054">
        <v>56.4</v>
      </c>
      <c r="C2054">
        <f t="shared" si="36"/>
        <v>3.3884415613920301E-7</v>
      </c>
    </row>
    <row r="2055" spans="1:3" x14ac:dyDescent="0.3">
      <c r="A2055" s="4">
        <v>0.51280092592592597</v>
      </c>
      <c r="B2055">
        <v>60.3</v>
      </c>
      <c r="C2055">
        <f t="shared" si="36"/>
        <v>8.3176377110266907E-7</v>
      </c>
    </row>
    <row r="2056" spans="1:3" x14ac:dyDescent="0.3">
      <c r="A2056" s="4">
        <v>0.51314814814814813</v>
      </c>
      <c r="B2056">
        <v>63.7</v>
      </c>
      <c r="C2056">
        <f t="shared" si="36"/>
        <v>1.819700858609983E-6</v>
      </c>
    </row>
    <row r="2057" spans="1:3" x14ac:dyDescent="0.3">
      <c r="A2057" s="4">
        <v>0.51349537037037041</v>
      </c>
      <c r="B2057">
        <v>66</v>
      </c>
      <c r="C2057">
        <f t="shared" si="36"/>
        <v>3.0902954325135885E-6</v>
      </c>
    </row>
    <row r="2058" spans="1:3" x14ac:dyDescent="0.3">
      <c r="A2058" s="4">
        <v>0.51384259259259257</v>
      </c>
      <c r="B2058">
        <v>68.099999999999994</v>
      </c>
      <c r="C2058">
        <f t="shared" si="36"/>
        <v>5.011872336272719E-6</v>
      </c>
    </row>
    <row r="2059" spans="1:3" x14ac:dyDescent="0.3">
      <c r="A2059" s="4">
        <v>0.51418981481481485</v>
      </c>
      <c r="B2059">
        <v>69.5</v>
      </c>
      <c r="C2059">
        <f t="shared" si="36"/>
        <v>6.9183097091893744E-6</v>
      </c>
    </row>
    <row r="2060" spans="1:3" x14ac:dyDescent="0.3">
      <c r="A2060" s="4">
        <v>0.51453703703703701</v>
      </c>
      <c r="B2060">
        <v>71.8</v>
      </c>
      <c r="C2060">
        <f t="shared" si="36"/>
        <v>1.1748975549395286E-5</v>
      </c>
    </row>
    <row r="2061" spans="1:3" x14ac:dyDescent="0.3">
      <c r="A2061" s="4">
        <v>0.51488425925925929</v>
      </c>
      <c r="B2061">
        <v>73</v>
      </c>
      <c r="C2061">
        <f t="shared" si="36"/>
        <v>1.5488166189124811E-5</v>
      </c>
    </row>
    <row r="2062" spans="1:3" x14ac:dyDescent="0.3">
      <c r="A2062" s="4">
        <v>0.51523148148148146</v>
      </c>
      <c r="B2062">
        <v>75.099999999999994</v>
      </c>
      <c r="C2062">
        <f t="shared" si="36"/>
        <v>2.5118864315095791E-5</v>
      </c>
    </row>
    <row r="2063" spans="1:3" x14ac:dyDescent="0.3">
      <c r="A2063" s="4">
        <v>0.51557870370370373</v>
      </c>
      <c r="B2063">
        <v>77.599999999999994</v>
      </c>
      <c r="C2063">
        <f t="shared" si="36"/>
        <v>4.4668359215096341E-5</v>
      </c>
    </row>
    <row r="2064" spans="1:3" x14ac:dyDescent="0.3">
      <c r="A2064" s="4">
        <v>0.5159259259259259</v>
      </c>
      <c r="B2064">
        <v>81.2</v>
      </c>
      <c r="C2064">
        <f t="shared" si="36"/>
        <v>1.0232929922807549E-4</v>
      </c>
    </row>
    <row r="2065" spans="1:3" x14ac:dyDescent="0.3">
      <c r="A2065" s="4">
        <v>0.51627314814814818</v>
      </c>
      <c r="B2065">
        <v>84.8</v>
      </c>
      <c r="C2065">
        <f t="shared" si="36"/>
        <v>2.3442288153199204E-4</v>
      </c>
    </row>
    <row r="2066" spans="1:3" x14ac:dyDescent="0.3">
      <c r="A2066" s="4">
        <v>0.51662037037037034</v>
      </c>
      <c r="B2066">
        <v>86.7</v>
      </c>
      <c r="C2066">
        <f t="shared" si="36"/>
        <v>3.6307805477010194E-4</v>
      </c>
    </row>
    <row r="2067" spans="1:3" x14ac:dyDescent="0.3">
      <c r="A2067" s="4">
        <v>0.51696759259259262</v>
      </c>
      <c r="B2067">
        <v>89.1</v>
      </c>
      <c r="C2067">
        <f t="shared" si="36"/>
        <v>6.3095734448019244E-4</v>
      </c>
    </row>
    <row r="2068" spans="1:3" x14ac:dyDescent="0.3">
      <c r="A2068" s="4">
        <v>0.51731481481481478</v>
      </c>
      <c r="B2068">
        <v>90.8</v>
      </c>
      <c r="C2068">
        <f t="shared" si="36"/>
        <v>9.3325430079699062E-4</v>
      </c>
    </row>
    <row r="2069" spans="1:3" x14ac:dyDescent="0.3">
      <c r="A2069" s="4">
        <v>0.51766203703703706</v>
      </c>
      <c r="B2069">
        <v>92.9</v>
      </c>
      <c r="C2069">
        <f t="shared" si="36"/>
        <v>1.5135612484362113E-3</v>
      </c>
    </row>
    <row r="2070" spans="1:3" x14ac:dyDescent="0.3">
      <c r="A2070" s="4">
        <v>0.51800925925925922</v>
      </c>
      <c r="B2070">
        <v>95.2</v>
      </c>
      <c r="C2070">
        <f t="shared" si="36"/>
        <v>2.570395782768868E-3</v>
      </c>
    </row>
    <row r="2071" spans="1:3" x14ac:dyDescent="0.3">
      <c r="A2071" s="4">
        <v>0.5183564814814815</v>
      </c>
      <c r="B2071">
        <v>97.5</v>
      </c>
      <c r="C2071">
        <f t="shared" si="36"/>
        <v>4.3651583224016653E-3</v>
      </c>
    </row>
    <row r="2072" spans="1:3" x14ac:dyDescent="0.3">
      <c r="A2072" s="4">
        <v>0.51870370370370367</v>
      </c>
      <c r="B2072">
        <v>99.5</v>
      </c>
      <c r="C2072">
        <f t="shared" si="36"/>
        <v>6.9183097091893722E-3</v>
      </c>
    </row>
    <row r="2073" spans="1:3" x14ac:dyDescent="0.3">
      <c r="A2073" s="4">
        <v>0.51905092592592594</v>
      </c>
      <c r="B2073">
        <v>100.9</v>
      </c>
      <c r="C2073">
        <f t="shared" si="36"/>
        <v>9.5499258602143814E-3</v>
      </c>
    </row>
    <row r="2074" spans="1:3" x14ac:dyDescent="0.3">
      <c r="A2074" s="4">
        <v>0.51939814814814811</v>
      </c>
      <c r="B2074">
        <v>102.1</v>
      </c>
      <c r="C2074">
        <f t="shared" si="36"/>
        <v>1.2589254117941664E-2</v>
      </c>
    </row>
    <row r="2075" spans="1:3" x14ac:dyDescent="0.3">
      <c r="A2075" s="4">
        <v>0.51974537037037039</v>
      </c>
      <c r="B2075">
        <v>103.1</v>
      </c>
      <c r="C2075">
        <f t="shared" si="36"/>
        <v>1.5848931924611124E-2</v>
      </c>
    </row>
    <row r="2076" spans="1:3" x14ac:dyDescent="0.3">
      <c r="A2076" s="4">
        <v>0.52009259259259255</v>
      </c>
      <c r="B2076">
        <v>104.1</v>
      </c>
      <c r="C2076">
        <f t="shared" si="36"/>
        <v>1.9952623149688792E-2</v>
      </c>
    </row>
    <row r="2077" spans="1:3" x14ac:dyDescent="0.3">
      <c r="A2077" s="4">
        <v>0.52043981481481483</v>
      </c>
      <c r="B2077">
        <v>104.7</v>
      </c>
      <c r="C2077">
        <f t="shared" si="36"/>
        <v>2.2908676527677762E-2</v>
      </c>
    </row>
    <row r="2078" spans="1:3" x14ac:dyDescent="0.3">
      <c r="A2078" s="4">
        <v>0.52078703703703699</v>
      </c>
      <c r="B2078">
        <v>105.4</v>
      </c>
      <c r="C2078">
        <f t="shared" si="36"/>
        <v>2.6915348039269215E-2</v>
      </c>
    </row>
    <row r="2079" spans="1:3" x14ac:dyDescent="0.3">
      <c r="A2079" s="4">
        <v>0.52113425925925927</v>
      </c>
      <c r="B2079">
        <v>106</v>
      </c>
      <c r="C2079">
        <f t="shared" si="36"/>
        <v>3.0902954325135939E-2</v>
      </c>
    </row>
    <row r="2080" spans="1:3" x14ac:dyDescent="0.3">
      <c r="A2080" s="4">
        <v>0.52148148148148143</v>
      </c>
      <c r="B2080">
        <v>106.6</v>
      </c>
      <c r="C2080">
        <f t="shared" si="36"/>
        <v>3.548133892335753E-2</v>
      </c>
    </row>
    <row r="2081" spans="1:3" x14ac:dyDescent="0.3">
      <c r="A2081" s="4">
        <v>0.52182870370370371</v>
      </c>
      <c r="B2081">
        <v>107.1</v>
      </c>
      <c r="C2081">
        <f t="shared" si="36"/>
        <v>3.9810717055349727E-2</v>
      </c>
    </row>
    <row r="2082" spans="1:3" x14ac:dyDescent="0.3">
      <c r="A2082" s="4">
        <v>0.52217592592592588</v>
      </c>
      <c r="B2082">
        <v>107.7</v>
      </c>
      <c r="C2082">
        <f t="shared" si="36"/>
        <v>4.5708818961487582E-2</v>
      </c>
    </row>
    <row r="2083" spans="1:3" x14ac:dyDescent="0.3">
      <c r="A2083" s="4">
        <v>0.52252314814814815</v>
      </c>
      <c r="B2083">
        <v>108.2</v>
      </c>
      <c r="C2083">
        <f t="shared" si="36"/>
        <v>5.1286138399136566E-2</v>
      </c>
    </row>
    <row r="2084" spans="1:3" x14ac:dyDescent="0.3">
      <c r="A2084" s="4">
        <v>0.52287037037037032</v>
      </c>
      <c r="B2084">
        <v>108.8</v>
      </c>
      <c r="C2084">
        <f t="shared" si="36"/>
        <v>5.8884365535558904E-2</v>
      </c>
    </row>
    <row r="2085" spans="1:3" x14ac:dyDescent="0.3">
      <c r="A2085" s="4">
        <v>0.5232175925925926</v>
      </c>
      <c r="B2085">
        <v>109.4</v>
      </c>
      <c r="C2085">
        <f t="shared" si="36"/>
        <v>6.7608297539198337E-2</v>
      </c>
    </row>
    <row r="2086" spans="1:3" x14ac:dyDescent="0.3">
      <c r="A2086" s="4">
        <v>0.52356481481481476</v>
      </c>
      <c r="B2086">
        <v>109.9</v>
      </c>
      <c r="C2086">
        <f t="shared" si="36"/>
        <v>7.585775750291858E-2</v>
      </c>
    </row>
    <row r="2087" spans="1:3" x14ac:dyDescent="0.3">
      <c r="A2087" s="4">
        <v>0.52391203703703704</v>
      </c>
      <c r="B2087">
        <v>110.4</v>
      </c>
      <c r="C2087">
        <f t="shared" si="36"/>
        <v>8.5113803820237838E-2</v>
      </c>
    </row>
    <row r="2088" spans="1:3" x14ac:dyDescent="0.3">
      <c r="A2088" s="4">
        <v>0.52425925925925931</v>
      </c>
      <c r="B2088">
        <v>111</v>
      </c>
      <c r="C2088">
        <f t="shared" si="36"/>
        <v>9.7723722095581195E-2</v>
      </c>
    </row>
    <row r="2089" spans="1:3" x14ac:dyDescent="0.3">
      <c r="A2089" s="4">
        <v>0.52460648148148148</v>
      </c>
      <c r="B2089">
        <v>111.4</v>
      </c>
      <c r="C2089">
        <f t="shared" si="36"/>
        <v>0.10715193052376093</v>
      </c>
    </row>
    <row r="2090" spans="1:3" x14ac:dyDescent="0.3">
      <c r="A2090" s="4">
        <v>0.52495370370370376</v>
      </c>
      <c r="B2090">
        <v>111.9</v>
      </c>
      <c r="C2090">
        <f t="shared" si="36"/>
        <v>0.12022644346174159</v>
      </c>
    </row>
    <row r="2091" spans="1:3" x14ac:dyDescent="0.3">
      <c r="A2091" s="4">
        <v>0.52530092592592592</v>
      </c>
      <c r="B2091">
        <v>112.4</v>
      </c>
      <c r="C2091">
        <f t="shared" si="36"/>
        <v>0.13489628825916572</v>
      </c>
    </row>
    <row r="2092" spans="1:3" x14ac:dyDescent="0.3">
      <c r="A2092" s="4">
        <v>0.5256481481481482</v>
      </c>
      <c r="B2092">
        <v>112.9</v>
      </c>
      <c r="C2092">
        <f t="shared" si="36"/>
        <v>0.15135612484362121</v>
      </c>
    </row>
    <row r="2093" spans="1:3" x14ac:dyDescent="0.3">
      <c r="A2093" s="4">
        <v>0.52599537037037036</v>
      </c>
      <c r="B2093">
        <v>113.4</v>
      </c>
      <c r="C2093">
        <f t="shared" si="36"/>
        <v>0.16982436524617484</v>
      </c>
    </row>
    <row r="2094" spans="1:3" x14ac:dyDescent="0.3">
      <c r="A2094" s="4">
        <v>0.52634259259259264</v>
      </c>
      <c r="B2094">
        <v>113.8</v>
      </c>
      <c r="C2094">
        <f t="shared" si="36"/>
        <v>0.1862087136662868</v>
      </c>
    </row>
    <row r="2095" spans="1:3" x14ac:dyDescent="0.3">
      <c r="A2095" s="4">
        <v>0.52668981481481481</v>
      </c>
      <c r="B2095">
        <v>114.4</v>
      </c>
      <c r="C2095">
        <f t="shared" si="36"/>
        <v>0.21379620895022378</v>
      </c>
    </row>
    <row r="2096" spans="1:3" x14ac:dyDescent="0.3">
      <c r="A2096" s="4">
        <v>0.52703703703703708</v>
      </c>
      <c r="B2096">
        <v>114.9</v>
      </c>
      <c r="C2096">
        <f t="shared" si="36"/>
        <v>0.23988329190194962</v>
      </c>
    </row>
    <row r="2097" spans="1:3" x14ac:dyDescent="0.3">
      <c r="A2097" s="4">
        <v>0.52738425925925925</v>
      </c>
      <c r="B2097">
        <v>115.3</v>
      </c>
      <c r="C2097">
        <f t="shared" si="36"/>
        <v>0.26302679918953831</v>
      </c>
    </row>
    <row r="2098" spans="1:3" x14ac:dyDescent="0.3">
      <c r="A2098" s="4">
        <v>0.52773148148148152</v>
      </c>
      <c r="B2098">
        <v>115.8</v>
      </c>
      <c r="C2098">
        <f t="shared" si="36"/>
        <v>0.29512092266663875</v>
      </c>
    </row>
    <row r="2099" spans="1:3" x14ac:dyDescent="0.3">
      <c r="A2099" s="4">
        <v>0.52807870370370369</v>
      </c>
      <c r="B2099">
        <v>116.2</v>
      </c>
      <c r="C2099">
        <f t="shared" si="36"/>
        <v>0.32359365692962883</v>
      </c>
    </row>
    <row r="2100" spans="1:3" x14ac:dyDescent="0.3">
      <c r="A2100" s="4">
        <v>0.52842592592592597</v>
      </c>
      <c r="B2100">
        <v>116.4</v>
      </c>
      <c r="C2100">
        <f t="shared" si="36"/>
        <v>0.33884415613920338</v>
      </c>
    </row>
    <row r="2101" spans="1:3" x14ac:dyDescent="0.3">
      <c r="A2101" s="4">
        <v>0.52877314814814813</v>
      </c>
      <c r="B2101">
        <v>115.6</v>
      </c>
      <c r="C2101">
        <f t="shared" si="36"/>
        <v>0.28183829312644532</v>
      </c>
    </row>
    <row r="2102" spans="1:3" x14ac:dyDescent="0.3">
      <c r="A2102" s="4">
        <v>0.52912037037037041</v>
      </c>
      <c r="B2102">
        <v>115.4</v>
      </c>
      <c r="C2102">
        <f t="shared" si="36"/>
        <v>0.26915348039269227</v>
      </c>
    </row>
    <row r="2103" spans="1:3" x14ac:dyDescent="0.3">
      <c r="A2103" s="4">
        <v>0.52946759259259257</v>
      </c>
      <c r="B2103">
        <v>117.2</v>
      </c>
      <c r="C2103">
        <f t="shared" si="36"/>
        <v>0.40738027780411351</v>
      </c>
    </row>
    <row r="2104" spans="1:3" x14ac:dyDescent="0.3">
      <c r="A2104" s="4">
        <v>0.52981481481481485</v>
      </c>
      <c r="B2104">
        <v>117.9</v>
      </c>
      <c r="C2104">
        <f t="shared" si="36"/>
        <v>0.47863009232263964</v>
      </c>
    </row>
    <row r="2105" spans="1:3" x14ac:dyDescent="0.3">
      <c r="A2105" s="4">
        <v>0.53016203703703701</v>
      </c>
      <c r="B2105">
        <v>117.1</v>
      </c>
      <c r="C2105">
        <f t="shared" si="36"/>
        <v>0.3981071705534972</v>
      </c>
    </row>
    <row r="2106" spans="1:3" x14ac:dyDescent="0.3">
      <c r="A2106" s="4">
        <v>0.53050925925925929</v>
      </c>
      <c r="B2106">
        <v>116.5</v>
      </c>
      <c r="C2106">
        <f t="shared" si="36"/>
        <v>0.34673685045253205</v>
      </c>
    </row>
    <row r="2107" spans="1:3" x14ac:dyDescent="0.3">
      <c r="A2107" s="4">
        <v>0.53085648148148146</v>
      </c>
      <c r="B2107">
        <v>115.9</v>
      </c>
      <c r="C2107">
        <f t="shared" si="36"/>
        <v>0.30199517204020232</v>
      </c>
    </row>
    <row r="2108" spans="1:3" x14ac:dyDescent="0.3">
      <c r="A2108" s="4">
        <v>0.53120370370370373</v>
      </c>
      <c r="B2108">
        <v>115.3</v>
      </c>
      <c r="C2108">
        <f t="shared" si="36"/>
        <v>0.26302679918953831</v>
      </c>
    </row>
    <row r="2109" spans="1:3" x14ac:dyDescent="0.3">
      <c r="A2109" s="4">
        <v>0.5315509259259259</v>
      </c>
      <c r="B2109">
        <v>117</v>
      </c>
      <c r="C2109">
        <f t="shared" si="36"/>
        <v>0.38904514499428111</v>
      </c>
    </row>
    <row r="2110" spans="1:3" x14ac:dyDescent="0.3">
      <c r="A2110" s="4">
        <v>0.53189814814814818</v>
      </c>
      <c r="B2110">
        <v>118.8</v>
      </c>
      <c r="C2110">
        <f t="shared" si="36"/>
        <v>0.58884365535558936</v>
      </c>
    </row>
    <row r="2111" spans="1:3" x14ac:dyDescent="0.3">
      <c r="A2111" s="4">
        <v>0.53224537037037034</v>
      </c>
      <c r="B2111">
        <v>118.2</v>
      </c>
      <c r="C2111">
        <f t="shared" ref="C2111:C2174" si="37">10^((B2111-121.1)/10)</f>
        <v>0.51286138399136583</v>
      </c>
    </row>
    <row r="2112" spans="1:3" x14ac:dyDescent="0.3">
      <c r="A2112" s="4">
        <v>0.53259259259259262</v>
      </c>
      <c r="B2112">
        <v>117.5</v>
      </c>
      <c r="C2112">
        <f t="shared" si="37"/>
        <v>0.43651583224016655</v>
      </c>
    </row>
    <row r="2113" spans="1:3" x14ac:dyDescent="0.3">
      <c r="A2113" s="4">
        <v>0.53293981481481478</v>
      </c>
      <c r="B2113">
        <v>117</v>
      </c>
      <c r="C2113">
        <f t="shared" si="37"/>
        <v>0.38904514499428111</v>
      </c>
    </row>
    <row r="2114" spans="1:3" x14ac:dyDescent="0.3">
      <c r="A2114" s="4">
        <v>0.53328703703703706</v>
      </c>
      <c r="B2114">
        <v>116.5</v>
      </c>
      <c r="C2114">
        <f t="shared" si="37"/>
        <v>0.34673685045253205</v>
      </c>
    </row>
    <row r="2115" spans="1:3" x14ac:dyDescent="0.3">
      <c r="A2115" s="4">
        <v>0.53363425925925922</v>
      </c>
      <c r="B2115">
        <v>116.1</v>
      </c>
      <c r="C2115">
        <f t="shared" si="37"/>
        <v>0.31622776601683794</v>
      </c>
    </row>
    <row r="2116" spans="1:3" x14ac:dyDescent="0.3">
      <c r="A2116" s="4">
        <v>0.5339814814814815</v>
      </c>
      <c r="B2116">
        <v>115.5</v>
      </c>
      <c r="C2116">
        <f t="shared" si="37"/>
        <v>0.27542287033381702</v>
      </c>
    </row>
    <row r="2117" spans="1:3" x14ac:dyDescent="0.3">
      <c r="A2117" s="4">
        <v>0.53432870370370367</v>
      </c>
      <c r="B2117">
        <v>116.2</v>
      </c>
      <c r="C2117">
        <f t="shared" si="37"/>
        <v>0.32359365692962883</v>
      </c>
    </row>
    <row r="2118" spans="1:3" x14ac:dyDescent="0.3">
      <c r="A2118" s="4">
        <v>0.53467592592592594</v>
      </c>
      <c r="B2118">
        <v>118.3</v>
      </c>
      <c r="C2118">
        <f t="shared" si="37"/>
        <v>0.52480746024977298</v>
      </c>
    </row>
    <row r="2119" spans="1:3" x14ac:dyDescent="0.3">
      <c r="A2119" s="4">
        <v>0.53502314814814811</v>
      </c>
      <c r="B2119">
        <v>118.4</v>
      </c>
      <c r="C2119">
        <f t="shared" si="37"/>
        <v>0.53703179637025411</v>
      </c>
    </row>
    <row r="2120" spans="1:3" x14ac:dyDescent="0.3">
      <c r="A2120" s="4">
        <v>0.53537037037037039</v>
      </c>
      <c r="B2120">
        <v>117.7</v>
      </c>
      <c r="C2120">
        <f t="shared" si="37"/>
        <v>0.45708818961487585</v>
      </c>
    </row>
    <row r="2121" spans="1:3" x14ac:dyDescent="0.3">
      <c r="A2121" s="4">
        <v>0.53571759259259255</v>
      </c>
      <c r="B2121">
        <v>117.3</v>
      </c>
      <c r="C2121">
        <f t="shared" si="37"/>
        <v>0.41686938347033564</v>
      </c>
    </row>
    <row r="2122" spans="1:3" x14ac:dyDescent="0.3">
      <c r="A2122" s="4">
        <v>0.53606481481481483</v>
      </c>
      <c r="B2122">
        <v>116.8</v>
      </c>
      <c r="C2122">
        <f t="shared" si="37"/>
        <v>0.37153522909717274</v>
      </c>
    </row>
    <row r="2123" spans="1:3" x14ac:dyDescent="0.3">
      <c r="A2123" s="4">
        <v>0.53641203703703699</v>
      </c>
      <c r="B2123">
        <v>116.4</v>
      </c>
      <c r="C2123">
        <f t="shared" si="37"/>
        <v>0.33884415613920338</v>
      </c>
    </row>
    <row r="2124" spans="1:3" x14ac:dyDescent="0.3">
      <c r="A2124" s="4">
        <v>0.53675925925925927</v>
      </c>
      <c r="B2124">
        <v>115.9</v>
      </c>
      <c r="C2124">
        <f t="shared" si="37"/>
        <v>0.30199517204020232</v>
      </c>
    </row>
    <row r="2125" spans="1:3" x14ac:dyDescent="0.3">
      <c r="A2125" s="4">
        <v>0.53710648148148143</v>
      </c>
      <c r="B2125">
        <v>115.5</v>
      </c>
      <c r="C2125">
        <f t="shared" si="37"/>
        <v>0.27542287033381702</v>
      </c>
    </row>
    <row r="2126" spans="1:3" x14ac:dyDescent="0.3">
      <c r="A2126" s="4">
        <v>0.53745370370370371</v>
      </c>
      <c r="B2126">
        <v>116.8</v>
      </c>
      <c r="C2126">
        <f t="shared" si="37"/>
        <v>0.37153522909717274</v>
      </c>
    </row>
    <row r="2127" spans="1:3" x14ac:dyDescent="0.3">
      <c r="A2127" s="4">
        <v>0.53780092592592588</v>
      </c>
      <c r="B2127">
        <v>118.8</v>
      </c>
      <c r="C2127">
        <f t="shared" si="37"/>
        <v>0.58884365535558936</v>
      </c>
    </row>
    <row r="2128" spans="1:3" x14ac:dyDescent="0.3">
      <c r="A2128" s="4">
        <v>0.53814814814814815</v>
      </c>
      <c r="B2128">
        <v>118.4</v>
      </c>
      <c r="C2128">
        <f t="shared" si="37"/>
        <v>0.53703179637025411</v>
      </c>
    </row>
    <row r="2129" spans="1:3" x14ac:dyDescent="0.3">
      <c r="A2129" s="4">
        <v>0.53849537037037032</v>
      </c>
      <c r="B2129">
        <v>117.8</v>
      </c>
      <c r="C2129">
        <f t="shared" si="37"/>
        <v>0.46773514128719845</v>
      </c>
    </row>
    <row r="2130" spans="1:3" x14ac:dyDescent="0.3">
      <c r="A2130" s="4">
        <v>0.5388425925925926</v>
      </c>
      <c r="B2130">
        <v>117.5</v>
      </c>
      <c r="C2130">
        <f t="shared" si="37"/>
        <v>0.43651583224016655</v>
      </c>
    </row>
    <row r="2131" spans="1:3" x14ac:dyDescent="0.3">
      <c r="A2131" s="4">
        <v>0.53918981481481476</v>
      </c>
      <c r="B2131">
        <v>117</v>
      </c>
      <c r="C2131">
        <f t="shared" si="37"/>
        <v>0.38904514499428111</v>
      </c>
    </row>
    <row r="2132" spans="1:3" x14ac:dyDescent="0.3">
      <c r="A2132" s="4">
        <v>0.53953703703703704</v>
      </c>
      <c r="B2132">
        <v>116.5</v>
      </c>
      <c r="C2132">
        <f t="shared" si="37"/>
        <v>0.34673685045253205</v>
      </c>
    </row>
    <row r="2133" spans="1:3" x14ac:dyDescent="0.3">
      <c r="A2133" s="4">
        <v>0.53988425925925931</v>
      </c>
      <c r="B2133">
        <v>116.2</v>
      </c>
      <c r="C2133">
        <f t="shared" si="37"/>
        <v>0.32359365692962883</v>
      </c>
    </row>
    <row r="2134" spans="1:3" x14ac:dyDescent="0.3">
      <c r="A2134" s="4">
        <v>0.54023148148148148</v>
      </c>
      <c r="B2134">
        <v>115.9</v>
      </c>
      <c r="C2134">
        <f t="shared" si="37"/>
        <v>0.30199517204020232</v>
      </c>
    </row>
    <row r="2135" spans="1:3" x14ac:dyDescent="0.3">
      <c r="A2135" s="4">
        <v>0.54057870370370376</v>
      </c>
      <c r="B2135">
        <v>115.6</v>
      </c>
      <c r="C2135">
        <f t="shared" si="37"/>
        <v>0.28183829312644532</v>
      </c>
    </row>
    <row r="2136" spans="1:3" x14ac:dyDescent="0.3">
      <c r="A2136" s="4">
        <v>0.54092592592592592</v>
      </c>
      <c r="B2136">
        <v>117.3</v>
      </c>
      <c r="C2136">
        <f t="shared" si="37"/>
        <v>0.41686938347033564</v>
      </c>
    </row>
    <row r="2137" spans="1:3" x14ac:dyDescent="0.3">
      <c r="A2137" s="4">
        <v>0.5412731481481482</v>
      </c>
      <c r="B2137">
        <v>118.8</v>
      </c>
      <c r="C2137">
        <f t="shared" si="37"/>
        <v>0.58884365535558936</v>
      </c>
    </row>
    <row r="2138" spans="1:3" x14ac:dyDescent="0.3">
      <c r="A2138" s="4">
        <v>0.54162037037037036</v>
      </c>
      <c r="B2138">
        <v>118.3</v>
      </c>
      <c r="C2138">
        <f t="shared" si="37"/>
        <v>0.52480746024977298</v>
      </c>
    </row>
    <row r="2139" spans="1:3" x14ac:dyDescent="0.3">
      <c r="A2139" s="4">
        <v>0.54196759259259264</v>
      </c>
      <c r="B2139">
        <v>117.7</v>
      </c>
      <c r="C2139">
        <f t="shared" si="37"/>
        <v>0.45708818961487585</v>
      </c>
    </row>
    <row r="2140" spans="1:3" x14ac:dyDescent="0.3">
      <c r="A2140" s="4">
        <v>0.54231481481481481</v>
      </c>
      <c r="B2140">
        <v>117.3</v>
      </c>
      <c r="C2140">
        <f t="shared" si="37"/>
        <v>0.41686938347033564</v>
      </c>
    </row>
    <row r="2141" spans="1:3" x14ac:dyDescent="0.3">
      <c r="A2141" s="4">
        <v>0.54266203703703708</v>
      </c>
      <c r="B2141">
        <v>117</v>
      </c>
      <c r="C2141">
        <f t="shared" si="37"/>
        <v>0.38904514499428111</v>
      </c>
    </row>
    <row r="2142" spans="1:3" x14ac:dyDescent="0.3">
      <c r="A2142" s="4">
        <v>0.54300925925925925</v>
      </c>
      <c r="B2142">
        <v>116.6</v>
      </c>
      <c r="C2142">
        <f t="shared" si="37"/>
        <v>0.35481338923357542</v>
      </c>
    </row>
    <row r="2143" spans="1:3" x14ac:dyDescent="0.3">
      <c r="A2143" s="4">
        <v>0.54335648148148152</v>
      </c>
      <c r="B2143">
        <v>116.3</v>
      </c>
      <c r="C2143">
        <f t="shared" si="37"/>
        <v>0.33113112148259127</v>
      </c>
    </row>
    <row r="2144" spans="1:3" x14ac:dyDescent="0.3">
      <c r="A2144" s="4">
        <v>0.54370370370370369</v>
      </c>
      <c r="B2144">
        <v>116</v>
      </c>
      <c r="C2144">
        <f t="shared" si="37"/>
        <v>0.3090295432513594</v>
      </c>
    </row>
    <row r="2145" spans="1:3" x14ac:dyDescent="0.3">
      <c r="A2145" s="4">
        <v>0.54405092592592597</v>
      </c>
      <c r="B2145">
        <v>115.6</v>
      </c>
      <c r="C2145">
        <f t="shared" si="37"/>
        <v>0.28183829312644532</v>
      </c>
    </row>
    <row r="2146" spans="1:3" x14ac:dyDescent="0.3">
      <c r="A2146" s="4">
        <v>0.54439814814814813</v>
      </c>
      <c r="B2146">
        <v>116.3</v>
      </c>
      <c r="C2146">
        <f t="shared" si="37"/>
        <v>0.33113112148259127</v>
      </c>
    </row>
    <row r="2147" spans="1:3" x14ac:dyDescent="0.3">
      <c r="A2147" s="4">
        <v>0.54474537037037041</v>
      </c>
      <c r="B2147">
        <v>118.3</v>
      </c>
      <c r="C2147">
        <f t="shared" si="37"/>
        <v>0.52480746024977298</v>
      </c>
    </row>
    <row r="2148" spans="1:3" x14ac:dyDescent="0.3">
      <c r="A2148" s="4">
        <v>0.54509259259259257</v>
      </c>
      <c r="B2148">
        <v>118.2</v>
      </c>
      <c r="C2148">
        <f t="shared" si="37"/>
        <v>0.51286138399136583</v>
      </c>
    </row>
    <row r="2149" spans="1:3" x14ac:dyDescent="0.3">
      <c r="A2149" s="4">
        <v>0.54543981481481485</v>
      </c>
      <c r="B2149">
        <v>117.7</v>
      </c>
      <c r="C2149">
        <f t="shared" si="37"/>
        <v>0.45708818961487585</v>
      </c>
    </row>
    <row r="2150" spans="1:3" x14ac:dyDescent="0.3">
      <c r="A2150" s="4">
        <v>0.54578703703703701</v>
      </c>
      <c r="B2150">
        <v>109.3</v>
      </c>
      <c r="C2150">
        <f t="shared" si="37"/>
        <v>6.6069344800759641E-2</v>
      </c>
    </row>
    <row r="2151" spans="1:3" x14ac:dyDescent="0.3">
      <c r="A2151" s="4">
        <v>0.54613425925925929</v>
      </c>
      <c r="B2151">
        <v>98.6</v>
      </c>
      <c r="C2151">
        <f t="shared" si="37"/>
        <v>5.6234132519034866E-3</v>
      </c>
    </row>
    <row r="2152" spans="1:3" x14ac:dyDescent="0.3">
      <c r="A2152" s="4">
        <v>0.54648148148148146</v>
      </c>
      <c r="B2152">
        <v>86.8</v>
      </c>
      <c r="C2152">
        <f t="shared" si="37"/>
        <v>3.7153522909717248E-4</v>
      </c>
    </row>
    <row r="2153" spans="1:3" x14ac:dyDescent="0.3">
      <c r="A2153" s="4">
        <v>0.54682870370370373</v>
      </c>
      <c r="B2153">
        <v>82.3</v>
      </c>
      <c r="C2153">
        <f t="shared" si="37"/>
        <v>1.3182567385564069E-4</v>
      </c>
    </row>
    <row r="2154" spans="1:3" x14ac:dyDescent="0.3">
      <c r="A2154" s="4">
        <v>0.5471759259259259</v>
      </c>
      <c r="B2154">
        <v>79.2</v>
      </c>
      <c r="C2154">
        <f t="shared" si="37"/>
        <v>6.4565422903465613E-5</v>
      </c>
    </row>
    <row r="2155" spans="1:3" x14ac:dyDescent="0.3">
      <c r="A2155" s="4">
        <v>0.54752314814814818</v>
      </c>
      <c r="B2155">
        <v>76.400000000000006</v>
      </c>
      <c r="C2155">
        <f t="shared" si="37"/>
        <v>3.3884415613920317E-5</v>
      </c>
    </row>
    <row r="2156" spans="1:3" x14ac:dyDescent="0.3">
      <c r="A2156" s="4">
        <v>0.54787037037037034</v>
      </c>
      <c r="B2156">
        <v>73.3</v>
      </c>
      <c r="C2156">
        <f t="shared" si="37"/>
        <v>1.6595869074375629E-5</v>
      </c>
    </row>
    <row r="2157" spans="1:3" x14ac:dyDescent="0.3">
      <c r="A2157" s="4">
        <v>0.54821759259259262</v>
      </c>
      <c r="B2157">
        <v>71.099999999999994</v>
      </c>
      <c r="C2157">
        <f t="shared" si="37"/>
        <v>1.0000000000000001E-5</v>
      </c>
    </row>
    <row r="2158" spans="1:3" x14ac:dyDescent="0.3">
      <c r="A2158" s="4">
        <v>0.54856481481481478</v>
      </c>
      <c r="B2158">
        <v>69.099999999999994</v>
      </c>
      <c r="C2158">
        <f t="shared" si="37"/>
        <v>6.3095734448019212E-6</v>
      </c>
    </row>
    <row r="2159" spans="1:3" x14ac:dyDescent="0.3">
      <c r="A2159" s="4">
        <v>0.54891203703703706</v>
      </c>
      <c r="B2159">
        <v>67</v>
      </c>
      <c r="C2159">
        <f t="shared" si="37"/>
        <v>3.8904514499428068E-6</v>
      </c>
    </row>
    <row r="2160" spans="1:3" x14ac:dyDescent="0.3">
      <c r="A2160" s="4">
        <v>0.54925925925925922</v>
      </c>
      <c r="B2160">
        <v>65.2</v>
      </c>
      <c r="C2160">
        <f t="shared" si="37"/>
        <v>2.5703957827688685E-6</v>
      </c>
    </row>
    <row r="2161" spans="1:3" x14ac:dyDescent="0.3">
      <c r="A2161" s="4">
        <v>0.5496064814814815</v>
      </c>
      <c r="B2161">
        <v>63.6</v>
      </c>
      <c r="C2161">
        <f t="shared" si="37"/>
        <v>1.7782794100389257E-6</v>
      </c>
    </row>
    <row r="2162" spans="1:3" x14ac:dyDescent="0.3">
      <c r="A2162" s="4">
        <v>0.54995370370370367</v>
      </c>
      <c r="B2162">
        <v>62.3</v>
      </c>
      <c r="C2162">
        <f t="shared" si="37"/>
        <v>1.3182567385564063E-6</v>
      </c>
    </row>
    <row r="2163" spans="1:3" x14ac:dyDescent="0.3">
      <c r="A2163" s="4">
        <v>0.55030092592592594</v>
      </c>
      <c r="B2163">
        <v>61</v>
      </c>
      <c r="C2163">
        <f t="shared" si="37"/>
        <v>9.7723722095580961E-7</v>
      </c>
    </row>
    <row r="2164" spans="1:3" x14ac:dyDescent="0.3">
      <c r="A2164" s="4">
        <v>0.55064814814814811</v>
      </c>
      <c r="B2164">
        <v>59.7</v>
      </c>
      <c r="C2164">
        <f t="shared" si="37"/>
        <v>7.2443596007499143E-7</v>
      </c>
    </row>
    <row r="2165" spans="1:3" x14ac:dyDescent="0.3">
      <c r="A2165" s="4">
        <v>0.55099537037037039</v>
      </c>
      <c r="B2165">
        <v>58.6</v>
      </c>
      <c r="C2165">
        <f t="shared" si="37"/>
        <v>5.6234132519034967E-7</v>
      </c>
    </row>
    <row r="2166" spans="1:3" x14ac:dyDescent="0.3">
      <c r="A2166" s="4">
        <v>0.55134259259259255</v>
      </c>
      <c r="B2166">
        <v>57.6</v>
      </c>
      <c r="C2166">
        <f t="shared" si="37"/>
        <v>4.4668359215096327E-7</v>
      </c>
    </row>
    <row r="2167" spans="1:3" x14ac:dyDescent="0.3">
      <c r="A2167" s="4">
        <v>0.55168981481481483</v>
      </c>
      <c r="B2167">
        <v>56.7</v>
      </c>
      <c r="C2167">
        <f t="shared" si="37"/>
        <v>3.630780547701011E-7</v>
      </c>
    </row>
    <row r="2168" spans="1:3" x14ac:dyDescent="0.3">
      <c r="A2168" s="4">
        <v>0.55203703703703699</v>
      </c>
      <c r="B2168">
        <v>55.8</v>
      </c>
      <c r="C2168">
        <f t="shared" si="37"/>
        <v>2.9512092266663867E-7</v>
      </c>
    </row>
    <row r="2169" spans="1:3" x14ac:dyDescent="0.3">
      <c r="A2169" s="4">
        <v>0.55238425925925927</v>
      </c>
      <c r="B2169">
        <v>55</v>
      </c>
      <c r="C2169">
        <f t="shared" si="37"/>
        <v>2.4547089156850283E-7</v>
      </c>
    </row>
    <row r="2170" spans="1:3" x14ac:dyDescent="0.3">
      <c r="A2170" s="4">
        <v>0.55273148148148143</v>
      </c>
      <c r="B2170">
        <v>54.3</v>
      </c>
      <c r="C2170">
        <f t="shared" si="37"/>
        <v>2.089296130854039E-7</v>
      </c>
    </row>
    <row r="2171" spans="1:3" x14ac:dyDescent="0.3">
      <c r="A2171" s="4">
        <v>0.55307870370370371</v>
      </c>
      <c r="B2171">
        <v>53.5</v>
      </c>
      <c r="C2171">
        <f t="shared" si="37"/>
        <v>1.7378008287493735E-7</v>
      </c>
    </row>
    <row r="2172" spans="1:3" x14ac:dyDescent="0.3">
      <c r="A2172" s="4">
        <v>0.55342592592592588</v>
      </c>
      <c r="B2172">
        <v>52.8</v>
      </c>
      <c r="C2172">
        <f t="shared" si="37"/>
        <v>1.479108388168204E-7</v>
      </c>
    </row>
    <row r="2173" spans="1:3" x14ac:dyDescent="0.3">
      <c r="A2173" s="4">
        <v>0.55377314814814815</v>
      </c>
      <c r="B2173">
        <v>52</v>
      </c>
      <c r="C2173">
        <f t="shared" si="37"/>
        <v>1.2302687708123817E-7</v>
      </c>
    </row>
    <row r="2174" spans="1:3" x14ac:dyDescent="0.3">
      <c r="A2174" s="4">
        <v>0.55412037037037032</v>
      </c>
      <c r="B2174">
        <v>51.3</v>
      </c>
      <c r="C2174">
        <f t="shared" si="37"/>
        <v>1.0471285480508987E-7</v>
      </c>
    </row>
    <row r="2175" spans="1:3" x14ac:dyDescent="0.3">
      <c r="A2175" s="4">
        <v>0.5544675925925926</v>
      </c>
      <c r="B2175">
        <v>50.8</v>
      </c>
      <c r="C2175">
        <f t="shared" ref="C2175:C2200" si="38">10^((B2175-121.1)/10)</f>
        <v>9.3325430079699072E-8</v>
      </c>
    </row>
    <row r="2176" spans="1:3" x14ac:dyDescent="0.3">
      <c r="A2176" s="4">
        <v>0.55481481481481476</v>
      </c>
      <c r="B2176">
        <v>50.2</v>
      </c>
      <c r="C2176">
        <f t="shared" si="38"/>
        <v>8.128305161640995E-8</v>
      </c>
    </row>
    <row r="2177" spans="1:3" x14ac:dyDescent="0.3">
      <c r="A2177" s="4">
        <v>0.55516203703703704</v>
      </c>
      <c r="B2177">
        <v>49.8</v>
      </c>
      <c r="C2177">
        <f t="shared" si="38"/>
        <v>7.413102413009154E-8</v>
      </c>
    </row>
    <row r="2178" spans="1:3" x14ac:dyDescent="0.3">
      <c r="A2178" s="4">
        <v>0.55550925925925931</v>
      </c>
      <c r="B2178">
        <v>49.3</v>
      </c>
      <c r="C2178">
        <f t="shared" si="38"/>
        <v>6.606934480075943E-8</v>
      </c>
    </row>
    <row r="2179" spans="1:3" x14ac:dyDescent="0.3">
      <c r="A2179" s="4">
        <v>0.55585648148148148</v>
      </c>
      <c r="B2179">
        <v>48.8</v>
      </c>
      <c r="C2179">
        <f t="shared" si="38"/>
        <v>5.8884365535558776E-8</v>
      </c>
    </row>
    <row r="2180" spans="1:3" x14ac:dyDescent="0.3">
      <c r="A2180" s="4">
        <v>0.55620370370370376</v>
      </c>
      <c r="B2180">
        <v>48.4</v>
      </c>
      <c r="C2180">
        <f t="shared" si="38"/>
        <v>5.3703179637025377E-8</v>
      </c>
    </row>
    <row r="2181" spans="1:3" x14ac:dyDescent="0.3">
      <c r="A2181" s="4">
        <v>0.55655092592592592</v>
      </c>
      <c r="B2181">
        <v>48</v>
      </c>
      <c r="C2181">
        <f t="shared" si="38"/>
        <v>4.8977881936844561E-8</v>
      </c>
    </row>
    <row r="2182" spans="1:3" x14ac:dyDescent="0.3">
      <c r="A2182" s="4">
        <v>0.5568981481481482</v>
      </c>
      <c r="B2182">
        <v>47.8</v>
      </c>
      <c r="C2182">
        <f t="shared" si="38"/>
        <v>4.6773514128719769E-8</v>
      </c>
    </row>
    <row r="2183" spans="1:3" x14ac:dyDescent="0.3">
      <c r="A2183" s="4">
        <v>0.55724537037037036</v>
      </c>
      <c r="B2183">
        <v>47.7</v>
      </c>
      <c r="C2183">
        <f t="shared" si="38"/>
        <v>4.5708818961487464E-8</v>
      </c>
    </row>
    <row r="2184" spans="1:3" x14ac:dyDescent="0.3">
      <c r="A2184" s="4">
        <v>0.55759259259259264</v>
      </c>
      <c r="B2184">
        <v>47.5</v>
      </c>
      <c r="C2184">
        <f t="shared" si="38"/>
        <v>4.3651583224016566E-8</v>
      </c>
    </row>
    <row r="2185" spans="1:3" x14ac:dyDescent="0.3">
      <c r="A2185" s="4">
        <v>0.55793981481481481</v>
      </c>
      <c r="B2185">
        <v>47.3</v>
      </c>
      <c r="C2185">
        <f t="shared" si="38"/>
        <v>4.1686938347033516E-8</v>
      </c>
    </row>
    <row r="2186" spans="1:3" x14ac:dyDescent="0.3">
      <c r="A2186" s="4">
        <v>0.55828703703703708</v>
      </c>
      <c r="B2186">
        <v>47.2</v>
      </c>
      <c r="C2186">
        <f t="shared" si="38"/>
        <v>4.0738027780411254E-8</v>
      </c>
    </row>
    <row r="2187" spans="1:3" x14ac:dyDescent="0.3">
      <c r="A2187" s="4">
        <v>0.55863425925925925</v>
      </c>
      <c r="B2187">
        <v>47</v>
      </c>
      <c r="C2187">
        <f t="shared" si="38"/>
        <v>3.890451449942805E-8</v>
      </c>
    </row>
    <row r="2188" spans="1:3" x14ac:dyDescent="0.3">
      <c r="A2188" s="4">
        <v>0.55898148148148152</v>
      </c>
      <c r="B2188">
        <v>47</v>
      </c>
      <c r="C2188">
        <f t="shared" si="38"/>
        <v>3.890451449942805E-8</v>
      </c>
    </row>
    <row r="2189" spans="1:3" x14ac:dyDescent="0.3">
      <c r="A2189" s="4">
        <v>0.55932870370370369</v>
      </c>
      <c r="B2189">
        <v>46.9</v>
      </c>
      <c r="C2189">
        <f t="shared" si="38"/>
        <v>3.8018939632056113E-8</v>
      </c>
    </row>
    <row r="2190" spans="1:3" x14ac:dyDescent="0.3">
      <c r="A2190" s="4">
        <v>0.55967592592592597</v>
      </c>
      <c r="B2190">
        <v>46.8</v>
      </c>
      <c r="C2190">
        <f t="shared" si="38"/>
        <v>3.7153522909717246E-8</v>
      </c>
    </row>
    <row r="2191" spans="1:3" x14ac:dyDescent="0.3">
      <c r="A2191" s="4">
        <v>0.56002314814814813</v>
      </c>
      <c r="B2191">
        <v>46.8</v>
      </c>
      <c r="C2191">
        <f t="shared" si="38"/>
        <v>3.7153522909717246E-8</v>
      </c>
    </row>
    <row r="2192" spans="1:3" x14ac:dyDescent="0.3">
      <c r="A2192" s="4">
        <v>0.56037037037037041</v>
      </c>
      <c r="B2192">
        <v>46.6</v>
      </c>
      <c r="C2192">
        <f t="shared" si="38"/>
        <v>3.5481338923357426E-8</v>
      </c>
    </row>
    <row r="2193" spans="1:3" x14ac:dyDescent="0.3">
      <c r="A2193" s="4">
        <v>0.56071759259259257</v>
      </c>
      <c r="B2193">
        <v>46.5</v>
      </c>
      <c r="C2193">
        <f t="shared" si="38"/>
        <v>3.4673685045253171E-8</v>
      </c>
    </row>
    <row r="2194" spans="1:3" x14ac:dyDescent="0.3">
      <c r="A2194" s="4">
        <v>0.56106481481481485</v>
      </c>
      <c r="B2194">
        <v>46.4</v>
      </c>
      <c r="C2194">
        <f t="shared" si="38"/>
        <v>3.3884415613920266E-8</v>
      </c>
    </row>
    <row r="2195" spans="1:3" x14ac:dyDescent="0.3">
      <c r="A2195" s="4">
        <v>0.56141203703703701</v>
      </c>
      <c r="B2195">
        <v>46.3</v>
      </c>
      <c r="C2195">
        <f t="shared" si="38"/>
        <v>3.3113112148259124E-8</v>
      </c>
    </row>
    <row r="2196" spans="1:3" x14ac:dyDescent="0.3">
      <c r="A2196" s="4">
        <v>0.56175925925925929</v>
      </c>
      <c r="B2196">
        <v>46.3</v>
      </c>
      <c r="C2196">
        <f t="shared" si="38"/>
        <v>3.3113112148259124E-8</v>
      </c>
    </row>
    <row r="2197" spans="1:3" x14ac:dyDescent="0.3">
      <c r="A2197" s="4">
        <v>0.56210648148148146</v>
      </c>
      <c r="B2197">
        <v>46.1</v>
      </c>
      <c r="C2197">
        <f t="shared" si="38"/>
        <v>3.1622776601683699E-8</v>
      </c>
    </row>
    <row r="2198" spans="1:3" x14ac:dyDescent="0.3">
      <c r="A2198" s="4">
        <v>0.56245370370370373</v>
      </c>
      <c r="B2198">
        <v>46.1</v>
      </c>
      <c r="C2198">
        <f t="shared" si="38"/>
        <v>3.1622776601683699E-8</v>
      </c>
    </row>
    <row r="2199" spans="1:3" x14ac:dyDescent="0.3">
      <c r="A2199" s="4">
        <v>0.5628009259259259</v>
      </c>
      <c r="B2199">
        <v>46</v>
      </c>
      <c r="C2199">
        <f t="shared" si="38"/>
        <v>3.0902954325135814E-8</v>
      </c>
    </row>
    <row r="2200" spans="1:3" x14ac:dyDescent="0.3">
      <c r="A2200" s="4">
        <v>0.56314814814814818</v>
      </c>
      <c r="B2200">
        <v>45.9</v>
      </c>
      <c r="C2200">
        <f t="shared" si="38"/>
        <v>3.0199517204020188E-8</v>
      </c>
    </row>
    <row r="2201" spans="1:3" x14ac:dyDescent="0.3">
      <c r="A2201" s="2" t="s">
        <v>61</v>
      </c>
      <c r="C2201">
        <f>SUM(C2046:C2200)</f>
        <v>22.820010046113815</v>
      </c>
    </row>
    <row r="2203" spans="1:3" x14ac:dyDescent="0.3">
      <c r="A2203" s="2" t="s">
        <v>62</v>
      </c>
      <c r="C2203">
        <f>30/60*C2201</f>
        <v>11.410005023056907</v>
      </c>
    </row>
    <row r="2205" spans="1:3" x14ac:dyDescent="0.3">
      <c r="A2205" s="2" t="s">
        <v>245</v>
      </c>
    </row>
    <row r="2206" spans="1:3" x14ac:dyDescent="0.3">
      <c r="A2206" s="2" t="s">
        <v>58</v>
      </c>
      <c r="B2206" s="2" t="s">
        <v>59</v>
      </c>
      <c r="C2206" s="2" t="s">
        <v>60</v>
      </c>
    </row>
    <row r="2207" spans="1:3" x14ac:dyDescent="0.3">
      <c r="A2207" s="4">
        <v>0.63027777777777783</v>
      </c>
      <c r="B2207">
        <v>37.299999999999997</v>
      </c>
      <c r="C2207">
        <f>10^((B2207-121.1)/10)</f>
        <v>4.1686938347033617E-9</v>
      </c>
    </row>
    <row r="2208" spans="1:3" x14ac:dyDescent="0.3">
      <c r="A2208" s="4">
        <v>0.63063657407407403</v>
      </c>
      <c r="B2208">
        <v>36.5</v>
      </c>
      <c r="C2208">
        <f t="shared" ref="C2208:C2271" si="39">10^((B2208-121.1)/10)</f>
        <v>3.4673685045253129E-9</v>
      </c>
    </row>
    <row r="2209" spans="1:3" x14ac:dyDescent="0.3">
      <c r="A2209" s="4">
        <v>0.63097222222222227</v>
      </c>
      <c r="B2209">
        <v>36.6</v>
      </c>
      <c r="C2209">
        <f t="shared" si="39"/>
        <v>3.5481338923357512E-9</v>
      </c>
    </row>
    <row r="2210" spans="1:3" x14ac:dyDescent="0.3">
      <c r="A2210" s="4">
        <v>0.63133101851851847</v>
      </c>
      <c r="B2210">
        <v>38.1</v>
      </c>
      <c r="C2210">
        <f t="shared" si="39"/>
        <v>5.0118723362727114E-9</v>
      </c>
    </row>
    <row r="2211" spans="1:3" x14ac:dyDescent="0.3">
      <c r="A2211" s="4">
        <v>0.63167824074074075</v>
      </c>
      <c r="B2211">
        <v>41.8</v>
      </c>
      <c r="C2211">
        <f t="shared" si="39"/>
        <v>1.1748975549395268E-8</v>
      </c>
    </row>
    <row r="2212" spans="1:3" x14ac:dyDescent="0.3">
      <c r="A2212" s="4">
        <v>0.63201388888888888</v>
      </c>
      <c r="B2212">
        <v>46.3</v>
      </c>
      <c r="C2212">
        <f t="shared" si="39"/>
        <v>3.3113112148259124E-8</v>
      </c>
    </row>
    <row r="2213" spans="1:3" x14ac:dyDescent="0.3">
      <c r="A2213" s="4">
        <v>0.63237268518518519</v>
      </c>
      <c r="B2213">
        <v>52.1</v>
      </c>
      <c r="C2213">
        <f t="shared" si="39"/>
        <v>1.2589254117941651E-7</v>
      </c>
    </row>
    <row r="2214" spans="1:3" x14ac:dyDescent="0.3">
      <c r="A2214" s="4">
        <v>0.63271990740740736</v>
      </c>
      <c r="B2214">
        <v>56.7</v>
      </c>
      <c r="C2214">
        <f t="shared" si="39"/>
        <v>3.630780547701011E-7</v>
      </c>
    </row>
    <row r="2215" spans="1:3" x14ac:dyDescent="0.3">
      <c r="A2215" s="4">
        <v>0.63305555555555559</v>
      </c>
      <c r="B2215">
        <v>61.6</v>
      </c>
      <c r="C2215">
        <f t="shared" si="39"/>
        <v>1.1220184543019635E-6</v>
      </c>
    </row>
    <row r="2216" spans="1:3" x14ac:dyDescent="0.3">
      <c r="A2216" s="4">
        <v>0.6334143518518518</v>
      </c>
      <c r="B2216">
        <v>64.5</v>
      </c>
      <c r="C2216">
        <f t="shared" si="39"/>
        <v>2.1877616239495543E-6</v>
      </c>
    </row>
    <row r="2217" spans="1:3" x14ac:dyDescent="0.3">
      <c r="A2217" s="4">
        <v>0.63376157407407407</v>
      </c>
      <c r="B2217">
        <v>70.3</v>
      </c>
      <c r="C2217">
        <f t="shared" si="39"/>
        <v>8.3176377110266992E-6</v>
      </c>
    </row>
    <row r="2218" spans="1:3" x14ac:dyDescent="0.3">
      <c r="A2218" s="4">
        <v>0.63410879629629635</v>
      </c>
      <c r="B2218">
        <v>77.599999999999994</v>
      </c>
      <c r="C2218">
        <f t="shared" si="39"/>
        <v>4.4668359215096341E-5</v>
      </c>
    </row>
    <row r="2219" spans="1:3" x14ac:dyDescent="0.3">
      <c r="A2219" s="4">
        <v>0.63445601851851852</v>
      </c>
      <c r="B2219">
        <v>86.6</v>
      </c>
      <c r="C2219">
        <f t="shared" si="39"/>
        <v>3.5481338923357516E-4</v>
      </c>
    </row>
    <row r="2220" spans="1:3" x14ac:dyDescent="0.3">
      <c r="A2220" s="4">
        <v>0.63479166666666664</v>
      </c>
      <c r="B2220">
        <v>91.9</v>
      </c>
      <c r="C2220">
        <f t="shared" si="39"/>
        <v>1.2022644346174145E-3</v>
      </c>
    </row>
    <row r="2221" spans="1:3" x14ac:dyDescent="0.3">
      <c r="A2221" s="4">
        <v>0.63513888888888892</v>
      </c>
      <c r="B2221">
        <v>94.7</v>
      </c>
      <c r="C2221">
        <f t="shared" si="39"/>
        <v>2.2908676527677758E-3</v>
      </c>
    </row>
    <row r="2222" spans="1:3" x14ac:dyDescent="0.3">
      <c r="A2222" s="4">
        <v>0.63549768518518523</v>
      </c>
      <c r="B2222">
        <v>96.7</v>
      </c>
      <c r="C2222">
        <f t="shared" si="39"/>
        <v>3.6307805477010205E-3</v>
      </c>
    </row>
    <row r="2223" spans="1:3" x14ac:dyDescent="0.3">
      <c r="A2223" s="4">
        <v>0.63583333333333336</v>
      </c>
      <c r="B2223">
        <v>98</v>
      </c>
      <c r="C2223">
        <f t="shared" si="39"/>
        <v>4.8977881936844653E-3</v>
      </c>
    </row>
    <row r="2224" spans="1:3" x14ac:dyDescent="0.3">
      <c r="A2224" s="4">
        <v>0.63619212962962968</v>
      </c>
      <c r="B2224">
        <v>99.1</v>
      </c>
      <c r="C2224">
        <f t="shared" si="39"/>
        <v>6.3095734448019251E-3</v>
      </c>
    </row>
    <row r="2225" spans="1:3" x14ac:dyDescent="0.3">
      <c r="A2225" s="4">
        <v>0.6365277777777778</v>
      </c>
      <c r="B2225">
        <v>99.9</v>
      </c>
      <c r="C2225">
        <f t="shared" si="39"/>
        <v>7.5857757502918559E-3</v>
      </c>
    </row>
    <row r="2226" spans="1:3" x14ac:dyDescent="0.3">
      <c r="A2226" s="4">
        <v>0.63688657407407412</v>
      </c>
      <c r="B2226">
        <v>100.8</v>
      </c>
      <c r="C2226">
        <f t="shared" si="39"/>
        <v>9.3325430079699099E-3</v>
      </c>
    </row>
    <row r="2227" spans="1:3" x14ac:dyDescent="0.3">
      <c r="A2227" s="4">
        <v>0.63723379629629628</v>
      </c>
      <c r="B2227">
        <v>101.4</v>
      </c>
      <c r="C2227">
        <f t="shared" si="39"/>
        <v>1.0715193052376086E-2</v>
      </c>
    </row>
    <row r="2228" spans="1:3" x14ac:dyDescent="0.3">
      <c r="A2228" s="4">
        <v>0.63758101851851856</v>
      </c>
      <c r="B2228">
        <v>102</v>
      </c>
      <c r="C2228">
        <f t="shared" si="39"/>
        <v>1.230268770812382E-2</v>
      </c>
    </row>
    <row r="2229" spans="1:3" x14ac:dyDescent="0.3">
      <c r="A2229" s="4">
        <v>0.63792824074074073</v>
      </c>
      <c r="B2229">
        <v>102.6</v>
      </c>
      <c r="C2229">
        <f t="shared" si="39"/>
        <v>1.4125375446227528E-2</v>
      </c>
    </row>
    <row r="2230" spans="1:3" x14ac:dyDescent="0.3">
      <c r="A2230" s="4">
        <v>0.63826388888888885</v>
      </c>
      <c r="B2230">
        <v>103.2</v>
      </c>
      <c r="C2230">
        <f t="shared" si="39"/>
        <v>1.6218100973589333E-2</v>
      </c>
    </row>
    <row r="2231" spans="1:3" x14ac:dyDescent="0.3">
      <c r="A2231" s="4">
        <v>0.63862268518518517</v>
      </c>
      <c r="B2231">
        <v>103.7</v>
      </c>
      <c r="C2231">
        <f t="shared" si="39"/>
        <v>1.8197008586099864E-2</v>
      </c>
    </row>
    <row r="2232" spans="1:3" x14ac:dyDescent="0.3">
      <c r="A2232" s="4">
        <v>0.63895833333333329</v>
      </c>
      <c r="B2232">
        <v>104.1</v>
      </c>
      <c r="C2232">
        <f t="shared" si="39"/>
        <v>1.9952623149688792E-2</v>
      </c>
    </row>
    <row r="2233" spans="1:3" x14ac:dyDescent="0.3">
      <c r="A2233" s="4">
        <v>0.63930555555555557</v>
      </c>
      <c r="B2233">
        <v>104.7</v>
      </c>
      <c r="C2233">
        <f t="shared" si="39"/>
        <v>2.2908676527677762E-2</v>
      </c>
    </row>
    <row r="2234" spans="1:3" x14ac:dyDescent="0.3">
      <c r="A2234" s="4">
        <v>0.63965277777777774</v>
      </c>
      <c r="B2234">
        <v>105.2</v>
      </c>
      <c r="C2234">
        <f t="shared" si="39"/>
        <v>2.5703957827688674E-2</v>
      </c>
    </row>
    <row r="2235" spans="1:3" x14ac:dyDescent="0.3">
      <c r="A2235" s="4">
        <v>0.64001157407407405</v>
      </c>
      <c r="B2235">
        <v>105.6</v>
      </c>
      <c r="C2235">
        <f t="shared" si="39"/>
        <v>2.8183829312644532E-2</v>
      </c>
    </row>
    <row r="2236" spans="1:3" x14ac:dyDescent="0.3">
      <c r="A2236" s="4">
        <v>0.64034722222222218</v>
      </c>
      <c r="B2236">
        <v>106.1</v>
      </c>
      <c r="C2236">
        <f t="shared" si="39"/>
        <v>3.1622776601683784E-2</v>
      </c>
    </row>
    <row r="2237" spans="1:3" x14ac:dyDescent="0.3">
      <c r="A2237" s="4">
        <v>0.64069444444444446</v>
      </c>
      <c r="B2237">
        <v>106.8</v>
      </c>
      <c r="C2237">
        <f t="shared" si="39"/>
        <v>3.7153522909717268E-2</v>
      </c>
    </row>
    <row r="2238" spans="1:3" x14ac:dyDescent="0.3">
      <c r="A2238" s="4">
        <v>0.64105324074074077</v>
      </c>
      <c r="B2238">
        <v>107.3</v>
      </c>
      <c r="C2238">
        <f t="shared" si="39"/>
        <v>4.1686938347033554E-2</v>
      </c>
    </row>
    <row r="2239" spans="1:3" x14ac:dyDescent="0.3">
      <c r="A2239" s="4">
        <v>0.64140046296296294</v>
      </c>
      <c r="B2239">
        <v>107.9</v>
      </c>
      <c r="C2239">
        <f t="shared" si="39"/>
        <v>4.7863009232263928E-2</v>
      </c>
    </row>
    <row r="2240" spans="1:3" x14ac:dyDescent="0.3">
      <c r="A2240" s="4">
        <v>0.64174768518518521</v>
      </c>
      <c r="B2240">
        <v>108.5</v>
      </c>
      <c r="C2240">
        <f t="shared" si="39"/>
        <v>5.4954087385762532E-2</v>
      </c>
    </row>
    <row r="2241" spans="1:3" x14ac:dyDescent="0.3">
      <c r="A2241" s="4">
        <v>0.64209490740740738</v>
      </c>
      <c r="B2241">
        <v>109.1</v>
      </c>
      <c r="C2241">
        <f t="shared" si="39"/>
        <v>6.3095734448019317E-2</v>
      </c>
    </row>
    <row r="2242" spans="1:3" x14ac:dyDescent="0.3">
      <c r="A2242" s="4">
        <v>0.64244212962962965</v>
      </c>
      <c r="B2242">
        <v>109.7</v>
      </c>
      <c r="C2242">
        <f t="shared" si="39"/>
        <v>7.2443596007499125E-2</v>
      </c>
    </row>
    <row r="2243" spans="1:3" x14ac:dyDescent="0.3">
      <c r="A2243" s="4">
        <v>0.64278935185185182</v>
      </c>
      <c r="B2243">
        <v>110.3</v>
      </c>
      <c r="C2243">
        <f t="shared" si="39"/>
        <v>8.3176377110267152E-2</v>
      </c>
    </row>
    <row r="2244" spans="1:3" x14ac:dyDescent="0.3">
      <c r="A2244" s="4">
        <v>0.64312499999999995</v>
      </c>
      <c r="B2244">
        <v>110.9</v>
      </c>
      <c r="C2244">
        <f t="shared" si="39"/>
        <v>9.5499258602143797E-2</v>
      </c>
    </row>
    <row r="2245" spans="1:3" x14ac:dyDescent="0.3">
      <c r="A2245" s="4">
        <v>0.64348379629629626</v>
      </c>
      <c r="B2245">
        <v>111.4</v>
      </c>
      <c r="C2245">
        <f t="shared" si="39"/>
        <v>0.10715193052376093</v>
      </c>
    </row>
    <row r="2246" spans="1:3" x14ac:dyDescent="0.3">
      <c r="A2246" s="4">
        <v>0.64383101851851854</v>
      </c>
      <c r="B2246">
        <v>112</v>
      </c>
      <c r="C2246">
        <f t="shared" si="39"/>
        <v>0.1230268770812383</v>
      </c>
    </row>
    <row r="2247" spans="1:3" x14ac:dyDescent="0.3">
      <c r="A2247" s="4">
        <v>0.6441782407407407</v>
      </c>
      <c r="B2247">
        <v>112.6</v>
      </c>
      <c r="C2247">
        <f t="shared" si="39"/>
        <v>0.14125375446227542</v>
      </c>
    </row>
    <row r="2248" spans="1:3" x14ac:dyDescent="0.3">
      <c r="A2248" s="4">
        <v>0.64452546296296298</v>
      </c>
      <c r="B2248">
        <v>113.2</v>
      </c>
      <c r="C2248">
        <f t="shared" si="39"/>
        <v>0.16218100973589328</v>
      </c>
    </row>
    <row r="2249" spans="1:3" x14ac:dyDescent="0.3">
      <c r="A2249" s="4">
        <v>0.64487268518518515</v>
      </c>
      <c r="B2249">
        <v>113.8</v>
      </c>
      <c r="C2249">
        <f t="shared" si="39"/>
        <v>0.1862087136662868</v>
      </c>
    </row>
    <row r="2250" spans="1:3" x14ac:dyDescent="0.3">
      <c r="A2250" s="4">
        <v>0.64521990740740742</v>
      </c>
      <c r="B2250">
        <v>114.3</v>
      </c>
      <c r="C2250">
        <f t="shared" si="39"/>
        <v>0.20892961308540403</v>
      </c>
    </row>
    <row r="2251" spans="1:3" x14ac:dyDescent="0.3">
      <c r="A2251" s="4">
        <v>0.64555555555555555</v>
      </c>
      <c r="B2251">
        <v>114.9</v>
      </c>
      <c r="C2251">
        <f t="shared" si="39"/>
        <v>0.23988329190194962</v>
      </c>
    </row>
    <row r="2252" spans="1:3" x14ac:dyDescent="0.3">
      <c r="A2252" s="4">
        <v>0.64591435185185186</v>
      </c>
      <c r="B2252">
        <v>115.2</v>
      </c>
      <c r="C2252">
        <f t="shared" si="39"/>
        <v>0.25703957827688678</v>
      </c>
    </row>
    <row r="2253" spans="1:3" x14ac:dyDescent="0.3">
      <c r="A2253" s="4">
        <v>0.64626157407407403</v>
      </c>
      <c r="B2253">
        <v>115.7</v>
      </c>
      <c r="C2253">
        <f t="shared" si="39"/>
        <v>0.28840315031266112</v>
      </c>
    </row>
    <row r="2254" spans="1:3" x14ac:dyDescent="0.3">
      <c r="A2254" s="4">
        <v>0.64659722222222227</v>
      </c>
      <c r="B2254">
        <v>116.4</v>
      </c>
      <c r="C2254">
        <f t="shared" si="39"/>
        <v>0.33884415613920338</v>
      </c>
    </row>
    <row r="2255" spans="1:3" x14ac:dyDescent="0.3">
      <c r="A2255" s="4">
        <v>0.64695601851851847</v>
      </c>
      <c r="B2255">
        <v>116.1</v>
      </c>
      <c r="C2255">
        <f t="shared" si="39"/>
        <v>0.31622776601683794</v>
      </c>
    </row>
    <row r="2256" spans="1:3" x14ac:dyDescent="0.3">
      <c r="A2256" s="4">
        <v>0.64730324074074075</v>
      </c>
      <c r="B2256">
        <v>117.1</v>
      </c>
      <c r="C2256">
        <f t="shared" si="39"/>
        <v>0.3981071705534972</v>
      </c>
    </row>
    <row r="2257" spans="1:3" x14ac:dyDescent="0.3">
      <c r="A2257" s="4">
        <v>0.64765046296296291</v>
      </c>
      <c r="B2257">
        <v>118</v>
      </c>
      <c r="C2257">
        <f t="shared" si="39"/>
        <v>0.48977881936844675</v>
      </c>
    </row>
    <row r="2258" spans="1:3" x14ac:dyDescent="0.3">
      <c r="A2258" s="4">
        <v>0.64798611111111115</v>
      </c>
      <c r="B2258">
        <v>118.6</v>
      </c>
      <c r="C2258">
        <f t="shared" si="39"/>
        <v>0.56234132519034907</v>
      </c>
    </row>
    <row r="2259" spans="1:3" x14ac:dyDescent="0.3">
      <c r="A2259" s="4">
        <v>0.64834490740740736</v>
      </c>
      <c r="B2259">
        <v>119.2</v>
      </c>
      <c r="C2259">
        <f t="shared" si="39"/>
        <v>0.64565422903465675</v>
      </c>
    </row>
    <row r="2260" spans="1:3" x14ac:dyDescent="0.3">
      <c r="A2260" s="4">
        <v>0.64869212962962963</v>
      </c>
      <c r="B2260">
        <v>119.7</v>
      </c>
      <c r="C2260">
        <f t="shared" si="39"/>
        <v>0.72443596007499134</v>
      </c>
    </row>
    <row r="2261" spans="1:3" x14ac:dyDescent="0.3">
      <c r="A2261" s="4">
        <v>0.6490393518518518</v>
      </c>
      <c r="B2261">
        <v>120.2</v>
      </c>
      <c r="C2261">
        <f t="shared" si="39"/>
        <v>0.81283051616410085</v>
      </c>
    </row>
    <row r="2262" spans="1:3" x14ac:dyDescent="0.3">
      <c r="A2262" s="4">
        <v>0.64938657407407407</v>
      </c>
      <c r="B2262">
        <v>120.8</v>
      </c>
      <c r="C2262">
        <f t="shared" si="39"/>
        <v>0.93325430079699168</v>
      </c>
    </row>
    <row r="2263" spans="1:3" x14ac:dyDescent="0.3">
      <c r="A2263" s="4">
        <v>0.64973379629629635</v>
      </c>
      <c r="B2263">
        <v>121.3</v>
      </c>
      <c r="C2263">
        <f t="shared" si="39"/>
        <v>1.0471285480509003</v>
      </c>
    </row>
    <row r="2264" spans="1:3" x14ac:dyDescent="0.3">
      <c r="A2264" s="4">
        <v>0.65008101851851852</v>
      </c>
      <c r="B2264">
        <v>121.4</v>
      </c>
      <c r="C2264">
        <f t="shared" si="39"/>
        <v>1.0715193052376093</v>
      </c>
    </row>
    <row r="2265" spans="1:3" x14ac:dyDescent="0.3">
      <c r="A2265" s="4">
        <v>0.65042824074074079</v>
      </c>
      <c r="B2265">
        <v>120.8</v>
      </c>
      <c r="C2265">
        <f t="shared" si="39"/>
        <v>0.93325430079699168</v>
      </c>
    </row>
    <row r="2266" spans="1:3" x14ac:dyDescent="0.3">
      <c r="A2266" s="4">
        <v>0.65077546296296296</v>
      </c>
      <c r="B2266">
        <v>120.4</v>
      </c>
      <c r="C2266">
        <f t="shared" si="39"/>
        <v>0.85113803820237877</v>
      </c>
    </row>
    <row r="2267" spans="1:3" x14ac:dyDescent="0.3">
      <c r="A2267" s="4">
        <v>0.65112268518518523</v>
      </c>
      <c r="B2267">
        <v>121.9</v>
      </c>
      <c r="C2267">
        <f t="shared" si="39"/>
        <v>1.2022644346174161</v>
      </c>
    </row>
    <row r="2268" spans="1:3" x14ac:dyDescent="0.3">
      <c r="A2268" s="4">
        <v>0.6514699074074074</v>
      </c>
      <c r="B2268">
        <v>122.7</v>
      </c>
      <c r="C2268">
        <f t="shared" si="39"/>
        <v>1.4454397707459303</v>
      </c>
    </row>
    <row r="2269" spans="1:3" x14ac:dyDescent="0.3">
      <c r="A2269" s="4">
        <v>0.65181712962962968</v>
      </c>
      <c r="B2269">
        <v>122</v>
      </c>
      <c r="C2269">
        <f t="shared" si="39"/>
        <v>1.2302687708123832</v>
      </c>
    </row>
    <row r="2270" spans="1:3" x14ac:dyDescent="0.3">
      <c r="A2270" s="4">
        <v>0.65216435185185184</v>
      </c>
      <c r="B2270">
        <v>121.4</v>
      </c>
      <c r="C2270">
        <f t="shared" si="39"/>
        <v>1.0715193052376093</v>
      </c>
    </row>
    <row r="2271" spans="1:3" x14ac:dyDescent="0.3">
      <c r="A2271" s="4">
        <v>0.65251157407407412</v>
      </c>
      <c r="B2271">
        <v>121</v>
      </c>
      <c r="C2271">
        <f t="shared" si="39"/>
        <v>0.977237220955812</v>
      </c>
    </row>
    <row r="2272" spans="1:3" x14ac:dyDescent="0.3">
      <c r="A2272" s="4">
        <v>0.65285879629629628</v>
      </c>
      <c r="B2272">
        <v>120.5</v>
      </c>
      <c r="C2272">
        <f t="shared" ref="C2272:C2335" si="40">10^((B2272-121.1)/10)</f>
        <v>0.87096358995608181</v>
      </c>
    </row>
    <row r="2273" spans="1:3" x14ac:dyDescent="0.3">
      <c r="A2273" s="4">
        <v>0.65320601851851856</v>
      </c>
      <c r="B2273">
        <v>121.5</v>
      </c>
      <c r="C2273">
        <f t="shared" si="40"/>
        <v>1.0964781961431864</v>
      </c>
    </row>
    <row r="2274" spans="1:3" x14ac:dyDescent="0.3">
      <c r="A2274" s="4">
        <v>0.65355324074074073</v>
      </c>
      <c r="B2274">
        <v>122.5</v>
      </c>
      <c r="C2274">
        <f t="shared" si="40"/>
        <v>1.3803842646028868</v>
      </c>
    </row>
    <row r="2275" spans="1:3" x14ac:dyDescent="0.3">
      <c r="A2275" s="4">
        <v>0.653900462962963</v>
      </c>
      <c r="B2275">
        <v>122.1</v>
      </c>
      <c r="C2275">
        <f t="shared" si="40"/>
        <v>1.2589254117941673</v>
      </c>
    </row>
    <row r="2276" spans="1:3" x14ac:dyDescent="0.3">
      <c r="A2276" s="4">
        <v>0.65424768518518517</v>
      </c>
      <c r="B2276">
        <v>121.5</v>
      </c>
      <c r="C2276">
        <f t="shared" si="40"/>
        <v>1.0964781961431864</v>
      </c>
    </row>
    <row r="2277" spans="1:3" x14ac:dyDescent="0.3">
      <c r="A2277" s="4">
        <v>0.65459490740740744</v>
      </c>
      <c r="B2277">
        <v>121</v>
      </c>
      <c r="C2277">
        <f t="shared" si="40"/>
        <v>0.977237220955812</v>
      </c>
    </row>
    <row r="2278" spans="1:3" x14ac:dyDescent="0.3">
      <c r="A2278" s="4">
        <v>0.65494212962962961</v>
      </c>
      <c r="B2278">
        <v>120.6</v>
      </c>
      <c r="C2278">
        <f t="shared" si="40"/>
        <v>0.89125093813374545</v>
      </c>
    </row>
    <row r="2279" spans="1:3" x14ac:dyDescent="0.3">
      <c r="A2279" s="4">
        <v>0.65528935185185189</v>
      </c>
      <c r="B2279">
        <v>121.3</v>
      </c>
      <c r="C2279">
        <f t="shared" si="40"/>
        <v>1.0471285480509003</v>
      </c>
    </row>
    <row r="2280" spans="1:3" x14ac:dyDescent="0.3">
      <c r="A2280" s="4">
        <v>0.65563657407407405</v>
      </c>
      <c r="B2280">
        <v>122.4</v>
      </c>
      <c r="C2280">
        <f t="shared" si="40"/>
        <v>1.3489628825916571</v>
      </c>
    </row>
    <row r="2281" spans="1:3" x14ac:dyDescent="0.3">
      <c r="A2281" s="4">
        <v>0.65598379629629633</v>
      </c>
      <c r="B2281">
        <v>122.1</v>
      </c>
      <c r="C2281">
        <f t="shared" si="40"/>
        <v>1.2589254117941673</v>
      </c>
    </row>
    <row r="2282" spans="1:3" x14ac:dyDescent="0.3">
      <c r="A2282" s="4">
        <v>0.65633101851851849</v>
      </c>
      <c r="B2282">
        <v>121.6</v>
      </c>
      <c r="C2282">
        <f t="shared" si="40"/>
        <v>1.1220184543019636</v>
      </c>
    </row>
    <row r="2283" spans="1:3" x14ac:dyDescent="0.3">
      <c r="A2283" s="4">
        <v>0.65667824074074077</v>
      </c>
      <c r="B2283">
        <v>121.1</v>
      </c>
      <c r="C2283">
        <f t="shared" si="40"/>
        <v>1</v>
      </c>
    </row>
    <row r="2284" spans="1:3" x14ac:dyDescent="0.3">
      <c r="A2284" s="4">
        <v>0.65702546296296294</v>
      </c>
      <c r="B2284">
        <v>113.6</v>
      </c>
      <c r="C2284">
        <f t="shared" si="40"/>
        <v>0.17782794100389224</v>
      </c>
    </row>
    <row r="2285" spans="1:3" x14ac:dyDescent="0.3">
      <c r="A2285" s="4">
        <v>0.65737268518518521</v>
      </c>
      <c r="B2285">
        <v>109</v>
      </c>
      <c r="C2285">
        <f t="shared" si="40"/>
        <v>6.1659500186148276E-2</v>
      </c>
    </row>
    <row r="2286" spans="1:3" x14ac:dyDescent="0.3">
      <c r="A2286" s="4">
        <v>0.65771990740740738</v>
      </c>
      <c r="B2286">
        <v>92.6</v>
      </c>
      <c r="C2286">
        <f t="shared" si="40"/>
        <v>1.4125375446227527E-3</v>
      </c>
    </row>
    <row r="2287" spans="1:3" x14ac:dyDescent="0.3">
      <c r="A2287" s="4">
        <v>0.65806712962962965</v>
      </c>
      <c r="B2287">
        <v>85.8</v>
      </c>
      <c r="C2287">
        <f t="shared" si="40"/>
        <v>2.9512092266663857E-4</v>
      </c>
    </row>
    <row r="2288" spans="1:3" x14ac:dyDescent="0.3">
      <c r="A2288" s="4">
        <v>0.65841435185185182</v>
      </c>
      <c r="B2288">
        <v>82.7</v>
      </c>
      <c r="C2288">
        <f t="shared" si="40"/>
        <v>1.4454397707459291E-4</v>
      </c>
    </row>
    <row r="2289" spans="1:3" x14ac:dyDescent="0.3">
      <c r="A2289" s="4">
        <v>0.6587615740740741</v>
      </c>
      <c r="B2289">
        <v>79.5</v>
      </c>
      <c r="C2289">
        <f t="shared" si="40"/>
        <v>6.9183097091893693E-5</v>
      </c>
    </row>
    <row r="2290" spans="1:3" x14ac:dyDescent="0.3">
      <c r="A2290" s="4">
        <v>0.65910879629629626</v>
      </c>
      <c r="B2290">
        <v>76.400000000000006</v>
      </c>
      <c r="C2290">
        <f t="shared" si="40"/>
        <v>3.3884415613920317E-5</v>
      </c>
    </row>
    <row r="2291" spans="1:3" x14ac:dyDescent="0.3">
      <c r="A2291" s="4">
        <v>0.65945601851851854</v>
      </c>
      <c r="B2291">
        <v>73.900000000000006</v>
      </c>
      <c r="C2291">
        <f t="shared" si="40"/>
        <v>1.9054607179632518E-5</v>
      </c>
    </row>
    <row r="2292" spans="1:3" x14ac:dyDescent="0.3">
      <c r="A2292" s="4">
        <v>0.6598032407407407</v>
      </c>
      <c r="B2292">
        <v>71.5</v>
      </c>
      <c r="C2292">
        <f t="shared" si="40"/>
        <v>1.0964781961431864E-5</v>
      </c>
    </row>
    <row r="2293" spans="1:3" x14ac:dyDescent="0.3">
      <c r="A2293" s="4">
        <v>0.66015046296296298</v>
      </c>
      <c r="B2293">
        <v>69.3</v>
      </c>
      <c r="C2293">
        <f t="shared" si="40"/>
        <v>6.6069344800759593E-6</v>
      </c>
    </row>
    <row r="2294" spans="1:3" x14ac:dyDescent="0.3">
      <c r="A2294" s="4">
        <v>0.66049768518518515</v>
      </c>
      <c r="B2294">
        <v>67.900000000000006</v>
      </c>
      <c r="C2294">
        <f t="shared" si="40"/>
        <v>4.786300923226397E-6</v>
      </c>
    </row>
    <row r="2295" spans="1:3" x14ac:dyDescent="0.3">
      <c r="A2295" s="4">
        <v>0.66084490740740742</v>
      </c>
      <c r="B2295">
        <v>66.099999999999994</v>
      </c>
      <c r="C2295">
        <f t="shared" si="40"/>
        <v>3.1622776601683767E-6</v>
      </c>
    </row>
    <row r="2296" spans="1:3" x14ac:dyDescent="0.3">
      <c r="A2296" s="4">
        <v>0.66119212962962959</v>
      </c>
      <c r="B2296">
        <v>64.599999999999994</v>
      </c>
      <c r="C2296">
        <f t="shared" si="40"/>
        <v>2.2387211385683329E-6</v>
      </c>
    </row>
    <row r="2297" spans="1:3" x14ac:dyDescent="0.3">
      <c r="A2297" s="4">
        <v>0.66153935185185186</v>
      </c>
      <c r="B2297">
        <v>63.3</v>
      </c>
      <c r="C2297">
        <f t="shared" si="40"/>
        <v>1.6595869074375609E-6</v>
      </c>
    </row>
    <row r="2298" spans="1:3" x14ac:dyDescent="0.3">
      <c r="A2298" s="4">
        <v>0.66188657407407403</v>
      </c>
      <c r="B2298">
        <v>62.1</v>
      </c>
      <c r="C2298">
        <f t="shared" si="40"/>
        <v>1.2589254117941665E-6</v>
      </c>
    </row>
    <row r="2299" spans="1:3" x14ac:dyDescent="0.3">
      <c r="A2299" s="4">
        <v>0.66223379629629631</v>
      </c>
      <c r="B2299">
        <v>60.9</v>
      </c>
      <c r="C2299">
        <f t="shared" si="40"/>
        <v>9.5499258602143498E-7</v>
      </c>
    </row>
    <row r="2300" spans="1:3" x14ac:dyDescent="0.3">
      <c r="A2300" s="4">
        <v>0.66258101851851847</v>
      </c>
      <c r="B2300">
        <v>59.9</v>
      </c>
      <c r="C2300">
        <f t="shared" si="40"/>
        <v>7.5857757502918357E-7</v>
      </c>
    </row>
    <row r="2301" spans="1:3" x14ac:dyDescent="0.3">
      <c r="A2301" s="4">
        <v>0.66292824074074075</v>
      </c>
      <c r="B2301">
        <v>59</v>
      </c>
      <c r="C2301">
        <f t="shared" si="40"/>
        <v>6.1659500186148261E-7</v>
      </c>
    </row>
    <row r="2302" spans="1:3" x14ac:dyDescent="0.3">
      <c r="A2302" s="4">
        <v>0.66327546296296291</v>
      </c>
      <c r="B2302">
        <v>58.2</v>
      </c>
      <c r="C2302">
        <f t="shared" si="40"/>
        <v>5.1286138399136555E-7</v>
      </c>
    </row>
    <row r="2303" spans="1:3" x14ac:dyDescent="0.3">
      <c r="A2303" s="4">
        <v>0.66362268518518519</v>
      </c>
      <c r="B2303">
        <v>57.4</v>
      </c>
      <c r="C2303">
        <f t="shared" si="40"/>
        <v>4.2657951880159286E-7</v>
      </c>
    </row>
    <row r="2304" spans="1:3" x14ac:dyDescent="0.3">
      <c r="A2304" s="4">
        <v>0.66396990740740736</v>
      </c>
      <c r="B2304">
        <v>56.6</v>
      </c>
      <c r="C2304">
        <f t="shared" si="40"/>
        <v>3.5481338923357463E-7</v>
      </c>
    </row>
    <row r="2305" spans="1:3" x14ac:dyDescent="0.3">
      <c r="A2305" s="4">
        <v>0.66431712962962963</v>
      </c>
      <c r="B2305">
        <v>55.9</v>
      </c>
      <c r="C2305">
        <f t="shared" si="40"/>
        <v>3.0199517204020224E-7</v>
      </c>
    </row>
    <row r="2306" spans="1:3" x14ac:dyDescent="0.3">
      <c r="A2306" s="4">
        <v>0.6646643518518518</v>
      </c>
      <c r="B2306">
        <v>55.4</v>
      </c>
      <c r="C2306">
        <f t="shared" si="40"/>
        <v>2.6915348039269223E-7</v>
      </c>
    </row>
    <row r="2307" spans="1:3" x14ac:dyDescent="0.3">
      <c r="A2307" s="4">
        <v>0.66501157407407407</v>
      </c>
      <c r="B2307">
        <v>54.8</v>
      </c>
      <c r="C2307">
        <f t="shared" si="40"/>
        <v>2.3442288153199206E-7</v>
      </c>
    </row>
    <row r="2308" spans="1:3" x14ac:dyDescent="0.3">
      <c r="A2308" s="4">
        <v>0.66535879629629635</v>
      </c>
      <c r="B2308">
        <v>54.2</v>
      </c>
      <c r="C2308">
        <f t="shared" si="40"/>
        <v>2.0417379446695291E-7</v>
      </c>
    </row>
    <row r="2309" spans="1:3" x14ac:dyDescent="0.3">
      <c r="A2309" s="4">
        <v>0.66570601851851852</v>
      </c>
      <c r="B2309">
        <v>53.6</v>
      </c>
      <c r="C2309">
        <f t="shared" si="40"/>
        <v>1.7782794100389206E-7</v>
      </c>
    </row>
    <row r="2310" spans="1:3" x14ac:dyDescent="0.3">
      <c r="A2310" s="4">
        <v>0.66605324074074079</v>
      </c>
      <c r="B2310">
        <v>53.1</v>
      </c>
      <c r="C2310">
        <f t="shared" si="40"/>
        <v>1.5848931924611122E-7</v>
      </c>
    </row>
    <row r="2311" spans="1:3" x14ac:dyDescent="0.3">
      <c r="A2311" s="4">
        <v>0.66640046296296296</v>
      </c>
      <c r="B2311">
        <v>52.6</v>
      </c>
      <c r="C2311">
        <f t="shared" si="40"/>
        <v>1.4125375446227539E-7</v>
      </c>
    </row>
    <row r="2312" spans="1:3" x14ac:dyDescent="0.3">
      <c r="A2312" s="4">
        <v>0.66674768518518523</v>
      </c>
      <c r="B2312">
        <v>52.1</v>
      </c>
      <c r="C2312">
        <f t="shared" si="40"/>
        <v>1.2589254117941651E-7</v>
      </c>
    </row>
    <row r="2313" spans="1:3" x14ac:dyDescent="0.3">
      <c r="A2313" s="4">
        <v>0.6670949074074074</v>
      </c>
      <c r="B2313">
        <v>51.7</v>
      </c>
      <c r="C2313">
        <f t="shared" si="40"/>
        <v>1.1481536214968814E-7</v>
      </c>
    </row>
    <row r="2314" spans="1:3" x14ac:dyDescent="0.3">
      <c r="A2314" s="4">
        <v>0.66744212962962968</v>
      </c>
      <c r="B2314">
        <v>51.3</v>
      </c>
      <c r="C2314">
        <f t="shared" si="40"/>
        <v>1.0471285480508987E-7</v>
      </c>
    </row>
    <row r="2315" spans="1:3" x14ac:dyDescent="0.3">
      <c r="A2315" s="4">
        <v>0.66778935185185184</v>
      </c>
      <c r="B2315">
        <v>50.9</v>
      </c>
      <c r="C2315">
        <f t="shared" si="40"/>
        <v>9.5499258602143887E-8</v>
      </c>
    </row>
    <row r="2316" spans="1:3" x14ac:dyDescent="0.3">
      <c r="A2316" s="4">
        <v>0.66813657407407412</v>
      </c>
      <c r="B2316">
        <v>50.6</v>
      </c>
      <c r="C2316">
        <f t="shared" si="40"/>
        <v>8.9125093813374537E-8</v>
      </c>
    </row>
    <row r="2317" spans="1:3" x14ac:dyDescent="0.3">
      <c r="A2317" s="4">
        <v>0.66848379629629628</v>
      </c>
      <c r="B2317">
        <v>50.3</v>
      </c>
      <c r="C2317">
        <f t="shared" si="40"/>
        <v>8.3176377110266823E-8</v>
      </c>
    </row>
    <row r="2318" spans="1:3" x14ac:dyDescent="0.3">
      <c r="A2318" s="4">
        <v>0.66883101851851856</v>
      </c>
      <c r="B2318">
        <v>50</v>
      </c>
      <c r="C2318">
        <f t="shared" si="40"/>
        <v>7.762471166286921E-8</v>
      </c>
    </row>
    <row r="2319" spans="1:3" x14ac:dyDescent="0.3">
      <c r="A2319" s="4">
        <v>0.66917824074074073</v>
      </c>
      <c r="B2319">
        <v>49.7</v>
      </c>
      <c r="C2319">
        <f t="shared" si="40"/>
        <v>7.2443596007499061E-8</v>
      </c>
    </row>
    <row r="2320" spans="1:3" x14ac:dyDescent="0.3">
      <c r="A2320" s="4">
        <v>0.669525462962963</v>
      </c>
      <c r="B2320">
        <v>49.5</v>
      </c>
      <c r="C2320">
        <f t="shared" si="40"/>
        <v>6.9183097091893717E-8</v>
      </c>
    </row>
    <row r="2321" spans="1:3" x14ac:dyDescent="0.3">
      <c r="A2321" s="4">
        <v>0.66987268518518517</v>
      </c>
      <c r="B2321">
        <v>49.2</v>
      </c>
      <c r="C2321">
        <f t="shared" si="40"/>
        <v>6.4565422903465636E-8</v>
      </c>
    </row>
    <row r="2322" spans="1:3" x14ac:dyDescent="0.3">
      <c r="A2322" s="4">
        <v>0.67021990740740744</v>
      </c>
      <c r="B2322">
        <v>49</v>
      </c>
      <c r="C2322">
        <f t="shared" si="40"/>
        <v>6.1659500186148299E-8</v>
      </c>
    </row>
    <row r="2323" spans="1:3" x14ac:dyDescent="0.3">
      <c r="A2323" s="4">
        <v>0.67056712962962961</v>
      </c>
      <c r="B2323">
        <v>48.8</v>
      </c>
      <c r="C2323">
        <f t="shared" si="40"/>
        <v>5.8884365535558776E-8</v>
      </c>
    </row>
    <row r="2324" spans="1:3" x14ac:dyDescent="0.3">
      <c r="A2324" s="4">
        <v>0.67091435185185189</v>
      </c>
      <c r="B2324">
        <v>48.6</v>
      </c>
      <c r="C2324">
        <f t="shared" si="40"/>
        <v>5.6234132519034806E-8</v>
      </c>
    </row>
    <row r="2325" spans="1:3" x14ac:dyDescent="0.3">
      <c r="A2325" s="4">
        <v>0.67126157407407405</v>
      </c>
      <c r="B2325">
        <v>48.4</v>
      </c>
      <c r="C2325">
        <f t="shared" si="40"/>
        <v>5.3703179637025377E-8</v>
      </c>
    </row>
    <row r="2326" spans="1:3" x14ac:dyDescent="0.3">
      <c r="A2326" s="4">
        <v>0.67160879629629633</v>
      </c>
      <c r="B2326">
        <v>48.2</v>
      </c>
      <c r="C2326">
        <f t="shared" si="40"/>
        <v>5.1286138399136593E-8</v>
      </c>
    </row>
    <row r="2327" spans="1:3" x14ac:dyDescent="0.3">
      <c r="A2327" s="4">
        <v>0.67195601851851849</v>
      </c>
      <c r="B2327">
        <v>48</v>
      </c>
      <c r="C2327">
        <f t="shared" si="40"/>
        <v>4.8977881936844561E-8</v>
      </c>
    </row>
    <row r="2328" spans="1:3" x14ac:dyDescent="0.3">
      <c r="A2328" s="4">
        <v>0.67230324074074077</v>
      </c>
      <c r="B2328">
        <v>47.9</v>
      </c>
      <c r="C2328">
        <f t="shared" si="40"/>
        <v>4.7863009232263948E-8</v>
      </c>
    </row>
    <row r="2329" spans="1:3" x14ac:dyDescent="0.3">
      <c r="A2329" s="4">
        <v>0.67265046296296294</v>
      </c>
      <c r="B2329">
        <v>47.8</v>
      </c>
      <c r="C2329">
        <f t="shared" si="40"/>
        <v>4.6773514128719769E-8</v>
      </c>
    </row>
    <row r="2330" spans="1:3" x14ac:dyDescent="0.3">
      <c r="A2330" s="4">
        <v>0.67299768518518521</v>
      </c>
      <c r="B2330">
        <v>47.6</v>
      </c>
      <c r="C2330">
        <f t="shared" si="40"/>
        <v>4.466835921509628E-8</v>
      </c>
    </row>
    <row r="2331" spans="1:3" x14ac:dyDescent="0.3">
      <c r="A2331" s="4">
        <v>0.67334490740740738</v>
      </c>
      <c r="B2331">
        <v>47.5</v>
      </c>
      <c r="C2331">
        <f t="shared" si="40"/>
        <v>4.3651583224016566E-8</v>
      </c>
    </row>
    <row r="2332" spans="1:3" x14ac:dyDescent="0.3">
      <c r="A2332" s="4">
        <v>0.67369212962962965</v>
      </c>
      <c r="B2332">
        <v>47.3</v>
      </c>
      <c r="C2332">
        <f t="shared" si="40"/>
        <v>4.1686938347033516E-8</v>
      </c>
    </row>
    <row r="2333" spans="1:3" x14ac:dyDescent="0.3">
      <c r="A2333" s="4">
        <v>0.67403935185185182</v>
      </c>
      <c r="B2333">
        <v>47.1</v>
      </c>
      <c r="C2333">
        <f t="shared" si="40"/>
        <v>3.981071705534957E-8</v>
      </c>
    </row>
    <row r="2334" spans="1:3" x14ac:dyDescent="0.3">
      <c r="A2334" s="4">
        <v>0.6743865740740741</v>
      </c>
      <c r="B2334">
        <v>47.1</v>
      </c>
      <c r="C2334">
        <f t="shared" si="40"/>
        <v>3.981071705534957E-8</v>
      </c>
    </row>
    <row r="2335" spans="1:3" x14ac:dyDescent="0.3">
      <c r="A2335" s="4">
        <v>0.67473379629629626</v>
      </c>
      <c r="B2335">
        <v>47.1</v>
      </c>
      <c r="C2335">
        <f t="shared" si="40"/>
        <v>3.981071705534957E-8</v>
      </c>
    </row>
    <row r="2336" spans="1:3" x14ac:dyDescent="0.3">
      <c r="A2336" s="4">
        <v>0.67508101851851854</v>
      </c>
      <c r="B2336">
        <v>47</v>
      </c>
      <c r="C2336">
        <f t="shared" ref="C2336:C2341" si="41">10^((B2336-121.1)/10)</f>
        <v>3.890451449942805E-8</v>
      </c>
    </row>
    <row r="2337" spans="1:3" x14ac:dyDescent="0.3">
      <c r="A2337" s="4">
        <v>0.6754282407407407</v>
      </c>
      <c r="B2337">
        <v>47</v>
      </c>
      <c r="C2337">
        <f t="shared" si="41"/>
        <v>3.890451449942805E-8</v>
      </c>
    </row>
    <row r="2338" spans="1:3" x14ac:dyDescent="0.3">
      <c r="A2338" s="4">
        <v>0.67577546296296298</v>
      </c>
      <c r="B2338">
        <v>47</v>
      </c>
      <c r="C2338">
        <f t="shared" si="41"/>
        <v>3.890451449942805E-8</v>
      </c>
    </row>
    <row r="2339" spans="1:3" x14ac:dyDescent="0.3">
      <c r="A2339" s="4">
        <v>0.67612268518518515</v>
      </c>
      <c r="B2339">
        <v>47</v>
      </c>
      <c r="C2339">
        <f t="shared" si="41"/>
        <v>3.890451449942805E-8</v>
      </c>
    </row>
    <row r="2340" spans="1:3" x14ac:dyDescent="0.3">
      <c r="A2340" s="4">
        <v>0.67646990740740742</v>
      </c>
      <c r="B2340">
        <v>46.9</v>
      </c>
      <c r="C2340">
        <f t="shared" si="41"/>
        <v>3.8018939632056113E-8</v>
      </c>
    </row>
    <row r="2341" spans="1:3" x14ac:dyDescent="0.3">
      <c r="A2341" s="4">
        <v>0.67681712962962959</v>
      </c>
      <c r="B2341">
        <v>46.8</v>
      </c>
      <c r="C2341">
        <f t="shared" si="41"/>
        <v>3.7153522909717246E-8</v>
      </c>
    </row>
    <row r="2342" spans="1:3" x14ac:dyDescent="0.3">
      <c r="A2342" s="2" t="s">
        <v>61</v>
      </c>
      <c r="C2342">
        <f>SUM(C2207:C2341)</f>
        <v>31.087038334633693</v>
      </c>
    </row>
    <row r="2344" spans="1:3" x14ac:dyDescent="0.3">
      <c r="A2344" s="2" t="s">
        <v>62</v>
      </c>
      <c r="C2344">
        <f>30/60*C2342</f>
        <v>15.543519167316846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90F-89A8-4207-8361-0B5103C0C4D2}">
  <dimension ref="A1:R85"/>
  <sheetViews>
    <sheetView tabSelected="1" topLeftCell="A61" zoomScale="85" zoomScaleNormal="85" workbookViewId="0">
      <selection activeCell="A62" sqref="A62"/>
    </sheetView>
  </sheetViews>
  <sheetFormatPr defaultRowHeight="14.4" x14ac:dyDescent="0.3"/>
  <cols>
    <col min="1" max="1" width="45.77734375" customWidth="1"/>
    <col min="2" max="2" width="24.109375" customWidth="1"/>
    <col min="3" max="3" width="11.6640625" customWidth="1"/>
    <col min="4" max="4" width="12.6640625" customWidth="1"/>
    <col min="5" max="5" width="14.44140625" customWidth="1"/>
  </cols>
  <sheetData>
    <row r="1" spans="1:2" ht="34.799999999999997" x14ac:dyDescent="0.3">
      <c r="A1" s="14" t="s">
        <v>274</v>
      </c>
    </row>
    <row r="4" spans="1:2" x14ac:dyDescent="0.3">
      <c r="A4" s="2" t="s">
        <v>269</v>
      </c>
      <c r="B4" t="s">
        <v>273</v>
      </c>
    </row>
    <row r="5" spans="1:2" x14ac:dyDescent="0.3">
      <c r="A5" s="2" t="s">
        <v>272</v>
      </c>
      <c r="B5" t="s">
        <v>267</v>
      </c>
    </row>
    <row r="6" spans="1:2" ht="15.6" x14ac:dyDescent="0.3">
      <c r="A6" s="2" t="s">
        <v>266</v>
      </c>
      <c r="B6" s="13">
        <v>39232990</v>
      </c>
    </row>
    <row r="7" spans="1:2" x14ac:dyDescent="0.3">
      <c r="A7" s="2" t="s">
        <v>268</v>
      </c>
      <c r="B7" t="s">
        <v>265</v>
      </c>
    </row>
    <row r="8" spans="1:2" ht="15.6" x14ac:dyDescent="0.3">
      <c r="A8" s="2" t="s">
        <v>271</v>
      </c>
      <c r="B8" s="13" t="s">
        <v>270</v>
      </c>
    </row>
    <row r="33" spans="1:5" x14ac:dyDescent="0.3">
      <c r="A33" s="2" t="s">
        <v>246</v>
      </c>
    </row>
    <row r="34" spans="1:5" x14ac:dyDescent="0.3">
      <c r="A34" s="2" t="s">
        <v>98</v>
      </c>
      <c r="B34" s="2" t="s">
        <v>247</v>
      </c>
      <c r="C34" s="2" t="s">
        <v>248</v>
      </c>
      <c r="D34" s="2" t="s">
        <v>264</v>
      </c>
      <c r="E34" s="2" t="s">
        <v>99</v>
      </c>
    </row>
    <row r="35" spans="1:5" x14ac:dyDescent="0.3">
      <c r="A35" t="s">
        <v>249</v>
      </c>
      <c r="B35">
        <v>150</v>
      </c>
      <c r="C35">
        <v>7</v>
      </c>
      <c r="D35">
        <v>157</v>
      </c>
      <c r="E35">
        <v>1.1499999999999999</v>
      </c>
    </row>
    <row r="36" spans="1:5" x14ac:dyDescent="0.3">
      <c r="A36" t="s">
        <v>250</v>
      </c>
      <c r="B36">
        <v>150</v>
      </c>
      <c r="C36">
        <v>7</v>
      </c>
      <c r="D36">
        <v>157</v>
      </c>
      <c r="E36">
        <v>1.3</v>
      </c>
    </row>
    <row r="37" spans="1:5" x14ac:dyDescent="0.3">
      <c r="A37" t="s">
        <v>251</v>
      </c>
      <c r="B37">
        <v>150</v>
      </c>
      <c r="C37">
        <v>7</v>
      </c>
      <c r="D37">
        <v>157</v>
      </c>
      <c r="E37">
        <v>1.17</v>
      </c>
    </row>
    <row r="38" spans="1:5" x14ac:dyDescent="0.3">
      <c r="A38" t="s">
        <v>254</v>
      </c>
      <c r="B38">
        <v>150</v>
      </c>
      <c r="C38">
        <v>7</v>
      </c>
      <c r="D38">
        <v>157</v>
      </c>
      <c r="E38">
        <v>1.07</v>
      </c>
    </row>
    <row r="39" spans="1:5" x14ac:dyDescent="0.3">
      <c r="A39" t="s">
        <v>255</v>
      </c>
      <c r="B39">
        <v>150</v>
      </c>
      <c r="C39">
        <v>7</v>
      </c>
      <c r="D39">
        <v>157</v>
      </c>
      <c r="E39">
        <v>1.08</v>
      </c>
    </row>
    <row r="41" spans="1:5" x14ac:dyDescent="0.3">
      <c r="A41" t="s">
        <v>252</v>
      </c>
      <c r="B41">
        <v>150</v>
      </c>
      <c r="C41">
        <v>7</v>
      </c>
      <c r="D41">
        <v>157</v>
      </c>
      <c r="E41">
        <v>1.2</v>
      </c>
    </row>
    <row r="42" spans="1:5" x14ac:dyDescent="0.3">
      <c r="A42" t="s">
        <v>256</v>
      </c>
      <c r="B42">
        <v>150</v>
      </c>
      <c r="C42">
        <v>7</v>
      </c>
      <c r="D42">
        <v>157</v>
      </c>
      <c r="E42">
        <v>0.95</v>
      </c>
    </row>
    <row r="43" spans="1:5" x14ac:dyDescent="0.3">
      <c r="A43" t="s">
        <v>257</v>
      </c>
      <c r="B43">
        <v>150</v>
      </c>
      <c r="C43">
        <v>7</v>
      </c>
      <c r="D43">
        <v>157</v>
      </c>
      <c r="E43">
        <v>0.98</v>
      </c>
    </row>
    <row r="44" spans="1:5" x14ac:dyDescent="0.3">
      <c r="A44" t="s">
        <v>258</v>
      </c>
      <c r="B44">
        <v>150</v>
      </c>
      <c r="C44">
        <v>7</v>
      </c>
      <c r="D44">
        <v>157</v>
      </c>
      <c r="E44">
        <v>1.21</v>
      </c>
    </row>
    <row r="45" spans="1:5" x14ac:dyDescent="0.3">
      <c r="A45" t="s">
        <v>259</v>
      </c>
      <c r="B45">
        <v>150</v>
      </c>
      <c r="C45">
        <v>7</v>
      </c>
      <c r="D45">
        <v>157</v>
      </c>
      <c r="E45">
        <v>1.35</v>
      </c>
    </row>
    <row r="47" spans="1:5" x14ac:dyDescent="0.3">
      <c r="A47" t="s">
        <v>253</v>
      </c>
      <c r="B47">
        <v>150</v>
      </c>
      <c r="C47">
        <v>7</v>
      </c>
      <c r="D47">
        <v>157</v>
      </c>
      <c r="E47">
        <v>0.99</v>
      </c>
    </row>
    <row r="48" spans="1:5" x14ac:dyDescent="0.3">
      <c r="A48" t="s">
        <v>257</v>
      </c>
      <c r="B48">
        <v>150</v>
      </c>
      <c r="C48">
        <v>7</v>
      </c>
      <c r="D48">
        <v>157</v>
      </c>
      <c r="E48">
        <v>0.49</v>
      </c>
    </row>
    <row r="49" spans="1:18" x14ac:dyDescent="0.3">
      <c r="A49" t="s">
        <v>258</v>
      </c>
      <c r="B49">
        <v>150</v>
      </c>
      <c r="C49">
        <v>7</v>
      </c>
      <c r="D49">
        <v>157</v>
      </c>
      <c r="E49">
        <v>1</v>
      </c>
    </row>
    <row r="50" spans="1:18" x14ac:dyDescent="0.3">
      <c r="A50" t="s">
        <v>259</v>
      </c>
      <c r="B50">
        <v>150</v>
      </c>
      <c r="C50">
        <v>7</v>
      </c>
      <c r="D50">
        <v>157</v>
      </c>
      <c r="E50">
        <v>0.92</v>
      </c>
    </row>
    <row r="51" spans="1:18" x14ac:dyDescent="0.3">
      <c r="A51" t="s">
        <v>260</v>
      </c>
      <c r="B51">
        <v>150</v>
      </c>
      <c r="C51">
        <v>7</v>
      </c>
      <c r="D51">
        <v>157</v>
      </c>
      <c r="E51">
        <v>0.96</v>
      </c>
    </row>
    <row r="53" spans="1:18" x14ac:dyDescent="0.3">
      <c r="A53" t="s">
        <v>254</v>
      </c>
      <c r="B53">
        <v>150</v>
      </c>
      <c r="C53">
        <v>7</v>
      </c>
      <c r="D53">
        <v>157</v>
      </c>
      <c r="E53">
        <v>0.98</v>
      </c>
    </row>
    <row r="54" spans="1:18" x14ac:dyDescent="0.3">
      <c r="A54" t="s">
        <v>255</v>
      </c>
      <c r="B54">
        <v>150</v>
      </c>
      <c r="C54">
        <v>7</v>
      </c>
      <c r="D54">
        <v>157</v>
      </c>
      <c r="E54">
        <v>0.91</v>
      </c>
    </row>
    <row r="55" spans="1:18" x14ac:dyDescent="0.3">
      <c r="A55" t="s">
        <v>261</v>
      </c>
      <c r="B55">
        <v>150</v>
      </c>
      <c r="C55">
        <v>7</v>
      </c>
      <c r="D55">
        <v>157</v>
      </c>
      <c r="E55">
        <v>0.73</v>
      </c>
    </row>
    <row r="56" spans="1:18" x14ac:dyDescent="0.3">
      <c r="A56" t="s">
        <v>262</v>
      </c>
      <c r="B56">
        <v>150</v>
      </c>
      <c r="C56">
        <v>7</v>
      </c>
      <c r="D56">
        <v>157</v>
      </c>
      <c r="E56">
        <v>0.88</v>
      </c>
    </row>
    <row r="57" spans="1:18" x14ac:dyDescent="0.3">
      <c r="A57" t="s">
        <v>263</v>
      </c>
      <c r="B57">
        <v>150</v>
      </c>
      <c r="C57">
        <v>7</v>
      </c>
      <c r="D57">
        <v>157</v>
      </c>
      <c r="E57">
        <v>1.1299999999999999</v>
      </c>
    </row>
    <row r="60" spans="1:18" x14ac:dyDescent="0.3">
      <c r="A60" s="17" t="s">
        <v>288</v>
      </c>
    </row>
    <row r="61" spans="1:18" x14ac:dyDescent="0.3">
      <c r="A61" s="15"/>
      <c r="B61" s="15"/>
      <c r="C61" s="15"/>
      <c r="D61" s="15"/>
      <c r="E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 spans="1:18" ht="15.6" x14ac:dyDescent="0.3">
      <c r="A62" s="16" t="s">
        <v>275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 spans="1:18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 spans="1:18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 spans="1:18" x14ac:dyDescent="0.3">
      <c r="A65" s="17" t="s">
        <v>276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 spans="1:18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 spans="1:18" x14ac:dyDescent="0.3">
      <c r="A67" s="18" t="s">
        <v>277</v>
      </c>
      <c r="B67" s="15" t="s">
        <v>278</v>
      </c>
      <c r="C67" s="15" t="s">
        <v>279</v>
      </c>
      <c r="D67" s="15" t="s">
        <v>280</v>
      </c>
      <c r="E67" s="17" t="s">
        <v>281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 spans="1:18" x14ac:dyDescent="0.3">
      <c r="A68" s="15">
        <v>0</v>
      </c>
      <c r="B68" s="15">
        <v>150.52000000000001</v>
      </c>
      <c r="C68" s="19">
        <v>8.5</v>
      </c>
      <c r="D68" s="19">
        <v>56.716000000000001</v>
      </c>
      <c r="E68" s="20">
        <v>12.164999999999999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 spans="1:18" x14ac:dyDescent="0.3">
      <c r="A69" s="15">
        <v>1</v>
      </c>
      <c r="B69" s="15">
        <v>150.44999999999999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 spans="1:18" x14ac:dyDescent="0.3">
      <c r="A70" s="15">
        <v>2</v>
      </c>
      <c r="B70" s="15">
        <v>150.38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 spans="1:18" x14ac:dyDescent="0.3">
      <c r="A71" s="15">
        <v>3</v>
      </c>
      <c r="B71" s="15">
        <v>150.31299999999999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 spans="1:18" x14ac:dyDescent="0.3">
      <c r="A72" s="15">
        <v>4</v>
      </c>
      <c r="B72" s="15">
        <v>150.24299999999999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spans="1:18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 spans="1:18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 spans="1:18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 spans="1:18" x14ac:dyDescent="0.3">
      <c r="A76" s="15" t="s">
        <v>282</v>
      </c>
      <c r="B76" s="15" t="s">
        <v>283</v>
      </c>
      <c r="C76" s="15" t="s">
        <v>284</v>
      </c>
      <c r="D76" s="15" t="s">
        <v>285</v>
      </c>
      <c r="E76" s="15" t="s">
        <v>286</v>
      </c>
      <c r="F76" s="15" t="s">
        <v>287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 spans="1:18" x14ac:dyDescent="0.3">
      <c r="A77" s="15"/>
      <c r="B77" s="19">
        <v>7.0000000000000007E-2</v>
      </c>
      <c r="C77" s="19">
        <v>7.0000000000000007E-2</v>
      </c>
      <c r="D77" s="19">
        <v>6.7000000000000004E-2</v>
      </c>
      <c r="E77" s="19">
        <v>7.0000000000000007E-2</v>
      </c>
      <c r="F77" s="19">
        <v>6.9000000000000006E-2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 spans="1:18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 spans="1:18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 spans="1:18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1:18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spans="1:18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1:18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1:18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BDFB-BED3-46EB-9CE4-E9BD2EFA56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ECFF-6323-42BD-8110-F7814833A2D9}">
  <dimension ref="A1:C10"/>
  <sheetViews>
    <sheetView workbookViewId="0">
      <selection activeCell="D7" sqref="D7"/>
    </sheetView>
  </sheetViews>
  <sheetFormatPr defaultRowHeight="14.4" x14ac:dyDescent="0.3"/>
  <sheetData>
    <row r="1" spans="1:3" x14ac:dyDescent="0.3">
      <c r="A1" t="s">
        <v>111</v>
      </c>
    </row>
    <row r="2" spans="1:3" x14ac:dyDescent="0.3">
      <c r="A2" t="s">
        <v>112</v>
      </c>
    </row>
    <row r="3" spans="1:3" x14ac:dyDescent="0.3">
      <c r="A3" t="s">
        <v>113</v>
      </c>
    </row>
    <row r="5" spans="1:3" x14ac:dyDescent="0.3">
      <c r="A5" t="s">
        <v>114</v>
      </c>
    </row>
    <row r="7" spans="1:3" x14ac:dyDescent="0.3">
      <c r="A7" t="s">
        <v>115</v>
      </c>
      <c r="C7" t="s">
        <v>119</v>
      </c>
    </row>
    <row r="8" spans="1:3" x14ac:dyDescent="0.3">
      <c r="A8" t="s">
        <v>116</v>
      </c>
      <c r="C8" t="s">
        <v>120</v>
      </c>
    </row>
    <row r="9" spans="1:3" x14ac:dyDescent="0.3">
      <c r="A9" t="s">
        <v>117</v>
      </c>
      <c r="C9" t="s">
        <v>121</v>
      </c>
    </row>
    <row r="10" spans="1:3" x14ac:dyDescent="0.3">
      <c r="A10" t="s">
        <v>118</v>
      </c>
      <c r="C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Product Data</vt:lpstr>
      <vt:lpstr>AI Dataset</vt:lpstr>
      <vt:lpstr>Retort Process Data</vt:lpstr>
      <vt:lpstr>Packaging Material Test</vt:lpstr>
      <vt:lpstr>E Nose </vt:lpstr>
      <vt:lpstr>Sample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Lone Wolf</dc:creator>
  <cp:lastModifiedBy>Omkar Shelar</cp:lastModifiedBy>
  <dcterms:created xsi:type="dcterms:W3CDTF">2015-06-05T18:17:20Z</dcterms:created>
  <dcterms:modified xsi:type="dcterms:W3CDTF">2026-08-09T22:59:47Z</dcterms:modified>
</cp:coreProperties>
</file>