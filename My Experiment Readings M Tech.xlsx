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6) Fourth Semester M Tech\Masters Thesis Research\Experimental Data\"/>
    </mc:Choice>
  </mc:AlternateContent>
  <xr:revisionPtr revIDLastSave="0" documentId="13_ncr:1_{CCF2B9A3-AAF8-44ED-A932-3326AFCE6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of the DATA" sheetId="1" r:id="rId1"/>
    <sheet name="Sensory" sheetId="6" r:id="rId2"/>
    <sheet name="Packaging Material Test" sheetId="9" r:id="rId3"/>
    <sheet name="Sample Coding" sheetId="2" r:id="rId4"/>
    <sheet name="Retort Process Data" sheetId="3" r:id="rId5"/>
    <sheet name="Physicochemical Data" sheetId="4" r:id="rId6"/>
    <sheet name="Microbiology" sheetId="5" r:id="rId7"/>
    <sheet name="Packaging Gas Data" sheetId="7" r:id="rId8"/>
    <sheet name="AI Dataset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3" i="3" l="1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634" i="3" s="1"/>
  <c r="C636" i="3" s="1"/>
  <c r="C553" i="3"/>
  <c r="C552" i="3"/>
  <c r="C551" i="3"/>
  <c r="C550" i="3"/>
  <c r="C549" i="3"/>
  <c r="C548" i="3"/>
  <c r="C547" i="3"/>
  <c r="C546" i="3"/>
  <c r="C545" i="3"/>
  <c r="C544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23" i="3" l="1"/>
  <c r="C125" i="3" s="1"/>
  <c r="C234" i="3"/>
  <c r="C236" i="3" s="1"/>
  <c r="C538" i="3"/>
  <c r="C540" i="3" s="1"/>
  <c r="C774" i="3"/>
  <c r="C776" i="3" s="1"/>
  <c r="C410" i="3"/>
  <c r="C412" i="3" s="1"/>
</calcChain>
</file>

<file path=xl/sharedStrings.xml><?xml version="1.0" encoding="utf-8"?>
<sst xmlns="http://schemas.openxmlformats.org/spreadsheetml/2006/main" count="1079" uniqueCount="212">
  <si>
    <t>Trial A (K121T20P20)</t>
  </si>
  <si>
    <t>F0</t>
  </si>
  <si>
    <t>pH</t>
  </si>
  <si>
    <t>PV</t>
  </si>
  <si>
    <t>TVC (TPC)</t>
  </si>
  <si>
    <t>Hold Time (Min)</t>
  </si>
  <si>
    <t>O2 %</t>
  </si>
  <si>
    <t>A1 RT</t>
  </si>
  <si>
    <t>A2 RT</t>
  </si>
  <si>
    <t>A3 RT</t>
  </si>
  <si>
    <t>CO2 %</t>
  </si>
  <si>
    <t>Moisture Content %</t>
  </si>
  <si>
    <t>Trial B (K121T10P20)</t>
  </si>
  <si>
    <t>B1 RT</t>
  </si>
  <si>
    <r>
      <t>Temp (</t>
    </r>
    <r>
      <rPr>
        <b/>
        <sz val="11"/>
        <color theme="1"/>
        <rFont val="Aptos Narrow"/>
        <family val="2"/>
      </rPr>
      <t>°</t>
    </r>
    <r>
      <rPr>
        <b/>
        <sz val="10.8"/>
        <color theme="1"/>
        <rFont val="Calibri"/>
        <family val="2"/>
      </rPr>
      <t>C)</t>
    </r>
  </si>
  <si>
    <t>B2 RT</t>
  </si>
  <si>
    <t>B3 RT</t>
  </si>
  <si>
    <t>B4 NRT</t>
  </si>
  <si>
    <t>Trial C (K121T30P20)</t>
  </si>
  <si>
    <t>C1 RT</t>
  </si>
  <si>
    <t>C2 RT</t>
  </si>
  <si>
    <t>C3 RT</t>
  </si>
  <si>
    <t>Storage Temp (°C)</t>
  </si>
  <si>
    <t>L*</t>
  </si>
  <si>
    <t>a*</t>
  </si>
  <si>
    <t>b*</t>
  </si>
  <si>
    <t>dE*</t>
  </si>
  <si>
    <t>C4 NRT</t>
  </si>
  <si>
    <t>8.18log CFU/g</t>
  </si>
  <si>
    <t>7.36log CFU/g</t>
  </si>
  <si>
    <t>8.11 log CFU/g</t>
  </si>
  <si>
    <t>Pressure</t>
  </si>
  <si>
    <t>Trial D (K121T15P20)</t>
  </si>
  <si>
    <t>D1 RT</t>
  </si>
  <si>
    <t>D2 RT</t>
  </si>
  <si>
    <t>D3 RT</t>
  </si>
  <si>
    <t>D4 NRT</t>
  </si>
  <si>
    <t>Storage Time in Days</t>
  </si>
  <si>
    <t>Pouch Internal Pressure (mbar)</t>
  </si>
  <si>
    <t>Due Point Water Activity Aw</t>
  </si>
  <si>
    <t>E1 RT</t>
  </si>
  <si>
    <t>E2 RT</t>
  </si>
  <si>
    <t>E3 RT</t>
  </si>
  <si>
    <t>E4 NRT</t>
  </si>
  <si>
    <t>E5 RT</t>
  </si>
  <si>
    <t>Trial E (K111T10P20)</t>
  </si>
  <si>
    <t>Trial F (K111T20P20)</t>
  </si>
  <si>
    <t>F1 RT</t>
  </si>
  <si>
    <t>F2 RT</t>
  </si>
  <si>
    <t>F3 RT</t>
  </si>
  <si>
    <t>F4 NRT</t>
  </si>
  <si>
    <t>F5 RT</t>
  </si>
  <si>
    <t>D5 RT</t>
  </si>
  <si>
    <t>D6 NRT</t>
  </si>
  <si>
    <t>A4 NRT</t>
  </si>
  <si>
    <t>Appearance</t>
  </si>
  <si>
    <t>Colour</t>
  </si>
  <si>
    <t>Aroma</t>
  </si>
  <si>
    <t>Taste</t>
  </si>
  <si>
    <t>Texture</t>
  </si>
  <si>
    <t>Overall Acceptability</t>
  </si>
  <si>
    <t>OSI Overall Sensory Index</t>
  </si>
  <si>
    <t>Trial  A</t>
  </si>
  <si>
    <t>Time</t>
  </si>
  <si>
    <t>Temprature</t>
  </si>
  <si>
    <t>Lethality</t>
  </si>
  <si>
    <t>Sum of Lethality</t>
  </si>
  <si>
    <t>F0 Value in Minutes</t>
  </si>
  <si>
    <t>Batch B</t>
  </si>
  <si>
    <t>Batch C</t>
  </si>
  <si>
    <t>Batch D</t>
  </si>
  <si>
    <t>Batch E</t>
  </si>
  <si>
    <t>Batch F</t>
  </si>
  <si>
    <t>ND</t>
  </si>
  <si>
    <t>Spoiled</t>
  </si>
  <si>
    <t>Trial G (K111T30P20)</t>
  </si>
  <si>
    <t>G1</t>
  </si>
  <si>
    <t>G2</t>
  </si>
  <si>
    <t>G3</t>
  </si>
  <si>
    <t>G4 NRT</t>
  </si>
  <si>
    <t>Fat %</t>
  </si>
  <si>
    <t>Trial H (K111T40P20)</t>
  </si>
  <si>
    <t>H1</t>
  </si>
  <si>
    <t>H2</t>
  </si>
  <si>
    <t>H3</t>
  </si>
  <si>
    <t>Trial I (K116T15P20)</t>
  </si>
  <si>
    <t>I1</t>
  </si>
  <si>
    <t>I2</t>
  </si>
  <si>
    <t>I3</t>
  </si>
  <si>
    <t>Trial J (K116T25P20)</t>
  </si>
  <si>
    <t>J1</t>
  </si>
  <si>
    <t>J2</t>
  </si>
  <si>
    <t>J3</t>
  </si>
  <si>
    <t>Trial K (K116T35P20)</t>
  </si>
  <si>
    <t>K1</t>
  </si>
  <si>
    <t>K2</t>
  </si>
  <si>
    <t>K3</t>
  </si>
  <si>
    <t>H4 NRT</t>
  </si>
  <si>
    <t>I4 NRT</t>
  </si>
  <si>
    <t>J4 NRT</t>
  </si>
  <si>
    <t>K4 NRT</t>
  </si>
  <si>
    <t>F6 NRT</t>
  </si>
  <si>
    <t>TNTC</t>
  </si>
  <si>
    <t xml:space="preserve">Retorted Pouch 150 g product filled dimentions </t>
  </si>
  <si>
    <t>E5</t>
  </si>
  <si>
    <t>E3</t>
  </si>
  <si>
    <t>F3</t>
  </si>
  <si>
    <t>F5</t>
  </si>
  <si>
    <t>Batch Code</t>
  </si>
  <si>
    <t>150+7</t>
  </si>
  <si>
    <t>Thickness (mm)</t>
  </si>
  <si>
    <t>weight (g)</t>
  </si>
  <si>
    <t>Parameter Score (1–9)</t>
  </si>
  <si>
    <t xml:space="preserve">Batch Code </t>
  </si>
  <si>
    <t>Sample ID</t>
  </si>
  <si>
    <t>OB1</t>
  </si>
  <si>
    <t>OB2</t>
  </si>
  <si>
    <t>OB3</t>
  </si>
  <si>
    <t>OB4 NRT</t>
  </si>
  <si>
    <t>OJ1</t>
  </si>
  <si>
    <t>OJ2</t>
  </si>
  <si>
    <t>OJ3</t>
  </si>
  <si>
    <t>OJ4 NRT</t>
  </si>
  <si>
    <t>Protein%</t>
  </si>
  <si>
    <t>the codeing of samples was done for optimization and final optimized samples</t>
  </si>
  <si>
    <t>codeing of optimization samples was like A, B, C, D, E, F, G, H, I, J, K</t>
  </si>
  <si>
    <t>Final optimized samples was coded as OB and OJ</t>
  </si>
  <si>
    <t xml:space="preserve">so the batch code of sample bags was like </t>
  </si>
  <si>
    <t>SK-OB-B1-T28-D0-R1</t>
  </si>
  <si>
    <t>SK-OJ-B2-T28-D0-R1</t>
  </si>
  <si>
    <t>SK-OJ-B3-T28-D0-R1</t>
  </si>
  <si>
    <t>SK-OB-B4-T28-D0-R1</t>
  </si>
  <si>
    <t>1 st batch</t>
  </si>
  <si>
    <t>2nd Batch</t>
  </si>
  <si>
    <t>3 rd battch</t>
  </si>
  <si>
    <t>4 th batch</t>
  </si>
  <si>
    <t>A5 RT</t>
  </si>
  <si>
    <t>A6 NRT</t>
  </si>
  <si>
    <t>Fresh</t>
  </si>
  <si>
    <t>Pouch Condition</t>
  </si>
  <si>
    <t>Sample Status</t>
  </si>
  <si>
    <t>Observation</t>
  </si>
  <si>
    <t>Acceptable</t>
  </si>
  <si>
    <t>Normal</t>
  </si>
  <si>
    <t>H5 RT</t>
  </si>
  <si>
    <t>H6 NRT</t>
  </si>
  <si>
    <t>I5 RT</t>
  </si>
  <si>
    <t>I6 NRT</t>
  </si>
  <si>
    <t>K5 RT</t>
  </si>
  <si>
    <t>K6 NRT</t>
  </si>
  <si>
    <t>OB5 RT</t>
  </si>
  <si>
    <t>G5 RT</t>
  </si>
  <si>
    <t>G6 NRT</t>
  </si>
  <si>
    <t>E6 NRT</t>
  </si>
  <si>
    <t>OB6 NRT</t>
  </si>
  <si>
    <t>OB7 RT</t>
  </si>
  <si>
    <t>OJ5 RT</t>
  </si>
  <si>
    <t>OJ6 NRT</t>
  </si>
  <si>
    <t>Bulged</t>
  </si>
  <si>
    <t>Gas Formation</t>
  </si>
  <si>
    <t>OB8 RT</t>
  </si>
  <si>
    <t>OB9 RT</t>
  </si>
  <si>
    <t>OB10 RT</t>
  </si>
  <si>
    <t>OB11 RT</t>
  </si>
  <si>
    <t>OB12 RT</t>
  </si>
  <si>
    <t>OB13 RT</t>
  </si>
  <si>
    <t>OB14 RT</t>
  </si>
  <si>
    <t>OB15 RT</t>
  </si>
  <si>
    <t>OB16 RT</t>
  </si>
  <si>
    <t>OB17 RT</t>
  </si>
  <si>
    <t>OB18 RT</t>
  </si>
  <si>
    <t>OB19 RT</t>
  </si>
  <si>
    <t>OB20 RT</t>
  </si>
  <si>
    <t>OB21 RT</t>
  </si>
  <si>
    <t>OB22 RT</t>
  </si>
  <si>
    <t>OB23 RT</t>
  </si>
  <si>
    <t>OB24 RT</t>
  </si>
  <si>
    <t>OB25 RT</t>
  </si>
  <si>
    <t>OB26 RT</t>
  </si>
  <si>
    <t>OB27 RT</t>
  </si>
  <si>
    <t>OB28 RT</t>
  </si>
  <si>
    <t>OB29 RT</t>
  </si>
  <si>
    <t>Optimized Trial OJ 2 (OJ2K116T25P20)OJ</t>
  </si>
  <si>
    <t>Optimized Trial OB 1 (OB1K121T10P20)OB</t>
  </si>
  <si>
    <t>Optimized Trial OJ 3 (OJ3K116T25P20)OJ</t>
  </si>
  <si>
    <t>Optimized Trial OB 4 (OB4K121T10P20)OB</t>
  </si>
  <si>
    <t>OJ7 NRT</t>
  </si>
  <si>
    <t>OJ8 NRT</t>
  </si>
  <si>
    <t>OJ9 NRT</t>
  </si>
  <si>
    <t>OJ10 NRT</t>
  </si>
  <si>
    <t>OJ11 NRT</t>
  </si>
  <si>
    <t>OJ12 NRT</t>
  </si>
  <si>
    <t>OJ13 NRT</t>
  </si>
  <si>
    <t>OJ14 NRT</t>
  </si>
  <si>
    <t>OJ15 NRT</t>
  </si>
  <si>
    <t>OJ16 NRT</t>
  </si>
  <si>
    <t>OJ17 NRT</t>
  </si>
  <si>
    <t>OJ18 NRT</t>
  </si>
  <si>
    <t>OJ20 NRT</t>
  </si>
  <si>
    <t>OJ21 NRT</t>
  </si>
  <si>
    <t>OJ24 NRT</t>
  </si>
  <si>
    <t>OJ19 NRT</t>
  </si>
  <si>
    <t>OJ22 NRT</t>
  </si>
  <si>
    <t>OJ23 NRT</t>
  </si>
  <si>
    <t>OJ25 NRT</t>
  </si>
  <si>
    <t>OJ26 NRT</t>
  </si>
  <si>
    <t>OJ27 NRT</t>
  </si>
  <si>
    <t>OJ28 NRT</t>
  </si>
  <si>
    <t>OJ29 NRT</t>
  </si>
  <si>
    <t>OJ30 NRT</t>
  </si>
  <si>
    <t>OJ31 NRT</t>
  </si>
  <si>
    <t>Net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</si>
</sst>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0.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1" fontId="0" fillId="0" borderId="0" xfId="0" applyNumberFormat="1"/>
    <xf numFmtId="21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[1]Sheet1!$B$128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[1]Sheet1!$A$129:$A$233</c:f>
              <c:numCache>
                <c:formatCode>General</c:formatCode>
                <c:ptCount val="105"/>
                <c:pt idx="0">
                  <c:v>0.62146990740740737</c:v>
                </c:pt>
                <c:pt idx="1">
                  <c:v>0.62181712962962965</c:v>
                </c:pt>
                <c:pt idx="2">
                  <c:v>0.62216435185185182</c:v>
                </c:pt>
                <c:pt idx="3">
                  <c:v>0.62251157407407409</c:v>
                </c:pt>
                <c:pt idx="4">
                  <c:v>0.62285879629629626</c:v>
                </c:pt>
                <c:pt idx="5">
                  <c:v>0.62320601851851853</c:v>
                </c:pt>
                <c:pt idx="6">
                  <c:v>0.6235532407407407</c:v>
                </c:pt>
                <c:pt idx="7">
                  <c:v>0.62390046296296298</c:v>
                </c:pt>
                <c:pt idx="8">
                  <c:v>0.62424768518518514</c:v>
                </c:pt>
                <c:pt idx="9">
                  <c:v>0.62459490740740742</c:v>
                </c:pt>
                <c:pt idx="10">
                  <c:v>0.62494212962962958</c:v>
                </c:pt>
                <c:pt idx="11">
                  <c:v>0.62528935185185186</c:v>
                </c:pt>
                <c:pt idx="12">
                  <c:v>0.62563657407407403</c:v>
                </c:pt>
                <c:pt idx="13">
                  <c:v>0.6259837962962963</c:v>
                </c:pt>
                <c:pt idx="14">
                  <c:v>0.62633101851851847</c:v>
                </c:pt>
                <c:pt idx="15">
                  <c:v>0.62667824074074074</c:v>
                </c:pt>
                <c:pt idx="16">
                  <c:v>0.62702546296296291</c:v>
                </c:pt>
                <c:pt idx="17">
                  <c:v>0.62737268518518519</c:v>
                </c:pt>
                <c:pt idx="18">
                  <c:v>0.62771990740740746</c:v>
                </c:pt>
                <c:pt idx="19">
                  <c:v>0.62806712962962963</c:v>
                </c:pt>
                <c:pt idx="20">
                  <c:v>0.6284143518518519</c:v>
                </c:pt>
                <c:pt idx="21">
                  <c:v>0.62876157407407407</c:v>
                </c:pt>
                <c:pt idx="22">
                  <c:v>0.62910879629629635</c:v>
                </c:pt>
                <c:pt idx="23">
                  <c:v>0.62945601851851851</c:v>
                </c:pt>
                <c:pt idx="24">
                  <c:v>0.62980324074074079</c:v>
                </c:pt>
                <c:pt idx="25">
                  <c:v>0.63015046296296295</c:v>
                </c:pt>
                <c:pt idx="26">
                  <c:v>0.63049768518518523</c:v>
                </c:pt>
                <c:pt idx="27">
                  <c:v>0.6308449074074074</c:v>
                </c:pt>
                <c:pt idx="28">
                  <c:v>0.63119212962962967</c:v>
                </c:pt>
                <c:pt idx="29">
                  <c:v>0.63153935185185184</c:v>
                </c:pt>
                <c:pt idx="30">
                  <c:v>0.63188657407407411</c:v>
                </c:pt>
                <c:pt idx="31">
                  <c:v>0.63223379629629628</c:v>
                </c:pt>
                <c:pt idx="32">
                  <c:v>0.63258101851851856</c:v>
                </c:pt>
                <c:pt idx="33">
                  <c:v>0.63292824074074072</c:v>
                </c:pt>
                <c:pt idx="34">
                  <c:v>0.633275462962963</c:v>
                </c:pt>
                <c:pt idx="35">
                  <c:v>0.63362268518518516</c:v>
                </c:pt>
                <c:pt idx="36">
                  <c:v>0.63396990740740744</c:v>
                </c:pt>
                <c:pt idx="37">
                  <c:v>0.63431712962962961</c:v>
                </c:pt>
                <c:pt idx="38">
                  <c:v>0.63466435185185188</c:v>
                </c:pt>
                <c:pt idx="39">
                  <c:v>0.63501157407407405</c:v>
                </c:pt>
                <c:pt idx="40">
                  <c:v>0.63535879629629632</c:v>
                </c:pt>
                <c:pt idx="41">
                  <c:v>0.63570601851851849</c:v>
                </c:pt>
                <c:pt idx="42">
                  <c:v>0.63605324074074077</c:v>
                </c:pt>
                <c:pt idx="43">
                  <c:v>0.63640046296296293</c:v>
                </c:pt>
                <c:pt idx="44">
                  <c:v>0.63674768518518521</c:v>
                </c:pt>
                <c:pt idx="45">
                  <c:v>0.63709490740740737</c:v>
                </c:pt>
                <c:pt idx="46">
                  <c:v>0.63744212962962965</c:v>
                </c:pt>
                <c:pt idx="47">
                  <c:v>0.63778935185185182</c:v>
                </c:pt>
                <c:pt idx="48">
                  <c:v>0.63813657407407409</c:v>
                </c:pt>
                <c:pt idx="49">
                  <c:v>0.63848379629629626</c:v>
                </c:pt>
                <c:pt idx="50">
                  <c:v>0.63883101851851853</c:v>
                </c:pt>
                <c:pt idx="51">
                  <c:v>0.6391782407407407</c:v>
                </c:pt>
                <c:pt idx="52">
                  <c:v>0.63952546296296298</c:v>
                </c:pt>
                <c:pt idx="53">
                  <c:v>0.63987268518518514</c:v>
                </c:pt>
                <c:pt idx="54">
                  <c:v>0.64021990740740742</c:v>
                </c:pt>
                <c:pt idx="55">
                  <c:v>0.64056712962962958</c:v>
                </c:pt>
                <c:pt idx="56">
                  <c:v>0.64091435185185186</c:v>
                </c:pt>
                <c:pt idx="57">
                  <c:v>0.64126157407407403</c:v>
                </c:pt>
                <c:pt idx="58">
                  <c:v>0.6416087962962963</c:v>
                </c:pt>
                <c:pt idx="59">
                  <c:v>0.64195601851851847</c:v>
                </c:pt>
                <c:pt idx="60">
                  <c:v>0.64230324074074074</c:v>
                </c:pt>
                <c:pt idx="61">
                  <c:v>0.64265046296296291</c:v>
                </c:pt>
                <c:pt idx="62">
                  <c:v>0.64299768518518519</c:v>
                </c:pt>
                <c:pt idx="63">
                  <c:v>0.64334490740740746</c:v>
                </c:pt>
                <c:pt idx="64">
                  <c:v>0.64369212962962963</c:v>
                </c:pt>
                <c:pt idx="65">
                  <c:v>0.6440393518518519</c:v>
                </c:pt>
                <c:pt idx="66">
                  <c:v>0.64438657407407407</c:v>
                </c:pt>
                <c:pt idx="67">
                  <c:v>0.64473379629629635</c:v>
                </c:pt>
                <c:pt idx="68">
                  <c:v>0.64508101851851851</c:v>
                </c:pt>
                <c:pt idx="69">
                  <c:v>0.64542824074074079</c:v>
                </c:pt>
                <c:pt idx="70">
                  <c:v>0.64577546296296295</c:v>
                </c:pt>
                <c:pt idx="71">
                  <c:v>0.64612268518518523</c:v>
                </c:pt>
                <c:pt idx="72">
                  <c:v>0.6464699074074074</c:v>
                </c:pt>
                <c:pt idx="73">
                  <c:v>0.64681712962962967</c:v>
                </c:pt>
                <c:pt idx="74">
                  <c:v>0.64716435185185184</c:v>
                </c:pt>
                <c:pt idx="75">
                  <c:v>0.64751157407407411</c:v>
                </c:pt>
                <c:pt idx="76">
                  <c:v>0.64785879629629628</c:v>
                </c:pt>
                <c:pt idx="77">
                  <c:v>0.64820601851851856</c:v>
                </c:pt>
                <c:pt idx="78">
                  <c:v>0.64855324074074072</c:v>
                </c:pt>
                <c:pt idx="79">
                  <c:v>0.648900462962963</c:v>
                </c:pt>
                <c:pt idx="80">
                  <c:v>0.64924768518518516</c:v>
                </c:pt>
                <c:pt idx="81">
                  <c:v>0.64959490740740744</c:v>
                </c:pt>
                <c:pt idx="82">
                  <c:v>0.64994212962962961</c:v>
                </c:pt>
                <c:pt idx="83">
                  <c:v>0.65028935185185188</c:v>
                </c:pt>
                <c:pt idx="84">
                  <c:v>0.65063657407407405</c:v>
                </c:pt>
                <c:pt idx="85">
                  <c:v>0.65098379629629632</c:v>
                </c:pt>
                <c:pt idx="86">
                  <c:v>0.65133101851851849</c:v>
                </c:pt>
                <c:pt idx="87">
                  <c:v>0.65167824074074077</c:v>
                </c:pt>
                <c:pt idx="88">
                  <c:v>0.65202546296296293</c:v>
                </c:pt>
                <c:pt idx="89">
                  <c:v>0.65237268518518521</c:v>
                </c:pt>
                <c:pt idx="90">
                  <c:v>0.65271990740740737</c:v>
                </c:pt>
                <c:pt idx="91">
                  <c:v>0.65306712962962965</c:v>
                </c:pt>
                <c:pt idx="92">
                  <c:v>0.65341435185185182</c:v>
                </c:pt>
                <c:pt idx="93">
                  <c:v>0.65376157407407409</c:v>
                </c:pt>
                <c:pt idx="94">
                  <c:v>0.65410879629629626</c:v>
                </c:pt>
                <c:pt idx="95">
                  <c:v>0.65445601851851853</c:v>
                </c:pt>
                <c:pt idx="96">
                  <c:v>0.6548032407407407</c:v>
                </c:pt>
                <c:pt idx="97">
                  <c:v>0.65515046296296298</c:v>
                </c:pt>
                <c:pt idx="98">
                  <c:v>0.65549768518518514</c:v>
                </c:pt>
                <c:pt idx="99">
                  <c:v>0.65584490740740742</c:v>
                </c:pt>
                <c:pt idx="100">
                  <c:v>0.65620370370370373</c:v>
                </c:pt>
                <c:pt idx="101">
                  <c:v>0.65653935185185186</c:v>
                </c:pt>
                <c:pt idx="102">
                  <c:v>0.65689814814814818</c:v>
                </c:pt>
                <c:pt idx="103">
                  <c:v>0.6572337962962963</c:v>
                </c:pt>
                <c:pt idx="104">
                  <c:v>0.65759259259259262</c:v>
                </c:pt>
              </c:numCache>
            </c:numRef>
          </c:cat>
          <c:val>
            <c:numRef>
              <c:f>[1]Sheet1!$B$129:$B$233</c:f>
              <c:numCache>
                <c:formatCode>General</c:formatCode>
                <c:ptCount val="105"/>
                <c:pt idx="0">
                  <c:v>34.799999999999997</c:v>
                </c:pt>
                <c:pt idx="1">
                  <c:v>34.5</c:v>
                </c:pt>
                <c:pt idx="2">
                  <c:v>35</c:v>
                </c:pt>
                <c:pt idx="3">
                  <c:v>37.200000000000003</c:v>
                </c:pt>
                <c:pt idx="4">
                  <c:v>42.5</c:v>
                </c:pt>
                <c:pt idx="5">
                  <c:v>48.1</c:v>
                </c:pt>
                <c:pt idx="6">
                  <c:v>53.3</c:v>
                </c:pt>
                <c:pt idx="7">
                  <c:v>57.9</c:v>
                </c:pt>
                <c:pt idx="8">
                  <c:v>62.1</c:v>
                </c:pt>
                <c:pt idx="9">
                  <c:v>64.900000000000006</c:v>
                </c:pt>
                <c:pt idx="10">
                  <c:v>67.400000000000006</c:v>
                </c:pt>
                <c:pt idx="11">
                  <c:v>69.7</c:v>
                </c:pt>
                <c:pt idx="12">
                  <c:v>73.400000000000006</c:v>
                </c:pt>
                <c:pt idx="13">
                  <c:v>76.3</c:v>
                </c:pt>
                <c:pt idx="14">
                  <c:v>78.7</c:v>
                </c:pt>
                <c:pt idx="15">
                  <c:v>80</c:v>
                </c:pt>
                <c:pt idx="16">
                  <c:v>81.5</c:v>
                </c:pt>
                <c:pt idx="17">
                  <c:v>82.8</c:v>
                </c:pt>
                <c:pt idx="18">
                  <c:v>84.1</c:v>
                </c:pt>
                <c:pt idx="19">
                  <c:v>84.8</c:v>
                </c:pt>
                <c:pt idx="20">
                  <c:v>85.5</c:v>
                </c:pt>
                <c:pt idx="21">
                  <c:v>86.1</c:v>
                </c:pt>
                <c:pt idx="22">
                  <c:v>86.4</c:v>
                </c:pt>
                <c:pt idx="23">
                  <c:v>87.2</c:v>
                </c:pt>
                <c:pt idx="24">
                  <c:v>88.2</c:v>
                </c:pt>
                <c:pt idx="25">
                  <c:v>89.8</c:v>
                </c:pt>
                <c:pt idx="26">
                  <c:v>92.3</c:v>
                </c:pt>
                <c:pt idx="27">
                  <c:v>94.4</c:v>
                </c:pt>
                <c:pt idx="28">
                  <c:v>96.5</c:v>
                </c:pt>
                <c:pt idx="29">
                  <c:v>98.7</c:v>
                </c:pt>
                <c:pt idx="30">
                  <c:v>100.8</c:v>
                </c:pt>
                <c:pt idx="31">
                  <c:v>103.7</c:v>
                </c:pt>
                <c:pt idx="32">
                  <c:v>106.7</c:v>
                </c:pt>
                <c:pt idx="33">
                  <c:v>109.5</c:v>
                </c:pt>
                <c:pt idx="34">
                  <c:v>111.5</c:v>
                </c:pt>
                <c:pt idx="35">
                  <c:v>112.7</c:v>
                </c:pt>
                <c:pt idx="36">
                  <c:v>113.8</c:v>
                </c:pt>
                <c:pt idx="37">
                  <c:v>114.8</c:v>
                </c:pt>
                <c:pt idx="38">
                  <c:v>115.6</c:v>
                </c:pt>
                <c:pt idx="39">
                  <c:v>116.4</c:v>
                </c:pt>
                <c:pt idx="40">
                  <c:v>117.2</c:v>
                </c:pt>
                <c:pt idx="41">
                  <c:v>118.1</c:v>
                </c:pt>
                <c:pt idx="42">
                  <c:v>118.9</c:v>
                </c:pt>
                <c:pt idx="43">
                  <c:v>119.7</c:v>
                </c:pt>
                <c:pt idx="44">
                  <c:v>120.5</c:v>
                </c:pt>
                <c:pt idx="45">
                  <c:v>121.2</c:v>
                </c:pt>
                <c:pt idx="46">
                  <c:v>121.2</c:v>
                </c:pt>
                <c:pt idx="47">
                  <c:v>120.7</c:v>
                </c:pt>
                <c:pt idx="48">
                  <c:v>122.6</c:v>
                </c:pt>
                <c:pt idx="49">
                  <c:v>122</c:v>
                </c:pt>
                <c:pt idx="50">
                  <c:v>121.1</c:v>
                </c:pt>
                <c:pt idx="51">
                  <c:v>121.1</c:v>
                </c:pt>
                <c:pt idx="52">
                  <c:v>123.4</c:v>
                </c:pt>
                <c:pt idx="53">
                  <c:v>122.7</c:v>
                </c:pt>
                <c:pt idx="54">
                  <c:v>121.9</c:v>
                </c:pt>
                <c:pt idx="55">
                  <c:v>121</c:v>
                </c:pt>
                <c:pt idx="56">
                  <c:v>121.7</c:v>
                </c:pt>
                <c:pt idx="57">
                  <c:v>122.9</c:v>
                </c:pt>
                <c:pt idx="58">
                  <c:v>122.1</c:v>
                </c:pt>
                <c:pt idx="59">
                  <c:v>121.2</c:v>
                </c:pt>
                <c:pt idx="60">
                  <c:v>121.2</c:v>
                </c:pt>
                <c:pt idx="61">
                  <c:v>122.6</c:v>
                </c:pt>
                <c:pt idx="62">
                  <c:v>121.7</c:v>
                </c:pt>
                <c:pt idx="63">
                  <c:v>120.9</c:v>
                </c:pt>
                <c:pt idx="64">
                  <c:v>122.1</c:v>
                </c:pt>
                <c:pt idx="65">
                  <c:v>122.2</c:v>
                </c:pt>
                <c:pt idx="66">
                  <c:v>115.9</c:v>
                </c:pt>
                <c:pt idx="67">
                  <c:v>112.2</c:v>
                </c:pt>
                <c:pt idx="68">
                  <c:v>102</c:v>
                </c:pt>
                <c:pt idx="69">
                  <c:v>85.1</c:v>
                </c:pt>
                <c:pt idx="70">
                  <c:v>79.8</c:v>
                </c:pt>
                <c:pt idx="71">
                  <c:v>75.900000000000006</c:v>
                </c:pt>
                <c:pt idx="72">
                  <c:v>72.2</c:v>
                </c:pt>
                <c:pt idx="73">
                  <c:v>69.099999999999994</c:v>
                </c:pt>
                <c:pt idx="74">
                  <c:v>66.400000000000006</c:v>
                </c:pt>
                <c:pt idx="75">
                  <c:v>64</c:v>
                </c:pt>
                <c:pt idx="76">
                  <c:v>61.5</c:v>
                </c:pt>
                <c:pt idx="77">
                  <c:v>59.6</c:v>
                </c:pt>
                <c:pt idx="78">
                  <c:v>57.9</c:v>
                </c:pt>
                <c:pt idx="79">
                  <c:v>56.3</c:v>
                </c:pt>
                <c:pt idx="80">
                  <c:v>54.9</c:v>
                </c:pt>
                <c:pt idx="81">
                  <c:v>53.7</c:v>
                </c:pt>
                <c:pt idx="82">
                  <c:v>52.6</c:v>
                </c:pt>
                <c:pt idx="83">
                  <c:v>51.6</c:v>
                </c:pt>
                <c:pt idx="84">
                  <c:v>50.7</c:v>
                </c:pt>
                <c:pt idx="85">
                  <c:v>50</c:v>
                </c:pt>
                <c:pt idx="86">
                  <c:v>49.3</c:v>
                </c:pt>
                <c:pt idx="87">
                  <c:v>48.6</c:v>
                </c:pt>
                <c:pt idx="88">
                  <c:v>48.1</c:v>
                </c:pt>
                <c:pt idx="89">
                  <c:v>47.5</c:v>
                </c:pt>
                <c:pt idx="90">
                  <c:v>47</c:v>
                </c:pt>
                <c:pt idx="91">
                  <c:v>46.7</c:v>
                </c:pt>
                <c:pt idx="92">
                  <c:v>46.3</c:v>
                </c:pt>
                <c:pt idx="93">
                  <c:v>45.9</c:v>
                </c:pt>
                <c:pt idx="94">
                  <c:v>45.5</c:v>
                </c:pt>
                <c:pt idx="95">
                  <c:v>45.2</c:v>
                </c:pt>
                <c:pt idx="96">
                  <c:v>45</c:v>
                </c:pt>
                <c:pt idx="97">
                  <c:v>45</c:v>
                </c:pt>
                <c:pt idx="98">
                  <c:v>44.9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45</c:v>
                </c:pt>
                <c:pt idx="10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B-494C-A4CA-2B3DB1EA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324000"/>
        <c:axId val="1626323520"/>
      </c:lineChart>
      <c:catAx>
        <c:axId val="162632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3520"/>
        <c:crosses val="autoZero"/>
        <c:auto val="1"/>
        <c:lblAlgn val="ctr"/>
        <c:lblOffset val="100"/>
        <c:noMultiLvlLbl val="0"/>
      </c:catAx>
      <c:valAx>
        <c:axId val="1626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[1]Sheet1!$B$239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[1]Sheet1!$A$240:$A$409</c:f>
              <c:numCache>
                <c:formatCode>General</c:formatCode>
                <c:ptCount val="170"/>
                <c:pt idx="0">
                  <c:v>0.61641203703703706</c:v>
                </c:pt>
                <c:pt idx="1">
                  <c:v>0.61675925925925923</c:v>
                </c:pt>
                <c:pt idx="2">
                  <c:v>0.61710648148148151</c:v>
                </c:pt>
                <c:pt idx="3">
                  <c:v>0.61745370370370367</c:v>
                </c:pt>
                <c:pt idx="4">
                  <c:v>0.61780092592592595</c:v>
                </c:pt>
                <c:pt idx="5">
                  <c:v>0.61814814814814811</c:v>
                </c:pt>
                <c:pt idx="6">
                  <c:v>0.61849537037037039</c:v>
                </c:pt>
                <c:pt idx="7">
                  <c:v>0.61884259259259256</c:v>
                </c:pt>
                <c:pt idx="8">
                  <c:v>0.61918981481481483</c:v>
                </c:pt>
                <c:pt idx="9">
                  <c:v>0.619537037037037</c:v>
                </c:pt>
                <c:pt idx="10">
                  <c:v>0.61988425925925927</c:v>
                </c:pt>
                <c:pt idx="11">
                  <c:v>0.62023148148148144</c:v>
                </c:pt>
                <c:pt idx="12">
                  <c:v>0.62057870370370372</c:v>
                </c:pt>
                <c:pt idx="13">
                  <c:v>0.62092592592592588</c:v>
                </c:pt>
                <c:pt idx="14">
                  <c:v>0.62127314814814816</c:v>
                </c:pt>
                <c:pt idx="15">
                  <c:v>0.62162037037037032</c:v>
                </c:pt>
                <c:pt idx="16">
                  <c:v>0.6219675925925926</c:v>
                </c:pt>
                <c:pt idx="17">
                  <c:v>0.62231481481481477</c:v>
                </c:pt>
                <c:pt idx="18">
                  <c:v>0.62266203703703704</c:v>
                </c:pt>
                <c:pt idx="19">
                  <c:v>0.62300925925925921</c:v>
                </c:pt>
                <c:pt idx="20">
                  <c:v>0.62335648148148148</c:v>
                </c:pt>
                <c:pt idx="21">
                  <c:v>0.62370370370370365</c:v>
                </c:pt>
                <c:pt idx="22">
                  <c:v>0.62405092592592593</c:v>
                </c:pt>
                <c:pt idx="23">
                  <c:v>0.6243981481481482</c:v>
                </c:pt>
                <c:pt idx="24">
                  <c:v>0.62474537037037037</c:v>
                </c:pt>
                <c:pt idx="25">
                  <c:v>0.62509259259259264</c:v>
                </c:pt>
                <c:pt idx="26">
                  <c:v>0.62543981481481481</c:v>
                </c:pt>
                <c:pt idx="27">
                  <c:v>0.62578703703703709</c:v>
                </c:pt>
                <c:pt idx="28">
                  <c:v>0.62613425925925925</c:v>
                </c:pt>
                <c:pt idx="29">
                  <c:v>0.62648148148148153</c:v>
                </c:pt>
                <c:pt idx="30">
                  <c:v>0.62682870370370369</c:v>
                </c:pt>
                <c:pt idx="31">
                  <c:v>0.62717592592592597</c:v>
                </c:pt>
                <c:pt idx="32">
                  <c:v>0.62752314814814814</c:v>
                </c:pt>
                <c:pt idx="33">
                  <c:v>0.62787037037037041</c:v>
                </c:pt>
                <c:pt idx="34">
                  <c:v>0.62821759259259258</c:v>
                </c:pt>
                <c:pt idx="35">
                  <c:v>0.62856481481481485</c:v>
                </c:pt>
                <c:pt idx="36">
                  <c:v>0.62891203703703702</c:v>
                </c:pt>
                <c:pt idx="37">
                  <c:v>0.6292592592592593</c:v>
                </c:pt>
                <c:pt idx="38">
                  <c:v>0.62960648148148146</c:v>
                </c:pt>
                <c:pt idx="39">
                  <c:v>0.62995370370370374</c:v>
                </c:pt>
                <c:pt idx="40">
                  <c:v>0.6303009259259259</c:v>
                </c:pt>
                <c:pt idx="41">
                  <c:v>0.63064814814814818</c:v>
                </c:pt>
                <c:pt idx="42">
                  <c:v>0.63099537037037035</c:v>
                </c:pt>
                <c:pt idx="43">
                  <c:v>0.63134259259259262</c:v>
                </c:pt>
                <c:pt idx="44">
                  <c:v>0.63168981481481479</c:v>
                </c:pt>
                <c:pt idx="45">
                  <c:v>0.63203703703703706</c:v>
                </c:pt>
                <c:pt idx="46">
                  <c:v>0.63238425925925923</c:v>
                </c:pt>
                <c:pt idx="47">
                  <c:v>0.63273148148148151</c:v>
                </c:pt>
                <c:pt idx="48">
                  <c:v>0.63307870370370367</c:v>
                </c:pt>
                <c:pt idx="49">
                  <c:v>0.63342592592592595</c:v>
                </c:pt>
                <c:pt idx="50">
                  <c:v>0.63377314814814811</c:v>
                </c:pt>
                <c:pt idx="51">
                  <c:v>0.63412037037037039</c:v>
                </c:pt>
                <c:pt idx="52">
                  <c:v>0.63446759259259256</c:v>
                </c:pt>
                <c:pt idx="53">
                  <c:v>0.63481481481481483</c:v>
                </c:pt>
                <c:pt idx="54">
                  <c:v>0.635162037037037</c:v>
                </c:pt>
                <c:pt idx="55">
                  <c:v>0.63550925925925927</c:v>
                </c:pt>
                <c:pt idx="56">
                  <c:v>0.63585648148148144</c:v>
                </c:pt>
                <c:pt idx="57">
                  <c:v>0.63620370370370372</c:v>
                </c:pt>
                <c:pt idx="58">
                  <c:v>0.63655092592592588</c:v>
                </c:pt>
                <c:pt idx="59">
                  <c:v>0.63689814814814816</c:v>
                </c:pt>
                <c:pt idx="60">
                  <c:v>0.63724537037037032</c:v>
                </c:pt>
                <c:pt idx="61">
                  <c:v>0.6375925925925926</c:v>
                </c:pt>
                <c:pt idx="62">
                  <c:v>0.63793981481481477</c:v>
                </c:pt>
                <c:pt idx="63">
                  <c:v>0.63828703703703704</c:v>
                </c:pt>
                <c:pt idx="64">
                  <c:v>0.63863425925925921</c:v>
                </c:pt>
                <c:pt idx="65">
                  <c:v>0.63898148148148148</c:v>
                </c:pt>
                <c:pt idx="66">
                  <c:v>0.63932870370370365</c:v>
                </c:pt>
                <c:pt idx="67">
                  <c:v>0.63967592592592593</c:v>
                </c:pt>
                <c:pt idx="68">
                  <c:v>0.6400231481481482</c:v>
                </c:pt>
                <c:pt idx="69">
                  <c:v>0.64037037037037037</c:v>
                </c:pt>
                <c:pt idx="70">
                  <c:v>0.64071759259259264</c:v>
                </c:pt>
                <c:pt idx="71">
                  <c:v>0.64106481481481481</c:v>
                </c:pt>
                <c:pt idx="72">
                  <c:v>0.64141203703703709</c:v>
                </c:pt>
                <c:pt idx="73">
                  <c:v>0.64175925925925925</c:v>
                </c:pt>
                <c:pt idx="74">
                  <c:v>0.64210648148148153</c:v>
                </c:pt>
                <c:pt idx="75">
                  <c:v>0.64245370370370369</c:v>
                </c:pt>
                <c:pt idx="76">
                  <c:v>0.64280092592592597</c:v>
                </c:pt>
                <c:pt idx="77">
                  <c:v>0.64314814814814814</c:v>
                </c:pt>
                <c:pt idx="78">
                  <c:v>0.64349537037037041</c:v>
                </c:pt>
                <c:pt idx="79">
                  <c:v>0.64384259259259258</c:v>
                </c:pt>
                <c:pt idx="80">
                  <c:v>0.64418981481481485</c:v>
                </c:pt>
                <c:pt idx="81">
                  <c:v>0.64453703703703702</c:v>
                </c:pt>
                <c:pt idx="82">
                  <c:v>0.6448842592592593</c:v>
                </c:pt>
                <c:pt idx="83">
                  <c:v>0.64523148148148146</c:v>
                </c:pt>
                <c:pt idx="84">
                  <c:v>0.64557870370370374</c:v>
                </c:pt>
                <c:pt idx="85">
                  <c:v>0.6459259259259259</c:v>
                </c:pt>
                <c:pt idx="86">
                  <c:v>0.64627314814814818</c:v>
                </c:pt>
                <c:pt idx="87">
                  <c:v>0.64662037037037035</c:v>
                </c:pt>
                <c:pt idx="88">
                  <c:v>0.64696759259259262</c:v>
                </c:pt>
                <c:pt idx="89">
                  <c:v>0.64731481481481479</c:v>
                </c:pt>
                <c:pt idx="90">
                  <c:v>0.64766203703703706</c:v>
                </c:pt>
                <c:pt idx="91">
                  <c:v>0.64800925925925923</c:v>
                </c:pt>
                <c:pt idx="92">
                  <c:v>0.64835648148148151</c:v>
                </c:pt>
                <c:pt idx="93">
                  <c:v>0.64870370370370367</c:v>
                </c:pt>
                <c:pt idx="94">
                  <c:v>0.64905092592592595</c:v>
                </c:pt>
                <c:pt idx="95">
                  <c:v>0.64939814814814811</c:v>
                </c:pt>
                <c:pt idx="96">
                  <c:v>0.64974537037037039</c:v>
                </c:pt>
                <c:pt idx="97">
                  <c:v>0.65009259259259256</c:v>
                </c:pt>
                <c:pt idx="98">
                  <c:v>0.65043981481481483</c:v>
                </c:pt>
                <c:pt idx="99">
                  <c:v>0.650787037037037</c:v>
                </c:pt>
                <c:pt idx="100">
                  <c:v>0.65113425925925927</c:v>
                </c:pt>
                <c:pt idx="101">
                  <c:v>0.65148148148148144</c:v>
                </c:pt>
                <c:pt idx="102">
                  <c:v>0.65182870370370372</c:v>
                </c:pt>
                <c:pt idx="103">
                  <c:v>0.65217592592592588</c:v>
                </c:pt>
                <c:pt idx="104">
                  <c:v>0.65252314814814816</c:v>
                </c:pt>
                <c:pt idx="105">
                  <c:v>0.65287037037037032</c:v>
                </c:pt>
                <c:pt idx="106">
                  <c:v>0.6532175925925926</c:v>
                </c:pt>
                <c:pt idx="107">
                  <c:v>0.65356481481481477</c:v>
                </c:pt>
                <c:pt idx="108">
                  <c:v>0.65391203703703704</c:v>
                </c:pt>
                <c:pt idx="109">
                  <c:v>0.65425925925925921</c:v>
                </c:pt>
                <c:pt idx="110">
                  <c:v>0.65460648148148148</c:v>
                </c:pt>
                <c:pt idx="111">
                  <c:v>0.65495370370370365</c:v>
                </c:pt>
                <c:pt idx="112">
                  <c:v>0.65530092592592593</c:v>
                </c:pt>
                <c:pt idx="113">
                  <c:v>0.6556481481481482</c:v>
                </c:pt>
                <c:pt idx="114">
                  <c:v>0.65599537037037037</c:v>
                </c:pt>
                <c:pt idx="115">
                  <c:v>0.65634259259259264</c:v>
                </c:pt>
                <c:pt idx="116">
                  <c:v>0.65668981481481481</c:v>
                </c:pt>
                <c:pt idx="117">
                  <c:v>0.65703703703703709</c:v>
                </c:pt>
                <c:pt idx="118">
                  <c:v>0.65738425925925925</c:v>
                </c:pt>
                <c:pt idx="119">
                  <c:v>0.65773148148148153</c:v>
                </c:pt>
                <c:pt idx="120">
                  <c:v>0.65807870370370369</c:v>
                </c:pt>
                <c:pt idx="121">
                  <c:v>0.65842592592592597</c:v>
                </c:pt>
                <c:pt idx="122">
                  <c:v>0.65877314814814814</c:v>
                </c:pt>
                <c:pt idx="123">
                  <c:v>0.65912037037037041</c:v>
                </c:pt>
                <c:pt idx="124">
                  <c:v>0.65946759259259258</c:v>
                </c:pt>
                <c:pt idx="125">
                  <c:v>0.65981481481481485</c:v>
                </c:pt>
                <c:pt idx="126">
                  <c:v>0.66016203703703702</c:v>
                </c:pt>
                <c:pt idx="127">
                  <c:v>0.6605092592592593</c:v>
                </c:pt>
                <c:pt idx="128">
                  <c:v>0.66085648148148146</c:v>
                </c:pt>
                <c:pt idx="129">
                  <c:v>0.66120370370370374</c:v>
                </c:pt>
                <c:pt idx="130">
                  <c:v>0.6615509259259259</c:v>
                </c:pt>
                <c:pt idx="131">
                  <c:v>0.66189814814814818</c:v>
                </c:pt>
                <c:pt idx="132">
                  <c:v>0.66224537037037035</c:v>
                </c:pt>
                <c:pt idx="133">
                  <c:v>0.66259259259259262</c:v>
                </c:pt>
                <c:pt idx="134">
                  <c:v>0.66293981481481479</c:v>
                </c:pt>
                <c:pt idx="135">
                  <c:v>0.66328703703703706</c:v>
                </c:pt>
                <c:pt idx="136">
                  <c:v>0.66363425925925923</c:v>
                </c:pt>
                <c:pt idx="137">
                  <c:v>0.66398148148148151</c:v>
                </c:pt>
                <c:pt idx="138">
                  <c:v>0.66432870370370367</c:v>
                </c:pt>
                <c:pt idx="139">
                  <c:v>0.66467592592592595</c:v>
                </c:pt>
                <c:pt idx="140">
                  <c:v>0.66502314814814811</c:v>
                </c:pt>
                <c:pt idx="141">
                  <c:v>0.66537037037037039</c:v>
                </c:pt>
                <c:pt idx="142">
                  <c:v>0.66571759259259256</c:v>
                </c:pt>
                <c:pt idx="143">
                  <c:v>0.66606481481481483</c:v>
                </c:pt>
                <c:pt idx="144">
                  <c:v>0.666412037037037</c:v>
                </c:pt>
                <c:pt idx="145">
                  <c:v>0.66675925925925927</c:v>
                </c:pt>
                <c:pt idx="146">
                  <c:v>0.66710648148148144</c:v>
                </c:pt>
                <c:pt idx="147">
                  <c:v>0.66745370370370372</c:v>
                </c:pt>
                <c:pt idx="148">
                  <c:v>0.66780092592592588</c:v>
                </c:pt>
                <c:pt idx="149">
                  <c:v>0.66814814814814816</c:v>
                </c:pt>
                <c:pt idx="150">
                  <c:v>0.66849537037037032</c:v>
                </c:pt>
                <c:pt idx="151">
                  <c:v>0.6688425925925926</c:v>
                </c:pt>
                <c:pt idx="152">
                  <c:v>0.66918981481481477</c:v>
                </c:pt>
                <c:pt idx="153">
                  <c:v>0.66953703703703704</c:v>
                </c:pt>
                <c:pt idx="154">
                  <c:v>0.66988425925925921</c:v>
                </c:pt>
                <c:pt idx="155">
                  <c:v>0.67023148148148148</c:v>
                </c:pt>
                <c:pt idx="156">
                  <c:v>0.67057870370370365</c:v>
                </c:pt>
                <c:pt idx="157">
                  <c:v>0.67092592592592593</c:v>
                </c:pt>
                <c:pt idx="158">
                  <c:v>0.6712731481481482</c:v>
                </c:pt>
                <c:pt idx="159">
                  <c:v>0.67162037037037037</c:v>
                </c:pt>
                <c:pt idx="160">
                  <c:v>0.67196759259259264</c:v>
                </c:pt>
                <c:pt idx="161">
                  <c:v>0.67231481481481481</c:v>
                </c:pt>
                <c:pt idx="162">
                  <c:v>0.67266203703703709</c:v>
                </c:pt>
                <c:pt idx="163">
                  <c:v>0.67300925925925925</c:v>
                </c:pt>
                <c:pt idx="164">
                  <c:v>0.67335648148148153</c:v>
                </c:pt>
                <c:pt idx="165">
                  <c:v>0.67370370370370369</c:v>
                </c:pt>
                <c:pt idx="166">
                  <c:v>0.67405092592592597</c:v>
                </c:pt>
                <c:pt idx="167">
                  <c:v>0.67439814814814814</c:v>
                </c:pt>
                <c:pt idx="168">
                  <c:v>0.67474537037037041</c:v>
                </c:pt>
                <c:pt idx="169">
                  <c:v>0.67509259259259258</c:v>
                </c:pt>
              </c:numCache>
            </c:numRef>
          </c:cat>
          <c:val>
            <c:numRef>
              <c:f>[1]Sheet1!$B$240:$B$409</c:f>
              <c:numCache>
                <c:formatCode>General</c:formatCode>
                <c:ptCount val="170"/>
                <c:pt idx="0">
                  <c:v>35</c:v>
                </c:pt>
                <c:pt idx="1">
                  <c:v>35</c:v>
                </c:pt>
                <c:pt idx="2">
                  <c:v>35.1</c:v>
                </c:pt>
                <c:pt idx="3">
                  <c:v>36.200000000000003</c:v>
                </c:pt>
                <c:pt idx="4">
                  <c:v>41.3</c:v>
                </c:pt>
                <c:pt idx="5">
                  <c:v>66.7</c:v>
                </c:pt>
                <c:pt idx="6">
                  <c:v>75.400000000000006</c:v>
                </c:pt>
                <c:pt idx="7">
                  <c:v>81.599999999999994</c:v>
                </c:pt>
                <c:pt idx="8">
                  <c:v>86.4</c:v>
                </c:pt>
                <c:pt idx="9">
                  <c:v>90</c:v>
                </c:pt>
                <c:pt idx="10">
                  <c:v>92.6</c:v>
                </c:pt>
                <c:pt idx="11">
                  <c:v>94.7</c:v>
                </c:pt>
                <c:pt idx="12">
                  <c:v>96.4</c:v>
                </c:pt>
                <c:pt idx="13">
                  <c:v>97.5</c:v>
                </c:pt>
                <c:pt idx="14">
                  <c:v>98.5</c:v>
                </c:pt>
                <c:pt idx="15">
                  <c:v>99.3</c:v>
                </c:pt>
                <c:pt idx="16">
                  <c:v>100.1</c:v>
                </c:pt>
                <c:pt idx="17">
                  <c:v>100.8</c:v>
                </c:pt>
                <c:pt idx="18">
                  <c:v>101.5</c:v>
                </c:pt>
                <c:pt idx="19">
                  <c:v>102.3</c:v>
                </c:pt>
                <c:pt idx="20">
                  <c:v>102.9</c:v>
                </c:pt>
                <c:pt idx="21">
                  <c:v>103.6</c:v>
                </c:pt>
                <c:pt idx="22">
                  <c:v>104.3</c:v>
                </c:pt>
                <c:pt idx="23">
                  <c:v>104.9</c:v>
                </c:pt>
                <c:pt idx="24">
                  <c:v>105.6</c:v>
                </c:pt>
                <c:pt idx="25">
                  <c:v>106.3</c:v>
                </c:pt>
                <c:pt idx="26">
                  <c:v>106.9</c:v>
                </c:pt>
                <c:pt idx="27">
                  <c:v>107.6</c:v>
                </c:pt>
                <c:pt idx="28">
                  <c:v>108.4</c:v>
                </c:pt>
                <c:pt idx="29">
                  <c:v>109</c:v>
                </c:pt>
                <c:pt idx="30">
                  <c:v>109.7</c:v>
                </c:pt>
                <c:pt idx="31">
                  <c:v>110.3</c:v>
                </c:pt>
                <c:pt idx="32">
                  <c:v>110.9</c:v>
                </c:pt>
                <c:pt idx="33">
                  <c:v>111.7</c:v>
                </c:pt>
                <c:pt idx="34">
                  <c:v>112.3</c:v>
                </c:pt>
                <c:pt idx="35">
                  <c:v>112.9</c:v>
                </c:pt>
                <c:pt idx="36">
                  <c:v>113.7</c:v>
                </c:pt>
                <c:pt idx="37">
                  <c:v>114.3</c:v>
                </c:pt>
                <c:pt idx="38">
                  <c:v>115</c:v>
                </c:pt>
                <c:pt idx="39">
                  <c:v>115.6</c:v>
                </c:pt>
                <c:pt idx="40">
                  <c:v>116.2</c:v>
                </c:pt>
                <c:pt idx="41">
                  <c:v>116.9</c:v>
                </c:pt>
                <c:pt idx="42">
                  <c:v>117.5</c:v>
                </c:pt>
                <c:pt idx="43">
                  <c:v>118.1</c:v>
                </c:pt>
                <c:pt idx="44">
                  <c:v>118.7</c:v>
                </c:pt>
                <c:pt idx="45">
                  <c:v>119.4</c:v>
                </c:pt>
                <c:pt idx="46">
                  <c:v>120</c:v>
                </c:pt>
                <c:pt idx="47">
                  <c:v>120.5</c:v>
                </c:pt>
                <c:pt idx="48">
                  <c:v>121</c:v>
                </c:pt>
                <c:pt idx="49">
                  <c:v>121.4</c:v>
                </c:pt>
                <c:pt idx="50">
                  <c:v>121.1</c:v>
                </c:pt>
                <c:pt idx="51">
                  <c:v>120.6</c:v>
                </c:pt>
                <c:pt idx="52">
                  <c:v>121.1</c:v>
                </c:pt>
                <c:pt idx="53">
                  <c:v>122.1</c:v>
                </c:pt>
                <c:pt idx="54">
                  <c:v>121.8</c:v>
                </c:pt>
                <c:pt idx="55">
                  <c:v>121.2</c:v>
                </c:pt>
                <c:pt idx="56">
                  <c:v>120.7</c:v>
                </c:pt>
                <c:pt idx="57">
                  <c:v>120.8</c:v>
                </c:pt>
                <c:pt idx="58">
                  <c:v>121.8</c:v>
                </c:pt>
                <c:pt idx="59">
                  <c:v>121.8</c:v>
                </c:pt>
                <c:pt idx="60">
                  <c:v>121.2</c:v>
                </c:pt>
                <c:pt idx="61">
                  <c:v>120.8</c:v>
                </c:pt>
                <c:pt idx="62">
                  <c:v>120.8</c:v>
                </c:pt>
                <c:pt idx="63">
                  <c:v>121.7</c:v>
                </c:pt>
                <c:pt idx="64">
                  <c:v>121.8</c:v>
                </c:pt>
                <c:pt idx="65">
                  <c:v>120.8</c:v>
                </c:pt>
                <c:pt idx="66">
                  <c:v>120.3</c:v>
                </c:pt>
                <c:pt idx="67">
                  <c:v>121.2</c:v>
                </c:pt>
                <c:pt idx="68">
                  <c:v>121.8</c:v>
                </c:pt>
                <c:pt idx="69">
                  <c:v>121.4</c:v>
                </c:pt>
                <c:pt idx="70">
                  <c:v>121.1</c:v>
                </c:pt>
                <c:pt idx="71">
                  <c:v>120.7</c:v>
                </c:pt>
                <c:pt idx="72">
                  <c:v>121</c:v>
                </c:pt>
                <c:pt idx="73">
                  <c:v>121.6</c:v>
                </c:pt>
                <c:pt idx="74">
                  <c:v>121.4</c:v>
                </c:pt>
                <c:pt idx="75">
                  <c:v>121</c:v>
                </c:pt>
                <c:pt idx="76">
                  <c:v>120.6</c:v>
                </c:pt>
                <c:pt idx="77">
                  <c:v>121.1</c:v>
                </c:pt>
                <c:pt idx="78">
                  <c:v>121.5</c:v>
                </c:pt>
                <c:pt idx="79">
                  <c:v>121.2</c:v>
                </c:pt>
                <c:pt idx="80">
                  <c:v>120.9</c:v>
                </c:pt>
                <c:pt idx="81">
                  <c:v>120.7</c:v>
                </c:pt>
                <c:pt idx="82">
                  <c:v>121.2</c:v>
                </c:pt>
                <c:pt idx="83">
                  <c:v>121.2</c:v>
                </c:pt>
                <c:pt idx="84">
                  <c:v>120.8</c:v>
                </c:pt>
                <c:pt idx="85">
                  <c:v>120.9</c:v>
                </c:pt>
                <c:pt idx="86">
                  <c:v>121.1</c:v>
                </c:pt>
                <c:pt idx="87">
                  <c:v>120.9</c:v>
                </c:pt>
                <c:pt idx="88">
                  <c:v>120.6</c:v>
                </c:pt>
                <c:pt idx="89">
                  <c:v>120.8</c:v>
                </c:pt>
                <c:pt idx="90">
                  <c:v>121</c:v>
                </c:pt>
                <c:pt idx="91">
                  <c:v>120.9</c:v>
                </c:pt>
                <c:pt idx="92">
                  <c:v>120.7</c:v>
                </c:pt>
                <c:pt idx="93">
                  <c:v>120.8</c:v>
                </c:pt>
                <c:pt idx="94">
                  <c:v>120.8</c:v>
                </c:pt>
                <c:pt idx="95">
                  <c:v>120.9</c:v>
                </c:pt>
                <c:pt idx="96">
                  <c:v>120.9</c:v>
                </c:pt>
                <c:pt idx="97">
                  <c:v>120.9</c:v>
                </c:pt>
                <c:pt idx="98">
                  <c:v>120.8</c:v>
                </c:pt>
                <c:pt idx="99">
                  <c:v>120.7</c:v>
                </c:pt>
                <c:pt idx="100">
                  <c:v>120.6</c:v>
                </c:pt>
                <c:pt idx="101">
                  <c:v>120.6</c:v>
                </c:pt>
                <c:pt idx="102">
                  <c:v>120.7</c:v>
                </c:pt>
                <c:pt idx="103">
                  <c:v>120.7</c:v>
                </c:pt>
                <c:pt idx="104">
                  <c:v>120.7</c:v>
                </c:pt>
                <c:pt idx="105">
                  <c:v>120.6</c:v>
                </c:pt>
                <c:pt idx="106">
                  <c:v>120.6</c:v>
                </c:pt>
                <c:pt idx="107">
                  <c:v>120.7</c:v>
                </c:pt>
                <c:pt idx="108">
                  <c:v>120.7</c:v>
                </c:pt>
                <c:pt idx="109">
                  <c:v>119.5</c:v>
                </c:pt>
                <c:pt idx="110">
                  <c:v>112.2</c:v>
                </c:pt>
                <c:pt idx="111">
                  <c:v>93.1</c:v>
                </c:pt>
                <c:pt idx="112">
                  <c:v>82.9</c:v>
                </c:pt>
                <c:pt idx="113">
                  <c:v>78.7</c:v>
                </c:pt>
                <c:pt idx="114">
                  <c:v>74.900000000000006</c:v>
                </c:pt>
                <c:pt idx="115">
                  <c:v>71.400000000000006</c:v>
                </c:pt>
                <c:pt idx="116">
                  <c:v>68.2</c:v>
                </c:pt>
                <c:pt idx="117">
                  <c:v>65.8</c:v>
                </c:pt>
                <c:pt idx="118">
                  <c:v>63.4</c:v>
                </c:pt>
                <c:pt idx="119">
                  <c:v>61.3</c:v>
                </c:pt>
                <c:pt idx="120">
                  <c:v>59.7</c:v>
                </c:pt>
                <c:pt idx="121">
                  <c:v>58</c:v>
                </c:pt>
                <c:pt idx="122">
                  <c:v>56.6</c:v>
                </c:pt>
                <c:pt idx="123">
                  <c:v>55.2</c:v>
                </c:pt>
                <c:pt idx="124">
                  <c:v>54</c:v>
                </c:pt>
                <c:pt idx="125">
                  <c:v>52.9</c:v>
                </c:pt>
                <c:pt idx="126">
                  <c:v>51.9</c:v>
                </c:pt>
                <c:pt idx="127">
                  <c:v>50.9</c:v>
                </c:pt>
                <c:pt idx="128">
                  <c:v>50.2</c:v>
                </c:pt>
                <c:pt idx="129">
                  <c:v>49.3</c:v>
                </c:pt>
                <c:pt idx="130">
                  <c:v>48.8</c:v>
                </c:pt>
                <c:pt idx="131">
                  <c:v>48</c:v>
                </c:pt>
                <c:pt idx="132">
                  <c:v>47.5</c:v>
                </c:pt>
                <c:pt idx="133">
                  <c:v>47.2</c:v>
                </c:pt>
                <c:pt idx="134">
                  <c:v>46.6</c:v>
                </c:pt>
                <c:pt idx="135">
                  <c:v>46.3</c:v>
                </c:pt>
                <c:pt idx="136">
                  <c:v>45.9</c:v>
                </c:pt>
                <c:pt idx="137">
                  <c:v>45.4</c:v>
                </c:pt>
                <c:pt idx="138">
                  <c:v>45.1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44.2</c:v>
                </c:pt>
                <c:pt idx="157">
                  <c:v>44.2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43.6</c:v>
                </c:pt>
                <c:pt idx="167">
                  <c:v>43.5</c:v>
                </c:pt>
                <c:pt idx="168">
                  <c:v>43.5</c:v>
                </c:pt>
                <c:pt idx="169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0-44C9-A41D-D8814C780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946032"/>
        <c:axId val="1574944592"/>
      </c:lineChart>
      <c:catAx>
        <c:axId val="157494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4592"/>
        <c:crosses val="autoZero"/>
        <c:auto val="1"/>
        <c:lblAlgn val="ctr"/>
        <c:lblOffset val="100"/>
        <c:noMultiLvlLbl val="0"/>
      </c:catAx>
      <c:valAx>
        <c:axId val="15749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[1]Sheet1!$B$2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[1]Sheet1!$A$3:$A$122</c:f>
              <c:numCache>
                <c:formatCode>General</c:formatCode>
                <c:ptCount val="120"/>
                <c:pt idx="0">
                  <c:v>0.61032407407407407</c:v>
                </c:pt>
                <c:pt idx="1">
                  <c:v>0.61067129629629635</c:v>
                </c:pt>
                <c:pt idx="2">
                  <c:v>0.61103009259259256</c:v>
                </c:pt>
                <c:pt idx="3">
                  <c:v>0.61136574074074079</c:v>
                </c:pt>
                <c:pt idx="4">
                  <c:v>0.61171296296296296</c:v>
                </c:pt>
                <c:pt idx="5">
                  <c:v>0.61207175925925927</c:v>
                </c:pt>
                <c:pt idx="6">
                  <c:v>0.61241898148148144</c:v>
                </c:pt>
                <c:pt idx="7">
                  <c:v>0.61275462962962968</c:v>
                </c:pt>
                <c:pt idx="8">
                  <c:v>0.61310185185185184</c:v>
                </c:pt>
                <c:pt idx="9">
                  <c:v>0.61346064814814816</c:v>
                </c:pt>
                <c:pt idx="10">
                  <c:v>0.61379629629629628</c:v>
                </c:pt>
                <c:pt idx="11">
                  <c:v>0.6141550925925926</c:v>
                </c:pt>
                <c:pt idx="12">
                  <c:v>0.61450231481481477</c:v>
                </c:pt>
                <c:pt idx="13">
                  <c:v>0.614837962962963</c:v>
                </c:pt>
                <c:pt idx="14">
                  <c:v>0.61519675925925921</c:v>
                </c:pt>
                <c:pt idx="15">
                  <c:v>0.61553240740740744</c:v>
                </c:pt>
                <c:pt idx="16">
                  <c:v>0.61589120370370365</c:v>
                </c:pt>
                <c:pt idx="17">
                  <c:v>0.61622685185185189</c:v>
                </c:pt>
                <c:pt idx="18">
                  <c:v>0.6165856481481482</c:v>
                </c:pt>
                <c:pt idx="19">
                  <c:v>0.61692129629629633</c:v>
                </c:pt>
                <c:pt idx="20">
                  <c:v>0.61726851851851849</c:v>
                </c:pt>
                <c:pt idx="21">
                  <c:v>0.61761574074074077</c:v>
                </c:pt>
                <c:pt idx="22">
                  <c:v>0.61797453703703709</c:v>
                </c:pt>
                <c:pt idx="23">
                  <c:v>0.61832175925925925</c:v>
                </c:pt>
                <c:pt idx="24">
                  <c:v>0.61865740740740738</c:v>
                </c:pt>
                <c:pt idx="25">
                  <c:v>0.61900462962962965</c:v>
                </c:pt>
                <c:pt idx="26">
                  <c:v>0.61936342592592597</c:v>
                </c:pt>
                <c:pt idx="27">
                  <c:v>0.61971064814814814</c:v>
                </c:pt>
                <c:pt idx="28">
                  <c:v>0.62004629629629626</c:v>
                </c:pt>
                <c:pt idx="29">
                  <c:v>0.62040509259259258</c:v>
                </c:pt>
                <c:pt idx="30">
                  <c:v>0.6207407407407407</c:v>
                </c:pt>
                <c:pt idx="31">
                  <c:v>0.62109953703703702</c:v>
                </c:pt>
                <c:pt idx="32">
                  <c:v>0.62143518518518515</c:v>
                </c:pt>
                <c:pt idx="33">
                  <c:v>0.62179398148148146</c:v>
                </c:pt>
                <c:pt idx="34">
                  <c:v>0.62214120370370374</c:v>
                </c:pt>
                <c:pt idx="35">
                  <c:v>0.6224884259259259</c:v>
                </c:pt>
                <c:pt idx="36">
                  <c:v>0.62282407407407403</c:v>
                </c:pt>
                <c:pt idx="37">
                  <c:v>0.62318287037037035</c:v>
                </c:pt>
                <c:pt idx="38">
                  <c:v>0.62353009259259262</c:v>
                </c:pt>
                <c:pt idx="39">
                  <c:v>0.62386574074074075</c:v>
                </c:pt>
                <c:pt idx="40">
                  <c:v>0.62422453703703706</c:v>
                </c:pt>
                <c:pt idx="41">
                  <c:v>0.62456018518518519</c:v>
                </c:pt>
                <c:pt idx="42">
                  <c:v>0.62490740740740736</c:v>
                </c:pt>
                <c:pt idx="43">
                  <c:v>0.62526620370370367</c:v>
                </c:pt>
                <c:pt idx="44">
                  <c:v>0.62561342592592595</c:v>
                </c:pt>
                <c:pt idx="45">
                  <c:v>0.62596064814814811</c:v>
                </c:pt>
                <c:pt idx="46">
                  <c:v>0.62630787037037039</c:v>
                </c:pt>
                <c:pt idx="47">
                  <c:v>0.62664351851851852</c:v>
                </c:pt>
                <c:pt idx="48">
                  <c:v>0.62700231481481483</c:v>
                </c:pt>
                <c:pt idx="49">
                  <c:v>0.627349537037037</c:v>
                </c:pt>
                <c:pt idx="50">
                  <c:v>0.62768518518518523</c:v>
                </c:pt>
                <c:pt idx="51">
                  <c:v>0.62804398148148144</c:v>
                </c:pt>
                <c:pt idx="52">
                  <c:v>0.62837962962962968</c:v>
                </c:pt>
                <c:pt idx="53">
                  <c:v>0.62873842592592588</c:v>
                </c:pt>
                <c:pt idx="54">
                  <c:v>0.62908564814814816</c:v>
                </c:pt>
                <c:pt idx="55">
                  <c:v>0.62943287037037032</c:v>
                </c:pt>
                <c:pt idx="56">
                  <c:v>0.6297800925925926</c:v>
                </c:pt>
                <c:pt idx="57">
                  <c:v>0.63012731481481477</c:v>
                </c:pt>
                <c:pt idx="58">
                  <c:v>0.63047453703703704</c:v>
                </c:pt>
                <c:pt idx="59">
                  <c:v>0.63082175925925921</c:v>
                </c:pt>
                <c:pt idx="60">
                  <c:v>0.63116898148148148</c:v>
                </c:pt>
                <c:pt idx="61">
                  <c:v>0.63151620370370365</c:v>
                </c:pt>
                <c:pt idx="62">
                  <c:v>0.63186342592592593</c:v>
                </c:pt>
                <c:pt idx="63">
                  <c:v>0.6322106481481482</c:v>
                </c:pt>
                <c:pt idx="64">
                  <c:v>0.63254629629629633</c:v>
                </c:pt>
                <c:pt idx="65">
                  <c:v>0.63290509259259264</c:v>
                </c:pt>
                <c:pt idx="66">
                  <c:v>0.63325231481481481</c:v>
                </c:pt>
                <c:pt idx="67">
                  <c:v>0.63359953703703709</c:v>
                </c:pt>
                <c:pt idx="68">
                  <c:v>0.63394675925925925</c:v>
                </c:pt>
                <c:pt idx="69">
                  <c:v>0.63429398148148153</c:v>
                </c:pt>
                <c:pt idx="70">
                  <c:v>0.63464120370370369</c:v>
                </c:pt>
                <c:pt idx="71">
                  <c:v>0.63498842592592597</c:v>
                </c:pt>
                <c:pt idx="72">
                  <c:v>0.63533564814814814</c:v>
                </c:pt>
                <c:pt idx="73">
                  <c:v>0.63568287037037041</c:v>
                </c:pt>
                <c:pt idx="74">
                  <c:v>0.63603009259259258</c:v>
                </c:pt>
                <c:pt idx="75">
                  <c:v>0.63637731481481485</c:v>
                </c:pt>
                <c:pt idx="76">
                  <c:v>0.63672453703703702</c:v>
                </c:pt>
                <c:pt idx="77">
                  <c:v>0.6370717592592593</c:v>
                </c:pt>
                <c:pt idx="78">
                  <c:v>0.63741898148148146</c:v>
                </c:pt>
                <c:pt idx="79">
                  <c:v>0.63776620370370374</c:v>
                </c:pt>
                <c:pt idx="80">
                  <c:v>0.6381134259259259</c:v>
                </c:pt>
                <c:pt idx="81">
                  <c:v>0.63846064814814818</c:v>
                </c:pt>
                <c:pt idx="82">
                  <c:v>0.63880787037037035</c:v>
                </c:pt>
                <c:pt idx="83">
                  <c:v>0.63915509259259262</c:v>
                </c:pt>
                <c:pt idx="84">
                  <c:v>0.63950231481481479</c:v>
                </c:pt>
                <c:pt idx="85">
                  <c:v>0.63984953703703706</c:v>
                </c:pt>
                <c:pt idx="86">
                  <c:v>0.64019675925925923</c:v>
                </c:pt>
                <c:pt idx="87">
                  <c:v>0.64054398148148151</c:v>
                </c:pt>
                <c:pt idx="88">
                  <c:v>0.64089120370370367</c:v>
                </c:pt>
                <c:pt idx="89">
                  <c:v>0.64123842592592595</c:v>
                </c:pt>
                <c:pt idx="90">
                  <c:v>0.64158564814814811</c:v>
                </c:pt>
                <c:pt idx="91">
                  <c:v>0.64193287037037039</c:v>
                </c:pt>
                <c:pt idx="92">
                  <c:v>0.64228009259259256</c:v>
                </c:pt>
                <c:pt idx="93">
                  <c:v>0.64262731481481483</c:v>
                </c:pt>
                <c:pt idx="94">
                  <c:v>0.642974537037037</c:v>
                </c:pt>
                <c:pt idx="95">
                  <c:v>0.64332175925925927</c:v>
                </c:pt>
                <c:pt idx="96">
                  <c:v>0.64366898148148144</c:v>
                </c:pt>
                <c:pt idx="97">
                  <c:v>0.64401620370370372</c:v>
                </c:pt>
                <c:pt idx="98">
                  <c:v>0.64436342592592588</c:v>
                </c:pt>
                <c:pt idx="99">
                  <c:v>0.64471064814814816</c:v>
                </c:pt>
                <c:pt idx="100">
                  <c:v>0.64505787037037032</c:v>
                </c:pt>
                <c:pt idx="101">
                  <c:v>0.6454050925925926</c:v>
                </c:pt>
                <c:pt idx="102">
                  <c:v>0.64575231481481477</c:v>
                </c:pt>
                <c:pt idx="103">
                  <c:v>0.64609953703703704</c:v>
                </c:pt>
                <c:pt idx="104">
                  <c:v>0.64644675925925921</c:v>
                </c:pt>
                <c:pt idx="105">
                  <c:v>0.64679398148148148</c:v>
                </c:pt>
                <c:pt idx="106">
                  <c:v>0.64714120370370365</c:v>
                </c:pt>
                <c:pt idx="107">
                  <c:v>0.64748842592592593</c:v>
                </c:pt>
                <c:pt idx="108">
                  <c:v>0.6478356481481482</c:v>
                </c:pt>
                <c:pt idx="109">
                  <c:v>0.64818287037037037</c:v>
                </c:pt>
                <c:pt idx="110">
                  <c:v>0.64853009259259264</c:v>
                </c:pt>
                <c:pt idx="111">
                  <c:v>0.64887731481481481</c:v>
                </c:pt>
                <c:pt idx="112">
                  <c:v>0.64922453703703709</c:v>
                </c:pt>
                <c:pt idx="113">
                  <c:v>0.64957175925925925</c:v>
                </c:pt>
                <c:pt idx="114">
                  <c:v>0.64991898148148153</c:v>
                </c:pt>
                <c:pt idx="115">
                  <c:v>0.65026620370370369</c:v>
                </c:pt>
                <c:pt idx="116">
                  <c:v>0.65061342592592597</c:v>
                </c:pt>
                <c:pt idx="117">
                  <c:v>0.65096064814814814</c:v>
                </c:pt>
                <c:pt idx="118">
                  <c:v>0.65130787037037041</c:v>
                </c:pt>
                <c:pt idx="119">
                  <c:v>0.65165509259259258</c:v>
                </c:pt>
              </c:numCache>
            </c:numRef>
          </c:cat>
          <c:val>
            <c:numRef>
              <c:f>[1]Sheet1!$B$3:$B$122</c:f>
              <c:numCache>
                <c:formatCode>General</c:formatCode>
                <c:ptCount val="120"/>
                <c:pt idx="0">
                  <c:v>34.299999999999997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34.6</c:v>
                </c:pt>
                <c:pt idx="4">
                  <c:v>35</c:v>
                </c:pt>
                <c:pt idx="5">
                  <c:v>37.4</c:v>
                </c:pt>
                <c:pt idx="6">
                  <c:v>43</c:v>
                </c:pt>
                <c:pt idx="7">
                  <c:v>49.5</c:v>
                </c:pt>
                <c:pt idx="8">
                  <c:v>54.7</c:v>
                </c:pt>
                <c:pt idx="9">
                  <c:v>59.5</c:v>
                </c:pt>
                <c:pt idx="10">
                  <c:v>63.1</c:v>
                </c:pt>
                <c:pt idx="11">
                  <c:v>67.099999999999994</c:v>
                </c:pt>
                <c:pt idx="12">
                  <c:v>72.400000000000006</c:v>
                </c:pt>
                <c:pt idx="13">
                  <c:v>76.3</c:v>
                </c:pt>
                <c:pt idx="14">
                  <c:v>78.900000000000006</c:v>
                </c:pt>
                <c:pt idx="15">
                  <c:v>80.8</c:v>
                </c:pt>
                <c:pt idx="16">
                  <c:v>82.5</c:v>
                </c:pt>
                <c:pt idx="17">
                  <c:v>83.8</c:v>
                </c:pt>
                <c:pt idx="18">
                  <c:v>85.9</c:v>
                </c:pt>
                <c:pt idx="19">
                  <c:v>87</c:v>
                </c:pt>
                <c:pt idx="20">
                  <c:v>87.9</c:v>
                </c:pt>
                <c:pt idx="21">
                  <c:v>88.5</c:v>
                </c:pt>
                <c:pt idx="22">
                  <c:v>88.7</c:v>
                </c:pt>
                <c:pt idx="23">
                  <c:v>90.2</c:v>
                </c:pt>
                <c:pt idx="24">
                  <c:v>90.8</c:v>
                </c:pt>
                <c:pt idx="25">
                  <c:v>91.5</c:v>
                </c:pt>
                <c:pt idx="26">
                  <c:v>92.2</c:v>
                </c:pt>
                <c:pt idx="27">
                  <c:v>94.2</c:v>
                </c:pt>
                <c:pt idx="28">
                  <c:v>96.1</c:v>
                </c:pt>
                <c:pt idx="29">
                  <c:v>97.7</c:v>
                </c:pt>
                <c:pt idx="30">
                  <c:v>99.3</c:v>
                </c:pt>
                <c:pt idx="31">
                  <c:v>100.9</c:v>
                </c:pt>
                <c:pt idx="32">
                  <c:v>102.9</c:v>
                </c:pt>
                <c:pt idx="33">
                  <c:v>106.7</c:v>
                </c:pt>
                <c:pt idx="34">
                  <c:v>109.7</c:v>
                </c:pt>
                <c:pt idx="35">
                  <c:v>111.2</c:v>
                </c:pt>
                <c:pt idx="36">
                  <c:v>113.1</c:v>
                </c:pt>
                <c:pt idx="37">
                  <c:v>114.3</c:v>
                </c:pt>
                <c:pt idx="38">
                  <c:v>115.3</c:v>
                </c:pt>
                <c:pt idx="39">
                  <c:v>116.8</c:v>
                </c:pt>
                <c:pt idx="40">
                  <c:v>118</c:v>
                </c:pt>
                <c:pt idx="41">
                  <c:v>118.9</c:v>
                </c:pt>
                <c:pt idx="42">
                  <c:v>119.8</c:v>
                </c:pt>
                <c:pt idx="43">
                  <c:v>120.6</c:v>
                </c:pt>
                <c:pt idx="44">
                  <c:v>121</c:v>
                </c:pt>
                <c:pt idx="45">
                  <c:v>121.4</c:v>
                </c:pt>
                <c:pt idx="46">
                  <c:v>120.8</c:v>
                </c:pt>
                <c:pt idx="47">
                  <c:v>119.9</c:v>
                </c:pt>
                <c:pt idx="48">
                  <c:v>122.5</c:v>
                </c:pt>
                <c:pt idx="49">
                  <c:v>121.2</c:v>
                </c:pt>
                <c:pt idx="50">
                  <c:v>121.8</c:v>
                </c:pt>
                <c:pt idx="51">
                  <c:v>122.5</c:v>
                </c:pt>
                <c:pt idx="52">
                  <c:v>122.2</c:v>
                </c:pt>
                <c:pt idx="53">
                  <c:v>121.6</c:v>
                </c:pt>
                <c:pt idx="54">
                  <c:v>122.7</c:v>
                </c:pt>
                <c:pt idx="55">
                  <c:v>120.9</c:v>
                </c:pt>
                <c:pt idx="56">
                  <c:v>123.2</c:v>
                </c:pt>
                <c:pt idx="57">
                  <c:v>121</c:v>
                </c:pt>
                <c:pt idx="58">
                  <c:v>123.4</c:v>
                </c:pt>
                <c:pt idx="59">
                  <c:v>122</c:v>
                </c:pt>
                <c:pt idx="60">
                  <c:v>121.9</c:v>
                </c:pt>
                <c:pt idx="61">
                  <c:v>122.1</c:v>
                </c:pt>
                <c:pt idx="62">
                  <c:v>120.9</c:v>
                </c:pt>
                <c:pt idx="63">
                  <c:v>123</c:v>
                </c:pt>
                <c:pt idx="64">
                  <c:v>120.9</c:v>
                </c:pt>
                <c:pt idx="65">
                  <c:v>123.6</c:v>
                </c:pt>
                <c:pt idx="66">
                  <c:v>122</c:v>
                </c:pt>
                <c:pt idx="67">
                  <c:v>121.6</c:v>
                </c:pt>
                <c:pt idx="68">
                  <c:v>122.6</c:v>
                </c:pt>
                <c:pt idx="69">
                  <c:v>121.2</c:v>
                </c:pt>
                <c:pt idx="70">
                  <c:v>123.4</c:v>
                </c:pt>
                <c:pt idx="71">
                  <c:v>122.3</c:v>
                </c:pt>
                <c:pt idx="72">
                  <c:v>120.7</c:v>
                </c:pt>
                <c:pt idx="73">
                  <c:v>123.8</c:v>
                </c:pt>
                <c:pt idx="74">
                  <c:v>122.3</c:v>
                </c:pt>
                <c:pt idx="75">
                  <c:v>120.9</c:v>
                </c:pt>
                <c:pt idx="76">
                  <c:v>123.3</c:v>
                </c:pt>
                <c:pt idx="77">
                  <c:v>121.9</c:v>
                </c:pt>
                <c:pt idx="78">
                  <c:v>121.3</c:v>
                </c:pt>
                <c:pt idx="79">
                  <c:v>123</c:v>
                </c:pt>
                <c:pt idx="80">
                  <c:v>121.8</c:v>
                </c:pt>
                <c:pt idx="81">
                  <c:v>121.6</c:v>
                </c:pt>
                <c:pt idx="82">
                  <c:v>122.8</c:v>
                </c:pt>
                <c:pt idx="83">
                  <c:v>121.4</c:v>
                </c:pt>
                <c:pt idx="84">
                  <c:v>122.4</c:v>
                </c:pt>
                <c:pt idx="85">
                  <c:v>115.6</c:v>
                </c:pt>
                <c:pt idx="86">
                  <c:v>111.9</c:v>
                </c:pt>
                <c:pt idx="87">
                  <c:v>106.9</c:v>
                </c:pt>
                <c:pt idx="88">
                  <c:v>88</c:v>
                </c:pt>
                <c:pt idx="89">
                  <c:v>81.2</c:v>
                </c:pt>
                <c:pt idx="90">
                  <c:v>76.900000000000006</c:v>
                </c:pt>
                <c:pt idx="91">
                  <c:v>73.099999999999994</c:v>
                </c:pt>
                <c:pt idx="92">
                  <c:v>69.7</c:v>
                </c:pt>
                <c:pt idx="93">
                  <c:v>66.7</c:v>
                </c:pt>
                <c:pt idx="94">
                  <c:v>64.3</c:v>
                </c:pt>
                <c:pt idx="95">
                  <c:v>62.1</c:v>
                </c:pt>
                <c:pt idx="96">
                  <c:v>60.2</c:v>
                </c:pt>
                <c:pt idx="97">
                  <c:v>58.3</c:v>
                </c:pt>
                <c:pt idx="98">
                  <c:v>56.8</c:v>
                </c:pt>
                <c:pt idx="99">
                  <c:v>55.2</c:v>
                </c:pt>
                <c:pt idx="100">
                  <c:v>53.8</c:v>
                </c:pt>
                <c:pt idx="101">
                  <c:v>52.6</c:v>
                </c:pt>
                <c:pt idx="102">
                  <c:v>51.4</c:v>
                </c:pt>
                <c:pt idx="103">
                  <c:v>50.3</c:v>
                </c:pt>
                <c:pt idx="104">
                  <c:v>49.3</c:v>
                </c:pt>
                <c:pt idx="105">
                  <c:v>48.3</c:v>
                </c:pt>
                <c:pt idx="106">
                  <c:v>47.5</c:v>
                </c:pt>
                <c:pt idx="107">
                  <c:v>46.7</c:v>
                </c:pt>
                <c:pt idx="108">
                  <c:v>46.1</c:v>
                </c:pt>
                <c:pt idx="109">
                  <c:v>45.4</c:v>
                </c:pt>
                <c:pt idx="110">
                  <c:v>45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5-4C78-A2EE-E6F468D4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552720"/>
        <c:axId val="1926550800"/>
      </c:lineChart>
      <c:catAx>
        <c:axId val="19265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0800"/>
        <c:crosses val="autoZero"/>
        <c:auto val="1"/>
        <c:lblAlgn val="ctr"/>
        <c:lblOffset val="100"/>
        <c:noMultiLvlLbl val="0"/>
      </c:catAx>
      <c:valAx>
        <c:axId val="19265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TRIAL</a:t>
            </a:r>
            <a:r>
              <a:rPr lang="en-US" b="1" baseline="0"/>
              <a:t> 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[1]Sheet1!$B$415</c:f>
              <c:strCache>
                <c:ptCount val="1"/>
                <c:pt idx="0">
                  <c:v>Temprature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[1]Sheet1!$A$416:$A$537</c:f>
              <c:numCache>
                <c:formatCode>General</c:formatCode>
                <c:ptCount val="122"/>
                <c:pt idx="0">
                  <c:v>0.66609953703703706</c:v>
                </c:pt>
                <c:pt idx="1">
                  <c:v>0.66645833333333337</c:v>
                </c:pt>
                <c:pt idx="2">
                  <c:v>0.66680555555555554</c:v>
                </c:pt>
                <c:pt idx="3">
                  <c:v>0.66714120370370367</c:v>
                </c:pt>
                <c:pt idx="4">
                  <c:v>0.66748842592592594</c:v>
                </c:pt>
                <c:pt idx="5">
                  <c:v>0.66783564814814811</c:v>
                </c:pt>
                <c:pt idx="6">
                  <c:v>0.66818287037037039</c:v>
                </c:pt>
                <c:pt idx="7">
                  <c:v>0.6685416666666667</c:v>
                </c:pt>
                <c:pt idx="8">
                  <c:v>0.66887731481481483</c:v>
                </c:pt>
                <c:pt idx="9">
                  <c:v>0.66922453703703699</c:v>
                </c:pt>
                <c:pt idx="10">
                  <c:v>0.66958333333333331</c:v>
                </c:pt>
                <c:pt idx="11">
                  <c:v>0.66991898148148143</c:v>
                </c:pt>
                <c:pt idx="12">
                  <c:v>0.67026620370370371</c:v>
                </c:pt>
                <c:pt idx="13">
                  <c:v>0.67062500000000003</c:v>
                </c:pt>
                <c:pt idx="14">
                  <c:v>0.67097222222222219</c:v>
                </c:pt>
                <c:pt idx="15">
                  <c:v>0.67131944444444447</c:v>
                </c:pt>
                <c:pt idx="16">
                  <c:v>0.6716550925925926</c:v>
                </c:pt>
                <c:pt idx="17">
                  <c:v>0.67200231481481476</c:v>
                </c:pt>
                <c:pt idx="18">
                  <c:v>0.67234953703703704</c:v>
                </c:pt>
                <c:pt idx="19">
                  <c:v>0.67270833333333335</c:v>
                </c:pt>
                <c:pt idx="20">
                  <c:v>0.67305555555555552</c:v>
                </c:pt>
                <c:pt idx="21">
                  <c:v>0.67340277777777779</c:v>
                </c:pt>
                <c:pt idx="22">
                  <c:v>0.67374999999999996</c:v>
                </c:pt>
                <c:pt idx="23">
                  <c:v>0.6740856481481482</c:v>
                </c:pt>
                <c:pt idx="24">
                  <c:v>0.6744444444444444</c:v>
                </c:pt>
                <c:pt idx="25">
                  <c:v>0.67479166666666668</c:v>
                </c:pt>
                <c:pt idx="26">
                  <c:v>0.67513888888888884</c:v>
                </c:pt>
                <c:pt idx="27">
                  <c:v>0.67548611111111112</c:v>
                </c:pt>
                <c:pt idx="28">
                  <c:v>0.67583333333333329</c:v>
                </c:pt>
                <c:pt idx="29">
                  <c:v>0.67616898148148152</c:v>
                </c:pt>
                <c:pt idx="30">
                  <c:v>0.67652777777777773</c:v>
                </c:pt>
                <c:pt idx="31">
                  <c:v>0.67686342592592597</c:v>
                </c:pt>
                <c:pt idx="32">
                  <c:v>0.67722222222222217</c:v>
                </c:pt>
                <c:pt idx="33">
                  <c:v>0.67755787037037041</c:v>
                </c:pt>
                <c:pt idx="34">
                  <c:v>0.67791666666666661</c:v>
                </c:pt>
                <c:pt idx="35">
                  <c:v>0.67825231481481485</c:v>
                </c:pt>
                <c:pt idx="36">
                  <c:v>0.67859953703703701</c:v>
                </c:pt>
                <c:pt idx="37">
                  <c:v>0.67894675925925929</c:v>
                </c:pt>
                <c:pt idx="38">
                  <c:v>0.67930555555555561</c:v>
                </c:pt>
                <c:pt idx="39">
                  <c:v>0.67965277777777777</c:v>
                </c:pt>
                <c:pt idx="40">
                  <c:v>0.68</c:v>
                </c:pt>
                <c:pt idx="41">
                  <c:v>0.68033564814814818</c:v>
                </c:pt>
                <c:pt idx="42">
                  <c:v>0.68068287037037034</c:v>
                </c:pt>
                <c:pt idx="43">
                  <c:v>0.68103009259259262</c:v>
                </c:pt>
                <c:pt idx="44">
                  <c:v>0.68138888888888893</c:v>
                </c:pt>
                <c:pt idx="45">
                  <c:v>0.6817361111111111</c:v>
                </c:pt>
                <c:pt idx="46">
                  <c:v>0.68208333333333337</c:v>
                </c:pt>
                <c:pt idx="47">
                  <c:v>0.68243055555555554</c:v>
                </c:pt>
                <c:pt idx="48">
                  <c:v>0.68277777777777782</c:v>
                </c:pt>
                <c:pt idx="49">
                  <c:v>0.68312499999999998</c:v>
                </c:pt>
                <c:pt idx="50">
                  <c:v>0.68346064814814811</c:v>
                </c:pt>
                <c:pt idx="51">
                  <c:v>0.68381944444444442</c:v>
                </c:pt>
                <c:pt idx="52">
                  <c:v>0.6841666666666667</c:v>
                </c:pt>
                <c:pt idx="53">
                  <c:v>0.68451388888888887</c:v>
                </c:pt>
                <c:pt idx="54">
                  <c:v>0.68486111111111114</c:v>
                </c:pt>
                <c:pt idx="55">
                  <c:v>0.68519675925925927</c:v>
                </c:pt>
                <c:pt idx="56">
                  <c:v>0.68555555555555558</c:v>
                </c:pt>
                <c:pt idx="57">
                  <c:v>0.68590277777777775</c:v>
                </c:pt>
                <c:pt idx="58">
                  <c:v>0.68625000000000003</c:v>
                </c:pt>
                <c:pt idx="59">
                  <c:v>0.68659722222222219</c:v>
                </c:pt>
                <c:pt idx="60">
                  <c:v>0.68694444444444447</c:v>
                </c:pt>
                <c:pt idx="61">
                  <c:v>0.6872800925925926</c:v>
                </c:pt>
                <c:pt idx="62">
                  <c:v>0.68763888888888891</c:v>
                </c:pt>
                <c:pt idx="63">
                  <c:v>0.68798611111111108</c:v>
                </c:pt>
                <c:pt idx="64">
                  <c:v>0.68833333333333335</c:v>
                </c:pt>
                <c:pt idx="65">
                  <c:v>0.68866898148148148</c:v>
                </c:pt>
                <c:pt idx="66">
                  <c:v>0.68901620370370376</c:v>
                </c:pt>
                <c:pt idx="67">
                  <c:v>0.68936342592592592</c:v>
                </c:pt>
                <c:pt idx="68">
                  <c:v>0.68972222222222224</c:v>
                </c:pt>
                <c:pt idx="69">
                  <c:v>0.69005787037037036</c:v>
                </c:pt>
                <c:pt idx="70">
                  <c:v>0.69041666666666668</c:v>
                </c:pt>
                <c:pt idx="71">
                  <c:v>0.69076388888888884</c:v>
                </c:pt>
                <c:pt idx="72">
                  <c:v>0.69111111111111112</c:v>
                </c:pt>
                <c:pt idx="73">
                  <c:v>0.69145833333333329</c:v>
                </c:pt>
                <c:pt idx="74">
                  <c:v>0.69180555555555556</c:v>
                </c:pt>
                <c:pt idx="75">
                  <c:v>0.69215277777777773</c:v>
                </c:pt>
                <c:pt idx="76">
                  <c:v>0.6925</c:v>
                </c:pt>
                <c:pt idx="77">
                  <c:v>0.69283564814814813</c:v>
                </c:pt>
                <c:pt idx="78">
                  <c:v>0.69319444444444445</c:v>
                </c:pt>
                <c:pt idx="79">
                  <c:v>0.69354166666666661</c:v>
                </c:pt>
                <c:pt idx="80">
                  <c:v>0.69388888888888889</c:v>
                </c:pt>
                <c:pt idx="81">
                  <c:v>0.69423611111111116</c:v>
                </c:pt>
                <c:pt idx="82">
                  <c:v>0.69458333333333333</c:v>
                </c:pt>
                <c:pt idx="83">
                  <c:v>0.69493055555555561</c:v>
                </c:pt>
                <c:pt idx="84">
                  <c:v>0.69527777777777777</c:v>
                </c:pt>
                <c:pt idx="85">
                  <c:v>0.69562500000000005</c:v>
                </c:pt>
                <c:pt idx="86">
                  <c:v>0.69597222222222221</c:v>
                </c:pt>
                <c:pt idx="87">
                  <c:v>0.69631944444444449</c:v>
                </c:pt>
                <c:pt idx="88">
                  <c:v>0.69666666666666666</c:v>
                </c:pt>
                <c:pt idx="89">
                  <c:v>0.69701388888888893</c:v>
                </c:pt>
                <c:pt idx="90">
                  <c:v>0.6973611111111111</c:v>
                </c:pt>
                <c:pt idx="91">
                  <c:v>0.69770833333333337</c:v>
                </c:pt>
                <c:pt idx="92">
                  <c:v>0.69805555555555554</c:v>
                </c:pt>
                <c:pt idx="93">
                  <c:v>0.69840277777777782</c:v>
                </c:pt>
                <c:pt idx="94">
                  <c:v>0.69874999999999998</c:v>
                </c:pt>
                <c:pt idx="95">
                  <c:v>0.69909722222222226</c:v>
                </c:pt>
                <c:pt idx="96">
                  <c:v>0.69944444444444442</c:v>
                </c:pt>
                <c:pt idx="97">
                  <c:v>0.6997916666666667</c:v>
                </c:pt>
                <c:pt idx="98">
                  <c:v>0.70013888888888887</c:v>
                </c:pt>
                <c:pt idx="99">
                  <c:v>0.70048611111111114</c:v>
                </c:pt>
                <c:pt idx="100">
                  <c:v>0.70083333333333331</c:v>
                </c:pt>
                <c:pt idx="101">
                  <c:v>0.70118055555555558</c:v>
                </c:pt>
                <c:pt idx="102">
                  <c:v>0.70152777777777775</c:v>
                </c:pt>
                <c:pt idx="103">
                  <c:v>0.70187500000000003</c:v>
                </c:pt>
                <c:pt idx="104">
                  <c:v>0.70222222222222219</c:v>
                </c:pt>
                <c:pt idx="105">
                  <c:v>0.70256944444444447</c:v>
                </c:pt>
                <c:pt idx="106">
                  <c:v>0.70291666666666663</c:v>
                </c:pt>
                <c:pt idx="107">
                  <c:v>0.70326388888888891</c:v>
                </c:pt>
                <c:pt idx="108">
                  <c:v>0.70361111111111108</c:v>
                </c:pt>
                <c:pt idx="109">
                  <c:v>0.70395833333333335</c:v>
                </c:pt>
                <c:pt idx="110">
                  <c:v>0.70430555555555552</c:v>
                </c:pt>
                <c:pt idx="111">
                  <c:v>0.70465277777777779</c:v>
                </c:pt>
                <c:pt idx="112">
                  <c:v>0.70499999999999996</c:v>
                </c:pt>
                <c:pt idx="113">
                  <c:v>0.70534722222222224</c:v>
                </c:pt>
                <c:pt idx="114">
                  <c:v>0.7056944444444444</c:v>
                </c:pt>
                <c:pt idx="115">
                  <c:v>0.70604166666666668</c:v>
                </c:pt>
                <c:pt idx="116">
                  <c:v>0.70638888888888884</c:v>
                </c:pt>
                <c:pt idx="117">
                  <c:v>0.70673611111111112</c:v>
                </c:pt>
                <c:pt idx="118">
                  <c:v>0.70708333333333329</c:v>
                </c:pt>
                <c:pt idx="119">
                  <c:v>0.70743055555555556</c:v>
                </c:pt>
                <c:pt idx="120">
                  <c:v>0.70777777777777773</c:v>
                </c:pt>
                <c:pt idx="121">
                  <c:v>0.708125</c:v>
                </c:pt>
              </c:numCache>
            </c:numRef>
          </c:cat>
          <c:val>
            <c:numRef>
              <c:f>[1]Sheet1!$B$416:$B$537</c:f>
              <c:numCache>
                <c:formatCode>General</c:formatCode>
                <c:ptCount val="122"/>
                <c:pt idx="0">
                  <c:v>34.700000000000003</c:v>
                </c:pt>
                <c:pt idx="1">
                  <c:v>34.700000000000003</c:v>
                </c:pt>
                <c:pt idx="2">
                  <c:v>34.700000000000003</c:v>
                </c:pt>
                <c:pt idx="3">
                  <c:v>34.700000000000003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34.700000000000003</c:v>
                </c:pt>
                <c:pt idx="7">
                  <c:v>34.700000000000003</c:v>
                </c:pt>
                <c:pt idx="8">
                  <c:v>34.700000000000003</c:v>
                </c:pt>
                <c:pt idx="9">
                  <c:v>34.700000000000003</c:v>
                </c:pt>
                <c:pt idx="10">
                  <c:v>35</c:v>
                </c:pt>
                <c:pt idx="11">
                  <c:v>35.4</c:v>
                </c:pt>
                <c:pt idx="12">
                  <c:v>36.9</c:v>
                </c:pt>
                <c:pt idx="13">
                  <c:v>41.5</c:v>
                </c:pt>
                <c:pt idx="14">
                  <c:v>46.7</c:v>
                </c:pt>
                <c:pt idx="15">
                  <c:v>53.4</c:v>
                </c:pt>
                <c:pt idx="16">
                  <c:v>58.3</c:v>
                </c:pt>
                <c:pt idx="17">
                  <c:v>63.3</c:v>
                </c:pt>
                <c:pt idx="18">
                  <c:v>66.2</c:v>
                </c:pt>
                <c:pt idx="19">
                  <c:v>71.400000000000006</c:v>
                </c:pt>
                <c:pt idx="20">
                  <c:v>76.400000000000006</c:v>
                </c:pt>
                <c:pt idx="21">
                  <c:v>80.400000000000006</c:v>
                </c:pt>
                <c:pt idx="22">
                  <c:v>83.1</c:v>
                </c:pt>
                <c:pt idx="23">
                  <c:v>84.5</c:v>
                </c:pt>
                <c:pt idx="24">
                  <c:v>86.4</c:v>
                </c:pt>
                <c:pt idx="25">
                  <c:v>87.9</c:v>
                </c:pt>
                <c:pt idx="26">
                  <c:v>88.6</c:v>
                </c:pt>
                <c:pt idx="27">
                  <c:v>88.9</c:v>
                </c:pt>
                <c:pt idx="28">
                  <c:v>90.6</c:v>
                </c:pt>
                <c:pt idx="29">
                  <c:v>91.7</c:v>
                </c:pt>
                <c:pt idx="30">
                  <c:v>92.3</c:v>
                </c:pt>
                <c:pt idx="31">
                  <c:v>92.6</c:v>
                </c:pt>
                <c:pt idx="32">
                  <c:v>93.3</c:v>
                </c:pt>
                <c:pt idx="33">
                  <c:v>93.3</c:v>
                </c:pt>
                <c:pt idx="34">
                  <c:v>93.8</c:v>
                </c:pt>
                <c:pt idx="35">
                  <c:v>93.9</c:v>
                </c:pt>
                <c:pt idx="36">
                  <c:v>93</c:v>
                </c:pt>
                <c:pt idx="37">
                  <c:v>96.2</c:v>
                </c:pt>
                <c:pt idx="38">
                  <c:v>99.2</c:v>
                </c:pt>
                <c:pt idx="39">
                  <c:v>102.1</c:v>
                </c:pt>
                <c:pt idx="40">
                  <c:v>104.1</c:v>
                </c:pt>
                <c:pt idx="41">
                  <c:v>106.7</c:v>
                </c:pt>
                <c:pt idx="42">
                  <c:v>106</c:v>
                </c:pt>
                <c:pt idx="43">
                  <c:v>107.3</c:v>
                </c:pt>
                <c:pt idx="44">
                  <c:v>110.3</c:v>
                </c:pt>
                <c:pt idx="45">
                  <c:v>113</c:v>
                </c:pt>
                <c:pt idx="46">
                  <c:v>115</c:v>
                </c:pt>
                <c:pt idx="47">
                  <c:v>116.9</c:v>
                </c:pt>
                <c:pt idx="48">
                  <c:v>118.6</c:v>
                </c:pt>
                <c:pt idx="49">
                  <c:v>120.7</c:v>
                </c:pt>
                <c:pt idx="50">
                  <c:v>118.5</c:v>
                </c:pt>
                <c:pt idx="51">
                  <c:v>118.2</c:v>
                </c:pt>
                <c:pt idx="52">
                  <c:v>118.6</c:v>
                </c:pt>
                <c:pt idx="53">
                  <c:v>121.5</c:v>
                </c:pt>
                <c:pt idx="54">
                  <c:v>124.1</c:v>
                </c:pt>
                <c:pt idx="55">
                  <c:v>120.9</c:v>
                </c:pt>
                <c:pt idx="56">
                  <c:v>122.6</c:v>
                </c:pt>
                <c:pt idx="57">
                  <c:v>124.7</c:v>
                </c:pt>
                <c:pt idx="58">
                  <c:v>120.7</c:v>
                </c:pt>
                <c:pt idx="59">
                  <c:v>123.5</c:v>
                </c:pt>
                <c:pt idx="60">
                  <c:v>123.2</c:v>
                </c:pt>
                <c:pt idx="61">
                  <c:v>121.6</c:v>
                </c:pt>
                <c:pt idx="62">
                  <c:v>124.5</c:v>
                </c:pt>
                <c:pt idx="63">
                  <c:v>121.8</c:v>
                </c:pt>
                <c:pt idx="64">
                  <c:v>122.1</c:v>
                </c:pt>
                <c:pt idx="65">
                  <c:v>124.6</c:v>
                </c:pt>
                <c:pt idx="66">
                  <c:v>120.3</c:v>
                </c:pt>
                <c:pt idx="67">
                  <c:v>123</c:v>
                </c:pt>
                <c:pt idx="68">
                  <c:v>124.6</c:v>
                </c:pt>
                <c:pt idx="69">
                  <c:v>121.1</c:v>
                </c:pt>
                <c:pt idx="70">
                  <c:v>124.5</c:v>
                </c:pt>
                <c:pt idx="71">
                  <c:v>121</c:v>
                </c:pt>
                <c:pt idx="72">
                  <c:v>122.3</c:v>
                </c:pt>
                <c:pt idx="73">
                  <c:v>122.3</c:v>
                </c:pt>
                <c:pt idx="74">
                  <c:v>121.3</c:v>
                </c:pt>
                <c:pt idx="75">
                  <c:v>124</c:v>
                </c:pt>
                <c:pt idx="76">
                  <c:v>121.1</c:v>
                </c:pt>
                <c:pt idx="77">
                  <c:v>122.4</c:v>
                </c:pt>
                <c:pt idx="78">
                  <c:v>123.8</c:v>
                </c:pt>
                <c:pt idx="79">
                  <c:v>120.6</c:v>
                </c:pt>
                <c:pt idx="80">
                  <c:v>120.5</c:v>
                </c:pt>
                <c:pt idx="81">
                  <c:v>115.2</c:v>
                </c:pt>
                <c:pt idx="82">
                  <c:v>112.9</c:v>
                </c:pt>
                <c:pt idx="83">
                  <c:v>105.2</c:v>
                </c:pt>
                <c:pt idx="84">
                  <c:v>87.7</c:v>
                </c:pt>
                <c:pt idx="85">
                  <c:v>81.8</c:v>
                </c:pt>
                <c:pt idx="86">
                  <c:v>77.7</c:v>
                </c:pt>
                <c:pt idx="87">
                  <c:v>73.900000000000006</c:v>
                </c:pt>
                <c:pt idx="88">
                  <c:v>70.599999999999994</c:v>
                </c:pt>
                <c:pt idx="89">
                  <c:v>67.599999999999994</c:v>
                </c:pt>
                <c:pt idx="90">
                  <c:v>65.099999999999994</c:v>
                </c:pt>
                <c:pt idx="91">
                  <c:v>62.9</c:v>
                </c:pt>
                <c:pt idx="92">
                  <c:v>61</c:v>
                </c:pt>
                <c:pt idx="93">
                  <c:v>59.3</c:v>
                </c:pt>
                <c:pt idx="94">
                  <c:v>57.6</c:v>
                </c:pt>
                <c:pt idx="95">
                  <c:v>56.2</c:v>
                </c:pt>
                <c:pt idx="96">
                  <c:v>55</c:v>
                </c:pt>
                <c:pt idx="97">
                  <c:v>53.8</c:v>
                </c:pt>
                <c:pt idx="98">
                  <c:v>53.1</c:v>
                </c:pt>
                <c:pt idx="99">
                  <c:v>52.7</c:v>
                </c:pt>
                <c:pt idx="100">
                  <c:v>52.3</c:v>
                </c:pt>
                <c:pt idx="101">
                  <c:v>50.1</c:v>
                </c:pt>
                <c:pt idx="102">
                  <c:v>49.2</c:v>
                </c:pt>
                <c:pt idx="103">
                  <c:v>48.7</c:v>
                </c:pt>
                <c:pt idx="104">
                  <c:v>47.9</c:v>
                </c:pt>
                <c:pt idx="105">
                  <c:v>47.3</c:v>
                </c:pt>
                <c:pt idx="106">
                  <c:v>46.7</c:v>
                </c:pt>
                <c:pt idx="107">
                  <c:v>46.2</c:v>
                </c:pt>
                <c:pt idx="108">
                  <c:v>45.7</c:v>
                </c:pt>
                <c:pt idx="109">
                  <c:v>45.3</c:v>
                </c:pt>
                <c:pt idx="110">
                  <c:v>44.9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2-44D2-9244-489B7C44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440048"/>
        <c:axId val="1994441488"/>
      </c:lineChart>
      <c:catAx>
        <c:axId val="19944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1488"/>
        <c:crosses val="autoZero"/>
        <c:auto val="1"/>
        <c:lblAlgn val="ctr"/>
        <c:lblOffset val="100"/>
        <c:noMultiLvlLbl val="0"/>
      </c:catAx>
      <c:valAx>
        <c:axId val="19944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173</xdr:row>
      <xdr:rowOff>15240</xdr:rowOff>
    </xdr:from>
    <xdr:to>
      <xdr:col>16</xdr:col>
      <xdr:colOff>22860</xdr:colOff>
      <xdr:row>192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7A657-390E-487A-AFA2-D5666DDA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426720</xdr:colOff>
      <xdr:row>308</xdr:row>
      <xdr:rowOff>83820</xdr:rowOff>
    </xdr:from>
    <xdr:to>
      <xdr:col>15</xdr:col>
      <xdr:colOff>304800</xdr:colOff>
      <xdr:row>326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FCD64-B12B-4B9D-A141-78C071314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</xdr:colOff>
      <xdr:row>52</xdr:row>
      <xdr:rowOff>76200</xdr:rowOff>
    </xdr:from>
    <xdr:to>
      <xdr:col>16</xdr:col>
      <xdr:colOff>213360</xdr:colOff>
      <xdr:row>73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98FB0-2F3B-42C5-819E-86E3770F8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320040</xdr:colOff>
      <xdr:row>475</xdr:row>
      <xdr:rowOff>110490</xdr:rowOff>
    </xdr:from>
    <xdr:to>
      <xdr:col>15</xdr:col>
      <xdr:colOff>15240</xdr:colOff>
      <xdr:row>490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7D36A-EEBD-45BD-87AF-99278E557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)%20Fourth%20Semester%20M%20Tech\Masters%20Thesis%20Research\Experimental%20Data\my%20Retort%20trials%20F0%20Calculation.xlsx" TargetMode="External"/><Relationship Id="rId1" Type="http://schemas.openxmlformats.org/officeDocument/2006/relationships/externalLinkPath" Target="my%20Retort%20trials%20F0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Temprature</v>
          </cell>
        </row>
        <row r="3">
          <cell r="A3">
            <v>0.61032407407407407</v>
          </cell>
          <cell r="B3">
            <v>34.299999999999997</v>
          </cell>
        </row>
        <row r="4">
          <cell r="A4">
            <v>0.61067129629629635</v>
          </cell>
          <cell r="B4">
            <v>34.299999999999997</v>
          </cell>
        </row>
        <row r="5">
          <cell r="A5">
            <v>0.61103009259259256</v>
          </cell>
          <cell r="B5">
            <v>34.299999999999997</v>
          </cell>
        </row>
        <row r="6">
          <cell r="A6">
            <v>0.61136574074074079</v>
          </cell>
          <cell r="B6">
            <v>34.6</v>
          </cell>
        </row>
        <row r="7">
          <cell r="A7">
            <v>0.61171296296296296</v>
          </cell>
          <cell r="B7">
            <v>35</v>
          </cell>
        </row>
        <row r="8">
          <cell r="A8">
            <v>0.61207175925925927</v>
          </cell>
          <cell r="B8">
            <v>37.4</v>
          </cell>
        </row>
        <row r="9">
          <cell r="A9">
            <v>0.61241898148148144</v>
          </cell>
          <cell r="B9">
            <v>43</v>
          </cell>
        </row>
        <row r="10">
          <cell r="A10">
            <v>0.61275462962962968</v>
          </cell>
          <cell r="B10">
            <v>49.5</v>
          </cell>
        </row>
        <row r="11">
          <cell r="A11">
            <v>0.61310185185185184</v>
          </cell>
          <cell r="B11">
            <v>54.7</v>
          </cell>
        </row>
        <row r="12">
          <cell r="A12">
            <v>0.61346064814814816</v>
          </cell>
          <cell r="B12">
            <v>59.5</v>
          </cell>
        </row>
        <row r="13">
          <cell r="A13">
            <v>0.61379629629629628</v>
          </cell>
          <cell r="B13">
            <v>63.1</v>
          </cell>
        </row>
        <row r="14">
          <cell r="A14">
            <v>0.6141550925925926</v>
          </cell>
          <cell r="B14">
            <v>67.099999999999994</v>
          </cell>
        </row>
        <row r="15">
          <cell r="A15">
            <v>0.61450231481481477</v>
          </cell>
          <cell r="B15">
            <v>72.400000000000006</v>
          </cell>
        </row>
        <row r="16">
          <cell r="A16">
            <v>0.614837962962963</v>
          </cell>
          <cell r="B16">
            <v>76.3</v>
          </cell>
        </row>
        <row r="17">
          <cell r="A17">
            <v>0.61519675925925921</v>
          </cell>
          <cell r="B17">
            <v>78.900000000000006</v>
          </cell>
        </row>
        <row r="18">
          <cell r="A18">
            <v>0.61553240740740744</v>
          </cell>
          <cell r="B18">
            <v>80.8</v>
          </cell>
        </row>
        <row r="19">
          <cell r="A19">
            <v>0.61589120370370365</v>
          </cell>
          <cell r="B19">
            <v>82.5</v>
          </cell>
        </row>
        <row r="20">
          <cell r="A20">
            <v>0.61622685185185189</v>
          </cell>
          <cell r="B20">
            <v>83.8</v>
          </cell>
        </row>
        <row r="21">
          <cell r="A21">
            <v>0.6165856481481482</v>
          </cell>
          <cell r="B21">
            <v>85.9</v>
          </cell>
        </row>
        <row r="22">
          <cell r="A22">
            <v>0.61692129629629633</v>
          </cell>
          <cell r="B22">
            <v>87</v>
          </cell>
        </row>
        <row r="23">
          <cell r="A23">
            <v>0.61726851851851849</v>
          </cell>
          <cell r="B23">
            <v>87.9</v>
          </cell>
        </row>
        <row r="24">
          <cell r="A24">
            <v>0.61761574074074077</v>
          </cell>
          <cell r="B24">
            <v>88.5</v>
          </cell>
        </row>
        <row r="25">
          <cell r="A25">
            <v>0.61797453703703709</v>
          </cell>
          <cell r="B25">
            <v>88.7</v>
          </cell>
        </row>
        <row r="26">
          <cell r="A26">
            <v>0.61832175925925925</v>
          </cell>
          <cell r="B26">
            <v>90.2</v>
          </cell>
        </row>
        <row r="27">
          <cell r="A27">
            <v>0.61865740740740738</v>
          </cell>
          <cell r="B27">
            <v>90.8</v>
          </cell>
        </row>
        <row r="28">
          <cell r="A28">
            <v>0.61900462962962965</v>
          </cell>
          <cell r="B28">
            <v>91.5</v>
          </cell>
        </row>
        <row r="29">
          <cell r="A29">
            <v>0.61936342592592597</v>
          </cell>
          <cell r="B29">
            <v>92.2</v>
          </cell>
        </row>
        <row r="30">
          <cell r="A30">
            <v>0.61971064814814814</v>
          </cell>
          <cell r="B30">
            <v>94.2</v>
          </cell>
        </row>
        <row r="31">
          <cell r="A31">
            <v>0.62004629629629626</v>
          </cell>
          <cell r="B31">
            <v>96.1</v>
          </cell>
        </row>
        <row r="32">
          <cell r="A32">
            <v>0.62040509259259258</v>
          </cell>
          <cell r="B32">
            <v>97.7</v>
          </cell>
        </row>
        <row r="33">
          <cell r="A33">
            <v>0.6207407407407407</v>
          </cell>
          <cell r="B33">
            <v>99.3</v>
          </cell>
        </row>
        <row r="34">
          <cell r="A34">
            <v>0.62109953703703702</v>
          </cell>
          <cell r="B34">
            <v>100.9</v>
          </cell>
        </row>
        <row r="35">
          <cell r="A35">
            <v>0.62143518518518515</v>
          </cell>
          <cell r="B35">
            <v>102.9</v>
          </cell>
        </row>
        <row r="36">
          <cell r="A36">
            <v>0.62179398148148146</v>
          </cell>
          <cell r="B36">
            <v>106.7</v>
          </cell>
        </row>
        <row r="37">
          <cell r="A37">
            <v>0.62214120370370374</v>
          </cell>
          <cell r="B37">
            <v>109.7</v>
          </cell>
        </row>
        <row r="38">
          <cell r="A38">
            <v>0.6224884259259259</v>
          </cell>
          <cell r="B38">
            <v>111.2</v>
          </cell>
        </row>
        <row r="39">
          <cell r="A39">
            <v>0.62282407407407403</v>
          </cell>
          <cell r="B39">
            <v>113.1</v>
          </cell>
        </row>
        <row r="40">
          <cell r="A40">
            <v>0.62318287037037035</v>
          </cell>
          <cell r="B40">
            <v>114.3</v>
          </cell>
        </row>
        <row r="41">
          <cell r="A41">
            <v>0.62353009259259262</v>
          </cell>
          <cell r="B41">
            <v>115.3</v>
          </cell>
        </row>
        <row r="42">
          <cell r="A42">
            <v>0.62386574074074075</v>
          </cell>
          <cell r="B42">
            <v>116.8</v>
          </cell>
        </row>
        <row r="43">
          <cell r="A43">
            <v>0.62422453703703706</v>
          </cell>
          <cell r="B43">
            <v>118</v>
          </cell>
        </row>
        <row r="44">
          <cell r="A44">
            <v>0.62456018518518519</v>
          </cell>
          <cell r="B44">
            <v>118.9</v>
          </cell>
        </row>
        <row r="45">
          <cell r="A45">
            <v>0.62490740740740736</v>
          </cell>
          <cell r="B45">
            <v>119.8</v>
          </cell>
        </row>
        <row r="46">
          <cell r="A46">
            <v>0.62526620370370367</v>
          </cell>
          <cell r="B46">
            <v>120.6</v>
          </cell>
        </row>
        <row r="47">
          <cell r="A47">
            <v>0.62561342592592595</v>
          </cell>
          <cell r="B47">
            <v>121</v>
          </cell>
        </row>
        <row r="48">
          <cell r="A48">
            <v>0.62596064814814811</v>
          </cell>
          <cell r="B48">
            <v>121.4</v>
          </cell>
        </row>
        <row r="49">
          <cell r="A49">
            <v>0.62630787037037039</v>
          </cell>
          <cell r="B49">
            <v>120.8</v>
          </cell>
        </row>
        <row r="50">
          <cell r="A50">
            <v>0.62664351851851852</v>
          </cell>
          <cell r="B50">
            <v>119.9</v>
          </cell>
        </row>
        <row r="51">
          <cell r="A51">
            <v>0.62700231481481483</v>
          </cell>
          <cell r="B51">
            <v>122.5</v>
          </cell>
        </row>
        <row r="52">
          <cell r="A52">
            <v>0.627349537037037</v>
          </cell>
          <cell r="B52">
            <v>121.2</v>
          </cell>
        </row>
        <row r="53">
          <cell r="A53">
            <v>0.62768518518518523</v>
          </cell>
          <cell r="B53">
            <v>121.8</v>
          </cell>
        </row>
        <row r="54">
          <cell r="A54">
            <v>0.62804398148148144</v>
          </cell>
          <cell r="B54">
            <v>122.5</v>
          </cell>
        </row>
        <row r="55">
          <cell r="A55">
            <v>0.62837962962962968</v>
          </cell>
          <cell r="B55">
            <v>122.2</v>
          </cell>
        </row>
        <row r="56">
          <cell r="A56">
            <v>0.62873842592592588</v>
          </cell>
          <cell r="B56">
            <v>121.6</v>
          </cell>
        </row>
        <row r="57">
          <cell r="A57">
            <v>0.62908564814814816</v>
          </cell>
          <cell r="B57">
            <v>122.7</v>
          </cell>
        </row>
        <row r="58">
          <cell r="A58">
            <v>0.62943287037037032</v>
          </cell>
          <cell r="B58">
            <v>120.9</v>
          </cell>
        </row>
        <row r="59">
          <cell r="A59">
            <v>0.6297800925925926</v>
          </cell>
          <cell r="B59">
            <v>123.2</v>
          </cell>
        </row>
        <row r="60">
          <cell r="A60">
            <v>0.63012731481481477</v>
          </cell>
          <cell r="B60">
            <v>121</v>
          </cell>
        </row>
        <row r="61">
          <cell r="A61">
            <v>0.63047453703703704</v>
          </cell>
          <cell r="B61">
            <v>123.4</v>
          </cell>
        </row>
        <row r="62">
          <cell r="A62">
            <v>0.63082175925925921</v>
          </cell>
          <cell r="B62">
            <v>122</v>
          </cell>
        </row>
        <row r="63">
          <cell r="A63">
            <v>0.63116898148148148</v>
          </cell>
          <cell r="B63">
            <v>121.9</v>
          </cell>
        </row>
        <row r="64">
          <cell r="A64">
            <v>0.63151620370370365</v>
          </cell>
          <cell r="B64">
            <v>122.1</v>
          </cell>
        </row>
        <row r="65">
          <cell r="A65">
            <v>0.63186342592592593</v>
          </cell>
          <cell r="B65">
            <v>120.9</v>
          </cell>
        </row>
        <row r="66">
          <cell r="A66">
            <v>0.6322106481481482</v>
          </cell>
          <cell r="B66">
            <v>123</v>
          </cell>
        </row>
        <row r="67">
          <cell r="A67">
            <v>0.63254629629629633</v>
          </cell>
          <cell r="B67">
            <v>120.9</v>
          </cell>
        </row>
        <row r="68">
          <cell r="A68">
            <v>0.63290509259259264</v>
          </cell>
          <cell r="B68">
            <v>123.6</v>
          </cell>
        </row>
        <row r="69">
          <cell r="A69">
            <v>0.63325231481481481</v>
          </cell>
          <cell r="B69">
            <v>122</v>
          </cell>
        </row>
        <row r="70">
          <cell r="A70">
            <v>0.63359953703703709</v>
          </cell>
          <cell r="B70">
            <v>121.6</v>
          </cell>
        </row>
        <row r="71">
          <cell r="A71">
            <v>0.63394675925925925</v>
          </cell>
          <cell r="B71">
            <v>122.6</v>
          </cell>
        </row>
        <row r="72">
          <cell r="A72">
            <v>0.63429398148148153</v>
          </cell>
          <cell r="B72">
            <v>121.2</v>
          </cell>
        </row>
        <row r="73">
          <cell r="A73">
            <v>0.63464120370370369</v>
          </cell>
          <cell r="B73">
            <v>123.4</v>
          </cell>
        </row>
        <row r="74">
          <cell r="A74">
            <v>0.63498842592592597</v>
          </cell>
          <cell r="B74">
            <v>122.3</v>
          </cell>
        </row>
        <row r="75">
          <cell r="A75">
            <v>0.63533564814814814</v>
          </cell>
          <cell r="B75">
            <v>120.7</v>
          </cell>
        </row>
        <row r="76">
          <cell r="A76">
            <v>0.63568287037037041</v>
          </cell>
          <cell r="B76">
            <v>123.8</v>
          </cell>
        </row>
        <row r="77">
          <cell r="A77">
            <v>0.63603009259259258</v>
          </cell>
          <cell r="B77">
            <v>122.3</v>
          </cell>
        </row>
        <row r="78">
          <cell r="A78">
            <v>0.63637731481481485</v>
          </cell>
          <cell r="B78">
            <v>120.9</v>
          </cell>
        </row>
        <row r="79">
          <cell r="A79">
            <v>0.63672453703703702</v>
          </cell>
          <cell r="B79">
            <v>123.3</v>
          </cell>
        </row>
        <row r="80">
          <cell r="A80">
            <v>0.6370717592592593</v>
          </cell>
          <cell r="B80">
            <v>121.9</v>
          </cell>
        </row>
        <row r="81">
          <cell r="A81">
            <v>0.63741898148148146</v>
          </cell>
          <cell r="B81">
            <v>121.3</v>
          </cell>
        </row>
        <row r="82">
          <cell r="A82">
            <v>0.63776620370370374</v>
          </cell>
          <cell r="B82">
            <v>123</v>
          </cell>
        </row>
        <row r="83">
          <cell r="A83">
            <v>0.6381134259259259</v>
          </cell>
          <cell r="B83">
            <v>121.8</v>
          </cell>
        </row>
        <row r="84">
          <cell r="A84">
            <v>0.63846064814814818</v>
          </cell>
          <cell r="B84">
            <v>121.6</v>
          </cell>
        </row>
        <row r="85">
          <cell r="A85">
            <v>0.63880787037037035</v>
          </cell>
          <cell r="B85">
            <v>122.8</v>
          </cell>
        </row>
        <row r="86">
          <cell r="A86">
            <v>0.63915509259259262</v>
          </cell>
          <cell r="B86">
            <v>121.4</v>
          </cell>
        </row>
        <row r="87">
          <cell r="A87">
            <v>0.63950231481481479</v>
          </cell>
          <cell r="B87">
            <v>122.4</v>
          </cell>
        </row>
        <row r="88">
          <cell r="A88">
            <v>0.63984953703703706</v>
          </cell>
          <cell r="B88">
            <v>115.6</v>
          </cell>
        </row>
        <row r="89">
          <cell r="A89">
            <v>0.64019675925925923</v>
          </cell>
          <cell r="B89">
            <v>111.9</v>
          </cell>
        </row>
        <row r="90">
          <cell r="A90">
            <v>0.64054398148148151</v>
          </cell>
          <cell r="B90">
            <v>106.9</v>
          </cell>
        </row>
        <row r="91">
          <cell r="A91">
            <v>0.64089120370370367</v>
          </cell>
          <cell r="B91">
            <v>88</v>
          </cell>
        </row>
        <row r="92">
          <cell r="A92">
            <v>0.64123842592592595</v>
          </cell>
          <cell r="B92">
            <v>81.2</v>
          </cell>
        </row>
        <row r="93">
          <cell r="A93">
            <v>0.64158564814814811</v>
          </cell>
          <cell r="B93">
            <v>76.900000000000006</v>
          </cell>
        </row>
        <row r="94">
          <cell r="A94">
            <v>0.64193287037037039</v>
          </cell>
          <cell r="B94">
            <v>73.099999999999994</v>
          </cell>
        </row>
        <row r="95">
          <cell r="A95">
            <v>0.64228009259259256</v>
          </cell>
          <cell r="B95">
            <v>69.7</v>
          </cell>
        </row>
        <row r="96">
          <cell r="A96">
            <v>0.64262731481481483</v>
          </cell>
          <cell r="B96">
            <v>66.7</v>
          </cell>
        </row>
        <row r="97">
          <cell r="A97">
            <v>0.642974537037037</v>
          </cell>
          <cell r="B97">
            <v>64.3</v>
          </cell>
        </row>
        <row r="98">
          <cell r="A98">
            <v>0.64332175925925927</v>
          </cell>
          <cell r="B98">
            <v>62.1</v>
          </cell>
        </row>
        <row r="99">
          <cell r="A99">
            <v>0.64366898148148144</v>
          </cell>
          <cell r="B99">
            <v>60.2</v>
          </cell>
        </row>
        <row r="100">
          <cell r="A100">
            <v>0.64401620370370372</v>
          </cell>
          <cell r="B100">
            <v>58.3</v>
          </cell>
        </row>
        <row r="101">
          <cell r="A101">
            <v>0.64436342592592588</v>
          </cell>
          <cell r="B101">
            <v>56.8</v>
          </cell>
        </row>
        <row r="102">
          <cell r="A102">
            <v>0.64471064814814816</v>
          </cell>
          <cell r="B102">
            <v>55.2</v>
          </cell>
        </row>
        <row r="103">
          <cell r="A103">
            <v>0.64505787037037032</v>
          </cell>
          <cell r="B103">
            <v>53.8</v>
          </cell>
        </row>
        <row r="104">
          <cell r="A104">
            <v>0.6454050925925926</v>
          </cell>
          <cell r="B104">
            <v>52.6</v>
          </cell>
        </row>
        <row r="105">
          <cell r="A105">
            <v>0.64575231481481477</v>
          </cell>
          <cell r="B105">
            <v>51.4</v>
          </cell>
        </row>
        <row r="106">
          <cell r="A106">
            <v>0.64609953703703704</v>
          </cell>
          <cell r="B106">
            <v>50.3</v>
          </cell>
        </row>
        <row r="107">
          <cell r="A107">
            <v>0.64644675925925921</v>
          </cell>
          <cell r="B107">
            <v>49.3</v>
          </cell>
        </row>
        <row r="108">
          <cell r="A108">
            <v>0.64679398148148148</v>
          </cell>
          <cell r="B108">
            <v>48.3</v>
          </cell>
        </row>
        <row r="109">
          <cell r="A109">
            <v>0.64714120370370365</v>
          </cell>
          <cell r="B109">
            <v>47.5</v>
          </cell>
        </row>
        <row r="110">
          <cell r="A110">
            <v>0.64748842592592593</v>
          </cell>
          <cell r="B110">
            <v>46.7</v>
          </cell>
        </row>
        <row r="111">
          <cell r="A111">
            <v>0.6478356481481482</v>
          </cell>
          <cell r="B111">
            <v>46.1</v>
          </cell>
        </row>
        <row r="112">
          <cell r="A112">
            <v>0.64818287037037037</v>
          </cell>
          <cell r="B112">
            <v>45.4</v>
          </cell>
        </row>
        <row r="113">
          <cell r="A113">
            <v>0.64853009259259264</v>
          </cell>
          <cell r="B113">
            <v>45</v>
          </cell>
        </row>
        <row r="114">
          <cell r="A114">
            <v>0.64887731481481481</v>
          </cell>
          <cell r="B114">
            <v>44.9</v>
          </cell>
        </row>
        <row r="115">
          <cell r="A115">
            <v>0.64922453703703709</v>
          </cell>
          <cell r="B115">
            <v>44.8</v>
          </cell>
        </row>
        <row r="116">
          <cell r="A116">
            <v>0.64957175925925925</v>
          </cell>
          <cell r="B116">
            <v>44.7</v>
          </cell>
        </row>
        <row r="117">
          <cell r="A117">
            <v>0.64991898148148153</v>
          </cell>
          <cell r="B117">
            <v>44.7</v>
          </cell>
        </row>
        <row r="118">
          <cell r="A118">
            <v>0.65026620370370369</v>
          </cell>
          <cell r="B118">
            <v>44.7</v>
          </cell>
        </row>
        <row r="119">
          <cell r="A119">
            <v>0.65061342592592597</v>
          </cell>
          <cell r="B119">
            <v>44.8</v>
          </cell>
        </row>
        <row r="120">
          <cell r="A120">
            <v>0.65096064814814814</v>
          </cell>
          <cell r="B120">
            <v>45</v>
          </cell>
        </row>
        <row r="121">
          <cell r="A121">
            <v>0.65130787037037041</v>
          </cell>
          <cell r="B121">
            <v>45</v>
          </cell>
        </row>
        <row r="122">
          <cell r="A122">
            <v>0.65165509259259258</v>
          </cell>
          <cell r="B122">
            <v>45</v>
          </cell>
        </row>
        <row r="128">
          <cell r="B128" t="str">
            <v>Temprature</v>
          </cell>
        </row>
        <row r="129">
          <cell r="A129">
            <v>0.62146990740740737</v>
          </cell>
          <cell r="B129">
            <v>34.799999999999997</v>
          </cell>
        </row>
        <row r="130">
          <cell r="A130">
            <v>0.62181712962962965</v>
          </cell>
          <cell r="B130">
            <v>34.5</v>
          </cell>
        </row>
        <row r="131">
          <cell r="A131">
            <v>0.62216435185185182</v>
          </cell>
          <cell r="B131">
            <v>35</v>
          </cell>
        </row>
        <row r="132">
          <cell r="A132">
            <v>0.62251157407407409</v>
          </cell>
          <cell r="B132">
            <v>37.200000000000003</v>
          </cell>
        </row>
        <row r="133">
          <cell r="A133">
            <v>0.62285879629629626</v>
          </cell>
          <cell r="B133">
            <v>42.5</v>
          </cell>
        </row>
        <row r="134">
          <cell r="A134">
            <v>0.62320601851851853</v>
          </cell>
          <cell r="B134">
            <v>48.1</v>
          </cell>
        </row>
        <row r="135">
          <cell r="A135">
            <v>0.6235532407407407</v>
          </cell>
          <cell r="B135">
            <v>53.3</v>
          </cell>
        </row>
        <row r="136">
          <cell r="A136">
            <v>0.62390046296296298</v>
          </cell>
          <cell r="B136">
            <v>57.9</v>
          </cell>
        </row>
        <row r="137">
          <cell r="A137">
            <v>0.62424768518518514</v>
          </cell>
          <cell r="B137">
            <v>62.1</v>
          </cell>
        </row>
        <row r="138">
          <cell r="A138">
            <v>0.62459490740740742</v>
          </cell>
          <cell r="B138">
            <v>64.900000000000006</v>
          </cell>
        </row>
        <row r="139">
          <cell r="A139">
            <v>0.62494212962962958</v>
          </cell>
          <cell r="B139">
            <v>67.400000000000006</v>
          </cell>
        </row>
        <row r="140">
          <cell r="A140">
            <v>0.62528935185185186</v>
          </cell>
          <cell r="B140">
            <v>69.7</v>
          </cell>
        </row>
        <row r="141">
          <cell r="A141">
            <v>0.62563657407407403</v>
          </cell>
          <cell r="B141">
            <v>73.400000000000006</v>
          </cell>
        </row>
        <row r="142">
          <cell r="A142">
            <v>0.6259837962962963</v>
          </cell>
          <cell r="B142">
            <v>76.3</v>
          </cell>
        </row>
        <row r="143">
          <cell r="A143">
            <v>0.62633101851851847</v>
          </cell>
          <cell r="B143">
            <v>78.7</v>
          </cell>
        </row>
        <row r="144">
          <cell r="A144">
            <v>0.62667824074074074</v>
          </cell>
          <cell r="B144">
            <v>80</v>
          </cell>
        </row>
        <row r="145">
          <cell r="A145">
            <v>0.62702546296296291</v>
          </cell>
          <cell r="B145">
            <v>81.5</v>
          </cell>
        </row>
        <row r="146">
          <cell r="A146">
            <v>0.62737268518518519</v>
          </cell>
          <cell r="B146">
            <v>82.8</v>
          </cell>
        </row>
        <row r="147">
          <cell r="A147">
            <v>0.62771990740740746</v>
          </cell>
          <cell r="B147">
            <v>84.1</v>
          </cell>
        </row>
        <row r="148">
          <cell r="A148">
            <v>0.62806712962962963</v>
          </cell>
          <cell r="B148">
            <v>84.8</v>
          </cell>
        </row>
        <row r="149">
          <cell r="A149">
            <v>0.6284143518518519</v>
          </cell>
          <cell r="B149">
            <v>85.5</v>
          </cell>
        </row>
        <row r="150">
          <cell r="A150">
            <v>0.62876157407407407</v>
          </cell>
          <cell r="B150">
            <v>86.1</v>
          </cell>
        </row>
        <row r="151">
          <cell r="A151">
            <v>0.62910879629629635</v>
          </cell>
          <cell r="B151">
            <v>86.4</v>
          </cell>
        </row>
        <row r="152">
          <cell r="A152">
            <v>0.62945601851851851</v>
          </cell>
          <cell r="B152">
            <v>87.2</v>
          </cell>
        </row>
        <row r="153">
          <cell r="A153">
            <v>0.62980324074074079</v>
          </cell>
          <cell r="B153">
            <v>88.2</v>
          </cell>
        </row>
        <row r="154">
          <cell r="A154">
            <v>0.63015046296296295</v>
          </cell>
          <cell r="B154">
            <v>89.8</v>
          </cell>
        </row>
        <row r="155">
          <cell r="A155">
            <v>0.63049768518518523</v>
          </cell>
          <cell r="B155">
            <v>92.3</v>
          </cell>
        </row>
        <row r="156">
          <cell r="A156">
            <v>0.6308449074074074</v>
          </cell>
          <cell r="B156">
            <v>94.4</v>
          </cell>
        </row>
        <row r="157">
          <cell r="A157">
            <v>0.63119212962962967</v>
          </cell>
          <cell r="B157">
            <v>96.5</v>
          </cell>
        </row>
        <row r="158">
          <cell r="A158">
            <v>0.63153935185185184</v>
          </cell>
          <cell r="B158">
            <v>98.7</v>
          </cell>
        </row>
        <row r="159">
          <cell r="A159">
            <v>0.63188657407407411</v>
          </cell>
          <cell r="B159">
            <v>100.8</v>
          </cell>
        </row>
        <row r="160">
          <cell r="A160">
            <v>0.63223379629629628</v>
          </cell>
          <cell r="B160">
            <v>103.7</v>
          </cell>
        </row>
        <row r="161">
          <cell r="A161">
            <v>0.63258101851851856</v>
          </cell>
          <cell r="B161">
            <v>106.7</v>
          </cell>
        </row>
        <row r="162">
          <cell r="A162">
            <v>0.63292824074074072</v>
          </cell>
          <cell r="B162">
            <v>109.5</v>
          </cell>
        </row>
        <row r="163">
          <cell r="A163">
            <v>0.633275462962963</v>
          </cell>
          <cell r="B163">
            <v>111.5</v>
          </cell>
        </row>
        <row r="164">
          <cell r="A164">
            <v>0.63362268518518516</v>
          </cell>
          <cell r="B164">
            <v>112.7</v>
          </cell>
        </row>
        <row r="165">
          <cell r="A165">
            <v>0.63396990740740744</v>
          </cell>
          <cell r="B165">
            <v>113.8</v>
          </cell>
        </row>
        <row r="166">
          <cell r="A166">
            <v>0.63431712962962961</v>
          </cell>
          <cell r="B166">
            <v>114.8</v>
          </cell>
        </row>
        <row r="167">
          <cell r="A167">
            <v>0.63466435185185188</v>
          </cell>
          <cell r="B167">
            <v>115.6</v>
          </cell>
        </row>
        <row r="168">
          <cell r="A168">
            <v>0.63501157407407405</v>
          </cell>
          <cell r="B168">
            <v>116.4</v>
          </cell>
        </row>
        <row r="169">
          <cell r="A169">
            <v>0.63535879629629632</v>
          </cell>
          <cell r="B169">
            <v>117.2</v>
          </cell>
        </row>
        <row r="170">
          <cell r="A170">
            <v>0.63570601851851849</v>
          </cell>
          <cell r="B170">
            <v>118.1</v>
          </cell>
        </row>
        <row r="171">
          <cell r="A171">
            <v>0.63605324074074077</v>
          </cell>
          <cell r="B171">
            <v>118.9</v>
          </cell>
        </row>
        <row r="172">
          <cell r="A172">
            <v>0.63640046296296293</v>
          </cell>
          <cell r="B172">
            <v>119.7</v>
          </cell>
        </row>
        <row r="173">
          <cell r="A173">
            <v>0.63674768518518521</v>
          </cell>
          <cell r="B173">
            <v>120.5</v>
          </cell>
        </row>
        <row r="174">
          <cell r="A174">
            <v>0.63709490740740737</v>
          </cell>
          <cell r="B174">
            <v>121.2</v>
          </cell>
        </row>
        <row r="175">
          <cell r="A175">
            <v>0.63744212962962965</v>
          </cell>
          <cell r="B175">
            <v>121.2</v>
          </cell>
        </row>
        <row r="176">
          <cell r="A176">
            <v>0.63778935185185182</v>
          </cell>
          <cell r="B176">
            <v>120.7</v>
          </cell>
        </row>
        <row r="177">
          <cell r="A177">
            <v>0.63813657407407409</v>
          </cell>
          <cell r="B177">
            <v>122.6</v>
          </cell>
        </row>
        <row r="178">
          <cell r="A178">
            <v>0.63848379629629626</v>
          </cell>
          <cell r="B178">
            <v>122</v>
          </cell>
        </row>
        <row r="179">
          <cell r="A179">
            <v>0.63883101851851853</v>
          </cell>
          <cell r="B179">
            <v>121.1</v>
          </cell>
        </row>
        <row r="180">
          <cell r="A180">
            <v>0.6391782407407407</v>
          </cell>
          <cell r="B180">
            <v>121.1</v>
          </cell>
        </row>
        <row r="181">
          <cell r="A181">
            <v>0.63952546296296298</v>
          </cell>
          <cell r="B181">
            <v>123.4</v>
          </cell>
        </row>
        <row r="182">
          <cell r="A182">
            <v>0.63987268518518514</v>
          </cell>
          <cell r="B182">
            <v>122.7</v>
          </cell>
        </row>
        <row r="183">
          <cell r="A183">
            <v>0.64021990740740742</v>
          </cell>
          <cell r="B183">
            <v>121.9</v>
          </cell>
        </row>
        <row r="184">
          <cell r="A184">
            <v>0.64056712962962958</v>
          </cell>
          <cell r="B184">
            <v>121</v>
          </cell>
        </row>
        <row r="185">
          <cell r="A185">
            <v>0.64091435185185186</v>
          </cell>
          <cell r="B185">
            <v>121.7</v>
          </cell>
        </row>
        <row r="186">
          <cell r="A186">
            <v>0.64126157407407403</v>
          </cell>
          <cell r="B186">
            <v>122.9</v>
          </cell>
        </row>
        <row r="187">
          <cell r="A187">
            <v>0.6416087962962963</v>
          </cell>
          <cell r="B187">
            <v>122.1</v>
          </cell>
        </row>
        <row r="188">
          <cell r="A188">
            <v>0.64195601851851847</v>
          </cell>
          <cell r="B188">
            <v>121.2</v>
          </cell>
        </row>
        <row r="189">
          <cell r="A189">
            <v>0.64230324074074074</v>
          </cell>
          <cell r="B189">
            <v>121.2</v>
          </cell>
        </row>
        <row r="190">
          <cell r="A190">
            <v>0.64265046296296291</v>
          </cell>
          <cell r="B190">
            <v>122.6</v>
          </cell>
        </row>
        <row r="191">
          <cell r="A191">
            <v>0.64299768518518519</v>
          </cell>
          <cell r="B191">
            <v>121.7</v>
          </cell>
        </row>
        <row r="192">
          <cell r="A192">
            <v>0.64334490740740746</v>
          </cell>
          <cell r="B192">
            <v>120.9</v>
          </cell>
        </row>
        <row r="193">
          <cell r="A193">
            <v>0.64369212962962963</v>
          </cell>
          <cell r="B193">
            <v>122.1</v>
          </cell>
        </row>
        <row r="194">
          <cell r="A194">
            <v>0.6440393518518519</v>
          </cell>
          <cell r="B194">
            <v>122.2</v>
          </cell>
        </row>
        <row r="195">
          <cell r="A195">
            <v>0.64438657407407407</v>
          </cell>
          <cell r="B195">
            <v>115.9</v>
          </cell>
        </row>
        <row r="196">
          <cell r="A196">
            <v>0.64473379629629635</v>
          </cell>
          <cell r="B196">
            <v>112.2</v>
          </cell>
        </row>
        <row r="197">
          <cell r="A197">
            <v>0.64508101851851851</v>
          </cell>
          <cell r="B197">
            <v>102</v>
          </cell>
        </row>
        <row r="198">
          <cell r="A198">
            <v>0.64542824074074079</v>
          </cell>
          <cell r="B198">
            <v>85.1</v>
          </cell>
        </row>
        <row r="199">
          <cell r="A199">
            <v>0.64577546296296295</v>
          </cell>
          <cell r="B199">
            <v>79.8</v>
          </cell>
        </row>
        <row r="200">
          <cell r="A200">
            <v>0.64612268518518523</v>
          </cell>
          <cell r="B200">
            <v>75.900000000000006</v>
          </cell>
        </row>
        <row r="201">
          <cell r="A201">
            <v>0.6464699074074074</v>
          </cell>
          <cell r="B201">
            <v>72.2</v>
          </cell>
        </row>
        <row r="202">
          <cell r="A202">
            <v>0.64681712962962967</v>
          </cell>
          <cell r="B202">
            <v>69.099999999999994</v>
          </cell>
        </row>
        <row r="203">
          <cell r="A203">
            <v>0.64716435185185184</v>
          </cell>
          <cell r="B203">
            <v>66.400000000000006</v>
          </cell>
        </row>
        <row r="204">
          <cell r="A204">
            <v>0.64751157407407411</v>
          </cell>
          <cell r="B204">
            <v>64</v>
          </cell>
        </row>
        <row r="205">
          <cell r="A205">
            <v>0.64785879629629628</v>
          </cell>
          <cell r="B205">
            <v>61.5</v>
          </cell>
        </row>
        <row r="206">
          <cell r="A206">
            <v>0.64820601851851856</v>
          </cell>
          <cell r="B206">
            <v>59.6</v>
          </cell>
        </row>
        <row r="207">
          <cell r="A207">
            <v>0.64855324074074072</v>
          </cell>
          <cell r="B207">
            <v>57.9</v>
          </cell>
        </row>
        <row r="208">
          <cell r="A208">
            <v>0.648900462962963</v>
          </cell>
          <cell r="B208">
            <v>56.3</v>
          </cell>
        </row>
        <row r="209">
          <cell r="A209">
            <v>0.64924768518518516</v>
          </cell>
          <cell r="B209">
            <v>54.9</v>
          </cell>
        </row>
        <row r="210">
          <cell r="A210">
            <v>0.64959490740740744</v>
          </cell>
          <cell r="B210">
            <v>53.7</v>
          </cell>
        </row>
        <row r="211">
          <cell r="A211">
            <v>0.64994212962962961</v>
          </cell>
          <cell r="B211">
            <v>52.6</v>
          </cell>
        </row>
        <row r="212">
          <cell r="A212">
            <v>0.65028935185185188</v>
          </cell>
          <cell r="B212">
            <v>51.6</v>
          </cell>
        </row>
        <row r="213">
          <cell r="A213">
            <v>0.65063657407407405</v>
          </cell>
          <cell r="B213">
            <v>50.7</v>
          </cell>
        </row>
        <row r="214">
          <cell r="A214">
            <v>0.65098379629629632</v>
          </cell>
          <cell r="B214">
            <v>50</v>
          </cell>
        </row>
        <row r="215">
          <cell r="A215">
            <v>0.65133101851851849</v>
          </cell>
          <cell r="B215">
            <v>49.3</v>
          </cell>
        </row>
        <row r="216">
          <cell r="A216">
            <v>0.65167824074074077</v>
          </cell>
          <cell r="B216">
            <v>48.6</v>
          </cell>
        </row>
        <row r="217">
          <cell r="A217">
            <v>0.65202546296296293</v>
          </cell>
          <cell r="B217">
            <v>48.1</v>
          </cell>
        </row>
        <row r="218">
          <cell r="A218">
            <v>0.65237268518518521</v>
          </cell>
          <cell r="B218">
            <v>47.5</v>
          </cell>
        </row>
        <row r="219">
          <cell r="A219">
            <v>0.65271990740740737</v>
          </cell>
          <cell r="B219">
            <v>47</v>
          </cell>
        </row>
        <row r="220">
          <cell r="A220">
            <v>0.65306712962962965</v>
          </cell>
          <cell r="B220">
            <v>46.7</v>
          </cell>
        </row>
        <row r="221">
          <cell r="A221">
            <v>0.65341435185185182</v>
          </cell>
          <cell r="B221">
            <v>46.3</v>
          </cell>
        </row>
        <row r="222">
          <cell r="A222">
            <v>0.65376157407407409</v>
          </cell>
          <cell r="B222">
            <v>45.9</v>
          </cell>
        </row>
        <row r="223">
          <cell r="A223">
            <v>0.65410879629629626</v>
          </cell>
          <cell r="B223">
            <v>45.5</v>
          </cell>
        </row>
        <row r="224">
          <cell r="A224">
            <v>0.65445601851851853</v>
          </cell>
          <cell r="B224">
            <v>45.2</v>
          </cell>
        </row>
        <row r="225">
          <cell r="A225">
            <v>0.6548032407407407</v>
          </cell>
          <cell r="B225">
            <v>45</v>
          </cell>
        </row>
        <row r="226">
          <cell r="A226">
            <v>0.65515046296296298</v>
          </cell>
          <cell r="B226">
            <v>45</v>
          </cell>
        </row>
        <row r="227">
          <cell r="A227">
            <v>0.65549768518518514</v>
          </cell>
          <cell r="B227">
            <v>44.9</v>
          </cell>
        </row>
        <row r="228">
          <cell r="A228">
            <v>0.65584490740740742</v>
          </cell>
          <cell r="B228">
            <v>44.8</v>
          </cell>
        </row>
        <row r="229">
          <cell r="A229">
            <v>0.65620370370370373</v>
          </cell>
          <cell r="B229">
            <v>44.8</v>
          </cell>
        </row>
        <row r="230">
          <cell r="A230">
            <v>0.65653935185185186</v>
          </cell>
          <cell r="B230">
            <v>44.8</v>
          </cell>
        </row>
        <row r="231">
          <cell r="A231">
            <v>0.65689814814814818</v>
          </cell>
          <cell r="B231">
            <v>44.8</v>
          </cell>
        </row>
        <row r="232">
          <cell r="A232">
            <v>0.6572337962962963</v>
          </cell>
          <cell r="B232">
            <v>45</v>
          </cell>
        </row>
        <row r="233">
          <cell r="A233">
            <v>0.65759259259259262</v>
          </cell>
          <cell r="B233">
            <v>45</v>
          </cell>
        </row>
        <row r="239">
          <cell r="B239" t="str">
            <v>Temprature</v>
          </cell>
        </row>
        <row r="240">
          <cell r="A240">
            <v>0.61641203703703706</v>
          </cell>
          <cell r="B240">
            <v>35</v>
          </cell>
        </row>
        <row r="241">
          <cell r="A241">
            <v>0.61675925925925923</v>
          </cell>
          <cell r="B241">
            <v>35</v>
          </cell>
        </row>
        <row r="242">
          <cell r="A242">
            <v>0.61710648148148151</v>
          </cell>
          <cell r="B242">
            <v>35.1</v>
          </cell>
        </row>
        <row r="243">
          <cell r="A243">
            <v>0.61745370370370367</v>
          </cell>
          <cell r="B243">
            <v>36.200000000000003</v>
          </cell>
        </row>
        <row r="244">
          <cell r="A244">
            <v>0.61780092592592595</v>
          </cell>
          <cell r="B244">
            <v>41.3</v>
          </cell>
        </row>
        <row r="245">
          <cell r="A245">
            <v>0.61814814814814811</v>
          </cell>
          <cell r="B245">
            <v>66.7</v>
          </cell>
        </row>
        <row r="246">
          <cell r="A246">
            <v>0.61849537037037039</v>
          </cell>
          <cell r="B246">
            <v>75.400000000000006</v>
          </cell>
        </row>
        <row r="247">
          <cell r="A247">
            <v>0.61884259259259256</v>
          </cell>
          <cell r="B247">
            <v>81.599999999999994</v>
          </cell>
        </row>
        <row r="248">
          <cell r="A248">
            <v>0.61918981481481483</v>
          </cell>
          <cell r="B248">
            <v>86.4</v>
          </cell>
        </row>
        <row r="249">
          <cell r="A249">
            <v>0.619537037037037</v>
          </cell>
          <cell r="B249">
            <v>90</v>
          </cell>
        </row>
        <row r="250">
          <cell r="A250">
            <v>0.61988425925925927</v>
          </cell>
          <cell r="B250">
            <v>92.6</v>
          </cell>
        </row>
        <row r="251">
          <cell r="A251">
            <v>0.62023148148148144</v>
          </cell>
          <cell r="B251">
            <v>94.7</v>
          </cell>
        </row>
        <row r="252">
          <cell r="A252">
            <v>0.62057870370370372</v>
          </cell>
          <cell r="B252">
            <v>96.4</v>
          </cell>
        </row>
        <row r="253">
          <cell r="A253">
            <v>0.62092592592592588</v>
          </cell>
          <cell r="B253">
            <v>97.5</v>
          </cell>
        </row>
        <row r="254">
          <cell r="A254">
            <v>0.62127314814814816</v>
          </cell>
          <cell r="B254">
            <v>98.5</v>
          </cell>
        </row>
        <row r="255">
          <cell r="A255">
            <v>0.62162037037037032</v>
          </cell>
          <cell r="B255">
            <v>99.3</v>
          </cell>
        </row>
        <row r="256">
          <cell r="A256">
            <v>0.6219675925925926</v>
          </cell>
          <cell r="B256">
            <v>100.1</v>
          </cell>
        </row>
        <row r="257">
          <cell r="A257">
            <v>0.62231481481481477</v>
          </cell>
          <cell r="B257">
            <v>100.8</v>
          </cell>
        </row>
        <row r="258">
          <cell r="A258">
            <v>0.62266203703703704</v>
          </cell>
          <cell r="B258">
            <v>101.5</v>
          </cell>
        </row>
        <row r="259">
          <cell r="A259">
            <v>0.62300925925925921</v>
          </cell>
          <cell r="B259">
            <v>102.3</v>
          </cell>
        </row>
        <row r="260">
          <cell r="A260">
            <v>0.62335648148148148</v>
          </cell>
          <cell r="B260">
            <v>102.9</v>
          </cell>
        </row>
        <row r="261">
          <cell r="A261">
            <v>0.62370370370370365</v>
          </cell>
          <cell r="B261">
            <v>103.6</v>
          </cell>
        </row>
        <row r="262">
          <cell r="A262">
            <v>0.62405092592592593</v>
          </cell>
          <cell r="B262">
            <v>104.3</v>
          </cell>
        </row>
        <row r="263">
          <cell r="A263">
            <v>0.6243981481481482</v>
          </cell>
          <cell r="B263">
            <v>104.9</v>
          </cell>
        </row>
        <row r="264">
          <cell r="A264">
            <v>0.62474537037037037</v>
          </cell>
          <cell r="B264">
            <v>105.6</v>
          </cell>
        </row>
        <row r="265">
          <cell r="A265">
            <v>0.62509259259259264</v>
          </cell>
          <cell r="B265">
            <v>106.3</v>
          </cell>
        </row>
        <row r="266">
          <cell r="A266">
            <v>0.62543981481481481</v>
          </cell>
          <cell r="B266">
            <v>106.9</v>
          </cell>
        </row>
        <row r="267">
          <cell r="A267">
            <v>0.62578703703703709</v>
          </cell>
          <cell r="B267">
            <v>107.6</v>
          </cell>
        </row>
        <row r="268">
          <cell r="A268">
            <v>0.62613425925925925</v>
          </cell>
          <cell r="B268">
            <v>108.4</v>
          </cell>
        </row>
        <row r="269">
          <cell r="A269">
            <v>0.62648148148148153</v>
          </cell>
          <cell r="B269">
            <v>109</v>
          </cell>
        </row>
        <row r="270">
          <cell r="A270">
            <v>0.62682870370370369</v>
          </cell>
          <cell r="B270">
            <v>109.7</v>
          </cell>
        </row>
        <row r="271">
          <cell r="A271">
            <v>0.62717592592592597</v>
          </cell>
          <cell r="B271">
            <v>110.3</v>
          </cell>
        </row>
        <row r="272">
          <cell r="A272">
            <v>0.62752314814814814</v>
          </cell>
          <cell r="B272">
            <v>110.9</v>
          </cell>
        </row>
        <row r="273">
          <cell r="A273">
            <v>0.62787037037037041</v>
          </cell>
          <cell r="B273">
            <v>111.7</v>
          </cell>
        </row>
        <row r="274">
          <cell r="A274">
            <v>0.62821759259259258</v>
          </cell>
          <cell r="B274">
            <v>112.3</v>
          </cell>
        </row>
        <row r="275">
          <cell r="A275">
            <v>0.62856481481481485</v>
          </cell>
          <cell r="B275">
            <v>112.9</v>
          </cell>
        </row>
        <row r="276">
          <cell r="A276">
            <v>0.62891203703703702</v>
          </cell>
          <cell r="B276">
            <v>113.7</v>
          </cell>
        </row>
        <row r="277">
          <cell r="A277">
            <v>0.6292592592592593</v>
          </cell>
          <cell r="B277">
            <v>114.3</v>
          </cell>
        </row>
        <row r="278">
          <cell r="A278">
            <v>0.62960648148148146</v>
          </cell>
          <cell r="B278">
            <v>115</v>
          </cell>
        </row>
        <row r="279">
          <cell r="A279">
            <v>0.62995370370370374</v>
          </cell>
          <cell r="B279">
            <v>115.6</v>
          </cell>
        </row>
        <row r="280">
          <cell r="A280">
            <v>0.6303009259259259</v>
          </cell>
          <cell r="B280">
            <v>116.2</v>
          </cell>
        </row>
        <row r="281">
          <cell r="A281">
            <v>0.63064814814814818</v>
          </cell>
          <cell r="B281">
            <v>116.9</v>
          </cell>
        </row>
        <row r="282">
          <cell r="A282">
            <v>0.63099537037037035</v>
          </cell>
          <cell r="B282">
            <v>117.5</v>
          </cell>
        </row>
        <row r="283">
          <cell r="A283">
            <v>0.63134259259259262</v>
          </cell>
          <cell r="B283">
            <v>118.1</v>
          </cell>
        </row>
        <row r="284">
          <cell r="A284">
            <v>0.63168981481481479</v>
          </cell>
          <cell r="B284">
            <v>118.7</v>
          </cell>
        </row>
        <row r="285">
          <cell r="A285">
            <v>0.63203703703703706</v>
          </cell>
          <cell r="B285">
            <v>119.4</v>
          </cell>
        </row>
        <row r="286">
          <cell r="A286">
            <v>0.63238425925925923</v>
          </cell>
          <cell r="B286">
            <v>120</v>
          </cell>
        </row>
        <row r="287">
          <cell r="A287">
            <v>0.63273148148148151</v>
          </cell>
          <cell r="B287">
            <v>120.5</v>
          </cell>
        </row>
        <row r="288">
          <cell r="A288">
            <v>0.63307870370370367</v>
          </cell>
          <cell r="B288">
            <v>121</v>
          </cell>
        </row>
        <row r="289">
          <cell r="A289">
            <v>0.63342592592592595</v>
          </cell>
          <cell r="B289">
            <v>121.4</v>
          </cell>
        </row>
        <row r="290">
          <cell r="A290">
            <v>0.63377314814814811</v>
          </cell>
          <cell r="B290">
            <v>121.1</v>
          </cell>
        </row>
        <row r="291">
          <cell r="A291">
            <v>0.63412037037037039</v>
          </cell>
          <cell r="B291">
            <v>120.6</v>
          </cell>
        </row>
        <row r="292">
          <cell r="A292">
            <v>0.63446759259259256</v>
          </cell>
          <cell r="B292">
            <v>121.1</v>
          </cell>
        </row>
        <row r="293">
          <cell r="A293">
            <v>0.63481481481481483</v>
          </cell>
          <cell r="B293">
            <v>122.1</v>
          </cell>
        </row>
        <row r="294">
          <cell r="A294">
            <v>0.635162037037037</v>
          </cell>
          <cell r="B294">
            <v>121.8</v>
          </cell>
        </row>
        <row r="295">
          <cell r="A295">
            <v>0.63550925925925927</v>
          </cell>
          <cell r="B295">
            <v>121.2</v>
          </cell>
        </row>
        <row r="296">
          <cell r="A296">
            <v>0.63585648148148144</v>
          </cell>
          <cell r="B296">
            <v>120.7</v>
          </cell>
        </row>
        <row r="297">
          <cell r="A297">
            <v>0.63620370370370372</v>
          </cell>
          <cell r="B297">
            <v>120.8</v>
          </cell>
        </row>
        <row r="298">
          <cell r="A298">
            <v>0.63655092592592588</v>
          </cell>
          <cell r="B298">
            <v>121.8</v>
          </cell>
        </row>
        <row r="299">
          <cell r="A299">
            <v>0.63689814814814816</v>
          </cell>
          <cell r="B299">
            <v>121.8</v>
          </cell>
        </row>
        <row r="300">
          <cell r="A300">
            <v>0.63724537037037032</v>
          </cell>
          <cell r="B300">
            <v>121.2</v>
          </cell>
        </row>
        <row r="301">
          <cell r="A301">
            <v>0.6375925925925926</v>
          </cell>
          <cell r="B301">
            <v>120.8</v>
          </cell>
        </row>
        <row r="302">
          <cell r="A302">
            <v>0.63793981481481477</v>
          </cell>
          <cell r="B302">
            <v>120.8</v>
          </cell>
        </row>
        <row r="303">
          <cell r="A303">
            <v>0.63828703703703704</v>
          </cell>
          <cell r="B303">
            <v>121.7</v>
          </cell>
        </row>
        <row r="304">
          <cell r="A304">
            <v>0.63863425925925921</v>
          </cell>
          <cell r="B304">
            <v>121.8</v>
          </cell>
        </row>
        <row r="305">
          <cell r="A305">
            <v>0.63898148148148148</v>
          </cell>
          <cell r="B305">
            <v>120.8</v>
          </cell>
        </row>
        <row r="306">
          <cell r="A306">
            <v>0.63932870370370365</v>
          </cell>
          <cell r="B306">
            <v>120.3</v>
          </cell>
        </row>
        <row r="307">
          <cell r="A307">
            <v>0.63967592592592593</v>
          </cell>
          <cell r="B307">
            <v>121.2</v>
          </cell>
        </row>
        <row r="308">
          <cell r="A308">
            <v>0.6400231481481482</v>
          </cell>
          <cell r="B308">
            <v>121.8</v>
          </cell>
        </row>
        <row r="309">
          <cell r="A309">
            <v>0.64037037037037037</v>
          </cell>
          <cell r="B309">
            <v>121.4</v>
          </cell>
        </row>
        <row r="310">
          <cell r="A310">
            <v>0.64071759259259264</v>
          </cell>
          <cell r="B310">
            <v>121.1</v>
          </cell>
        </row>
        <row r="311">
          <cell r="A311">
            <v>0.64106481481481481</v>
          </cell>
          <cell r="B311">
            <v>120.7</v>
          </cell>
        </row>
        <row r="312">
          <cell r="A312">
            <v>0.64141203703703709</v>
          </cell>
          <cell r="B312">
            <v>121</v>
          </cell>
        </row>
        <row r="313">
          <cell r="A313">
            <v>0.64175925925925925</v>
          </cell>
          <cell r="B313">
            <v>121.6</v>
          </cell>
        </row>
        <row r="314">
          <cell r="A314">
            <v>0.64210648148148153</v>
          </cell>
          <cell r="B314">
            <v>121.4</v>
          </cell>
        </row>
        <row r="315">
          <cell r="A315">
            <v>0.64245370370370369</v>
          </cell>
          <cell r="B315">
            <v>121</v>
          </cell>
        </row>
        <row r="316">
          <cell r="A316">
            <v>0.64280092592592597</v>
          </cell>
          <cell r="B316">
            <v>120.6</v>
          </cell>
        </row>
        <row r="317">
          <cell r="A317">
            <v>0.64314814814814814</v>
          </cell>
          <cell r="B317">
            <v>121.1</v>
          </cell>
        </row>
        <row r="318">
          <cell r="A318">
            <v>0.64349537037037041</v>
          </cell>
          <cell r="B318">
            <v>121.5</v>
          </cell>
        </row>
        <row r="319">
          <cell r="A319">
            <v>0.64384259259259258</v>
          </cell>
          <cell r="B319">
            <v>121.2</v>
          </cell>
        </row>
        <row r="320">
          <cell r="A320">
            <v>0.64418981481481485</v>
          </cell>
          <cell r="B320">
            <v>120.9</v>
          </cell>
        </row>
        <row r="321">
          <cell r="A321">
            <v>0.64453703703703702</v>
          </cell>
          <cell r="B321">
            <v>120.7</v>
          </cell>
        </row>
        <row r="322">
          <cell r="A322">
            <v>0.6448842592592593</v>
          </cell>
          <cell r="B322">
            <v>121.2</v>
          </cell>
        </row>
        <row r="323">
          <cell r="A323">
            <v>0.64523148148148146</v>
          </cell>
          <cell r="B323">
            <v>121.2</v>
          </cell>
        </row>
        <row r="324">
          <cell r="A324">
            <v>0.64557870370370374</v>
          </cell>
          <cell r="B324">
            <v>120.8</v>
          </cell>
        </row>
        <row r="325">
          <cell r="A325">
            <v>0.6459259259259259</v>
          </cell>
          <cell r="B325">
            <v>120.9</v>
          </cell>
        </row>
        <row r="326">
          <cell r="A326">
            <v>0.64627314814814818</v>
          </cell>
          <cell r="B326">
            <v>121.1</v>
          </cell>
        </row>
        <row r="327">
          <cell r="A327">
            <v>0.64662037037037035</v>
          </cell>
          <cell r="B327">
            <v>120.9</v>
          </cell>
        </row>
        <row r="328">
          <cell r="A328">
            <v>0.64696759259259262</v>
          </cell>
          <cell r="B328">
            <v>120.6</v>
          </cell>
        </row>
        <row r="329">
          <cell r="A329">
            <v>0.64731481481481479</v>
          </cell>
          <cell r="B329">
            <v>120.8</v>
          </cell>
        </row>
        <row r="330">
          <cell r="A330">
            <v>0.64766203703703706</v>
          </cell>
          <cell r="B330">
            <v>121</v>
          </cell>
        </row>
        <row r="331">
          <cell r="A331">
            <v>0.64800925925925923</v>
          </cell>
          <cell r="B331">
            <v>120.9</v>
          </cell>
        </row>
        <row r="332">
          <cell r="A332">
            <v>0.64835648148148151</v>
          </cell>
          <cell r="B332">
            <v>120.7</v>
          </cell>
        </row>
        <row r="333">
          <cell r="A333">
            <v>0.64870370370370367</v>
          </cell>
          <cell r="B333">
            <v>120.8</v>
          </cell>
        </row>
        <row r="334">
          <cell r="A334">
            <v>0.64905092592592595</v>
          </cell>
          <cell r="B334">
            <v>120.8</v>
          </cell>
        </row>
        <row r="335">
          <cell r="A335">
            <v>0.64939814814814811</v>
          </cell>
          <cell r="B335">
            <v>120.9</v>
          </cell>
        </row>
        <row r="336">
          <cell r="A336">
            <v>0.64974537037037039</v>
          </cell>
          <cell r="B336">
            <v>120.9</v>
          </cell>
        </row>
        <row r="337">
          <cell r="A337">
            <v>0.65009259259259256</v>
          </cell>
          <cell r="B337">
            <v>120.9</v>
          </cell>
        </row>
        <row r="338">
          <cell r="A338">
            <v>0.65043981481481483</v>
          </cell>
          <cell r="B338">
            <v>120.8</v>
          </cell>
        </row>
        <row r="339">
          <cell r="A339">
            <v>0.650787037037037</v>
          </cell>
          <cell r="B339">
            <v>120.7</v>
          </cell>
        </row>
        <row r="340">
          <cell r="A340">
            <v>0.65113425925925927</v>
          </cell>
          <cell r="B340">
            <v>120.6</v>
          </cell>
        </row>
        <row r="341">
          <cell r="A341">
            <v>0.65148148148148144</v>
          </cell>
          <cell r="B341">
            <v>120.6</v>
          </cell>
        </row>
        <row r="342">
          <cell r="A342">
            <v>0.65182870370370372</v>
          </cell>
          <cell r="B342">
            <v>120.7</v>
          </cell>
        </row>
        <row r="343">
          <cell r="A343">
            <v>0.65217592592592588</v>
          </cell>
          <cell r="B343">
            <v>120.7</v>
          </cell>
        </row>
        <row r="344">
          <cell r="A344">
            <v>0.65252314814814816</v>
          </cell>
          <cell r="B344">
            <v>120.7</v>
          </cell>
        </row>
        <row r="345">
          <cell r="A345">
            <v>0.65287037037037032</v>
          </cell>
          <cell r="B345">
            <v>120.6</v>
          </cell>
        </row>
        <row r="346">
          <cell r="A346">
            <v>0.6532175925925926</v>
          </cell>
          <cell r="B346">
            <v>120.6</v>
          </cell>
        </row>
        <row r="347">
          <cell r="A347">
            <v>0.65356481481481477</v>
          </cell>
          <cell r="B347">
            <v>120.7</v>
          </cell>
        </row>
        <row r="348">
          <cell r="A348">
            <v>0.65391203703703704</v>
          </cell>
          <cell r="B348">
            <v>120.7</v>
          </cell>
        </row>
        <row r="349">
          <cell r="A349">
            <v>0.65425925925925921</v>
          </cell>
          <cell r="B349">
            <v>119.5</v>
          </cell>
        </row>
        <row r="350">
          <cell r="A350">
            <v>0.65460648148148148</v>
          </cell>
          <cell r="B350">
            <v>112.2</v>
          </cell>
        </row>
        <row r="351">
          <cell r="A351">
            <v>0.65495370370370365</v>
          </cell>
          <cell r="B351">
            <v>93.1</v>
          </cell>
        </row>
        <row r="352">
          <cell r="A352">
            <v>0.65530092592592593</v>
          </cell>
          <cell r="B352">
            <v>82.9</v>
          </cell>
        </row>
        <row r="353">
          <cell r="A353">
            <v>0.6556481481481482</v>
          </cell>
          <cell r="B353">
            <v>78.7</v>
          </cell>
        </row>
        <row r="354">
          <cell r="A354">
            <v>0.65599537037037037</v>
          </cell>
          <cell r="B354">
            <v>74.900000000000006</v>
          </cell>
        </row>
        <row r="355">
          <cell r="A355">
            <v>0.65634259259259264</v>
          </cell>
          <cell r="B355">
            <v>71.400000000000006</v>
          </cell>
        </row>
        <row r="356">
          <cell r="A356">
            <v>0.65668981481481481</v>
          </cell>
          <cell r="B356">
            <v>68.2</v>
          </cell>
        </row>
        <row r="357">
          <cell r="A357">
            <v>0.65703703703703709</v>
          </cell>
          <cell r="B357">
            <v>65.8</v>
          </cell>
        </row>
        <row r="358">
          <cell r="A358">
            <v>0.65738425925925925</v>
          </cell>
          <cell r="B358">
            <v>63.4</v>
          </cell>
        </row>
        <row r="359">
          <cell r="A359">
            <v>0.65773148148148153</v>
          </cell>
          <cell r="B359">
            <v>61.3</v>
          </cell>
        </row>
        <row r="360">
          <cell r="A360">
            <v>0.65807870370370369</v>
          </cell>
          <cell r="B360">
            <v>59.7</v>
          </cell>
        </row>
        <row r="361">
          <cell r="A361">
            <v>0.65842592592592597</v>
          </cell>
          <cell r="B361">
            <v>58</v>
          </cell>
        </row>
        <row r="362">
          <cell r="A362">
            <v>0.65877314814814814</v>
          </cell>
          <cell r="B362">
            <v>56.6</v>
          </cell>
        </row>
        <row r="363">
          <cell r="A363">
            <v>0.65912037037037041</v>
          </cell>
          <cell r="B363">
            <v>55.2</v>
          </cell>
        </row>
        <row r="364">
          <cell r="A364">
            <v>0.65946759259259258</v>
          </cell>
          <cell r="B364">
            <v>54</v>
          </cell>
        </row>
        <row r="365">
          <cell r="A365">
            <v>0.65981481481481485</v>
          </cell>
          <cell r="B365">
            <v>52.9</v>
          </cell>
        </row>
        <row r="366">
          <cell r="A366">
            <v>0.66016203703703702</v>
          </cell>
          <cell r="B366">
            <v>51.9</v>
          </cell>
        </row>
        <row r="367">
          <cell r="A367">
            <v>0.6605092592592593</v>
          </cell>
          <cell r="B367">
            <v>50.9</v>
          </cell>
        </row>
        <row r="368">
          <cell r="A368">
            <v>0.66085648148148146</v>
          </cell>
          <cell r="B368">
            <v>50.2</v>
          </cell>
        </row>
        <row r="369">
          <cell r="A369">
            <v>0.66120370370370374</v>
          </cell>
          <cell r="B369">
            <v>49.3</v>
          </cell>
        </row>
        <row r="370">
          <cell r="A370">
            <v>0.6615509259259259</v>
          </cell>
          <cell r="B370">
            <v>48.8</v>
          </cell>
        </row>
        <row r="371">
          <cell r="A371">
            <v>0.66189814814814818</v>
          </cell>
          <cell r="B371">
            <v>48</v>
          </cell>
        </row>
        <row r="372">
          <cell r="A372">
            <v>0.66224537037037035</v>
          </cell>
          <cell r="B372">
            <v>47.5</v>
          </cell>
        </row>
        <row r="373">
          <cell r="A373">
            <v>0.66259259259259262</v>
          </cell>
          <cell r="B373">
            <v>47.2</v>
          </cell>
        </row>
        <row r="374">
          <cell r="A374">
            <v>0.66293981481481479</v>
          </cell>
          <cell r="B374">
            <v>46.6</v>
          </cell>
        </row>
        <row r="375">
          <cell r="A375">
            <v>0.66328703703703706</v>
          </cell>
          <cell r="B375">
            <v>46.3</v>
          </cell>
        </row>
        <row r="376">
          <cell r="A376">
            <v>0.66363425925925923</v>
          </cell>
          <cell r="B376">
            <v>45.9</v>
          </cell>
        </row>
        <row r="377">
          <cell r="A377">
            <v>0.66398148148148151</v>
          </cell>
          <cell r="B377">
            <v>45.4</v>
          </cell>
        </row>
        <row r="378">
          <cell r="A378">
            <v>0.66432870370370367</v>
          </cell>
          <cell r="B378">
            <v>45.1</v>
          </cell>
        </row>
        <row r="379">
          <cell r="A379">
            <v>0.66467592592592595</v>
          </cell>
          <cell r="B379">
            <v>44.9</v>
          </cell>
        </row>
        <row r="380">
          <cell r="A380">
            <v>0.66502314814814811</v>
          </cell>
          <cell r="B380">
            <v>44.8</v>
          </cell>
        </row>
        <row r="381">
          <cell r="A381">
            <v>0.66537037037037039</v>
          </cell>
          <cell r="B381">
            <v>44.7</v>
          </cell>
        </row>
        <row r="382">
          <cell r="A382">
            <v>0.66571759259259256</v>
          </cell>
          <cell r="B382">
            <v>44.6</v>
          </cell>
        </row>
        <row r="383">
          <cell r="A383">
            <v>0.66606481481481483</v>
          </cell>
          <cell r="B383">
            <v>44.5</v>
          </cell>
        </row>
        <row r="384">
          <cell r="A384">
            <v>0.666412037037037</v>
          </cell>
          <cell r="B384">
            <v>44.5</v>
          </cell>
        </row>
        <row r="385">
          <cell r="A385">
            <v>0.66675925925925927</v>
          </cell>
          <cell r="B385">
            <v>44.6</v>
          </cell>
        </row>
        <row r="386">
          <cell r="A386">
            <v>0.66710648148148144</v>
          </cell>
          <cell r="B386">
            <v>44.7</v>
          </cell>
        </row>
        <row r="387">
          <cell r="A387">
            <v>0.66745370370370372</v>
          </cell>
          <cell r="B387">
            <v>44.6</v>
          </cell>
        </row>
        <row r="388">
          <cell r="A388">
            <v>0.66780092592592588</v>
          </cell>
          <cell r="B388">
            <v>44.6</v>
          </cell>
        </row>
        <row r="389">
          <cell r="A389">
            <v>0.66814814814814816</v>
          </cell>
          <cell r="B389">
            <v>44.6</v>
          </cell>
        </row>
        <row r="390">
          <cell r="A390">
            <v>0.66849537037037032</v>
          </cell>
          <cell r="B390">
            <v>44.5</v>
          </cell>
        </row>
        <row r="391">
          <cell r="A391">
            <v>0.6688425925925926</v>
          </cell>
          <cell r="B391">
            <v>44.5</v>
          </cell>
        </row>
        <row r="392">
          <cell r="A392">
            <v>0.66918981481481477</v>
          </cell>
          <cell r="B392">
            <v>44.5</v>
          </cell>
        </row>
        <row r="393">
          <cell r="A393">
            <v>0.66953703703703704</v>
          </cell>
          <cell r="B393">
            <v>44.4</v>
          </cell>
        </row>
        <row r="394">
          <cell r="A394">
            <v>0.66988425925925921</v>
          </cell>
          <cell r="B394">
            <v>44.3</v>
          </cell>
        </row>
        <row r="395">
          <cell r="A395">
            <v>0.67023148148148148</v>
          </cell>
          <cell r="B395">
            <v>44.3</v>
          </cell>
        </row>
        <row r="396">
          <cell r="A396">
            <v>0.67057870370370365</v>
          </cell>
          <cell r="B396">
            <v>44.2</v>
          </cell>
        </row>
        <row r="397">
          <cell r="A397">
            <v>0.67092592592592593</v>
          </cell>
          <cell r="B397">
            <v>44.2</v>
          </cell>
        </row>
        <row r="398">
          <cell r="A398">
            <v>0.6712731481481482</v>
          </cell>
          <cell r="B398">
            <v>44.1</v>
          </cell>
        </row>
        <row r="399">
          <cell r="A399">
            <v>0.67162037037037037</v>
          </cell>
          <cell r="B399">
            <v>44.1</v>
          </cell>
        </row>
        <row r="400">
          <cell r="A400">
            <v>0.67196759259259264</v>
          </cell>
          <cell r="B400">
            <v>44</v>
          </cell>
        </row>
        <row r="401">
          <cell r="A401">
            <v>0.67231481481481481</v>
          </cell>
          <cell r="B401">
            <v>43.9</v>
          </cell>
        </row>
        <row r="402">
          <cell r="A402">
            <v>0.67266203703703709</v>
          </cell>
          <cell r="B402">
            <v>43.9</v>
          </cell>
        </row>
        <row r="403">
          <cell r="A403">
            <v>0.67300925925925925</v>
          </cell>
          <cell r="B403">
            <v>43.8</v>
          </cell>
        </row>
        <row r="404">
          <cell r="A404">
            <v>0.67335648148148153</v>
          </cell>
          <cell r="B404">
            <v>43.8</v>
          </cell>
        </row>
        <row r="405">
          <cell r="A405">
            <v>0.67370370370370369</v>
          </cell>
          <cell r="B405">
            <v>43.7</v>
          </cell>
        </row>
        <row r="406">
          <cell r="A406">
            <v>0.67405092592592597</v>
          </cell>
          <cell r="B406">
            <v>43.6</v>
          </cell>
        </row>
        <row r="407">
          <cell r="A407">
            <v>0.67439814814814814</v>
          </cell>
          <cell r="B407">
            <v>43.5</v>
          </cell>
        </row>
        <row r="408">
          <cell r="A408">
            <v>0.67474537037037041</v>
          </cell>
          <cell r="B408">
            <v>43.5</v>
          </cell>
        </row>
        <row r="409">
          <cell r="A409">
            <v>0.67509259259259258</v>
          </cell>
          <cell r="B409">
            <v>43.4</v>
          </cell>
        </row>
        <row r="415">
          <cell r="B415" t="str">
            <v>Temprature</v>
          </cell>
        </row>
        <row r="416">
          <cell r="A416">
            <v>0.66609953703703706</v>
          </cell>
          <cell r="B416">
            <v>34.700000000000003</v>
          </cell>
        </row>
        <row r="417">
          <cell r="A417">
            <v>0.66645833333333337</v>
          </cell>
          <cell r="B417">
            <v>34.700000000000003</v>
          </cell>
        </row>
        <row r="418">
          <cell r="A418">
            <v>0.66680555555555554</v>
          </cell>
          <cell r="B418">
            <v>34.700000000000003</v>
          </cell>
        </row>
        <row r="419">
          <cell r="A419">
            <v>0.66714120370370367</v>
          </cell>
          <cell r="B419">
            <v>34.700000000000003</v>
          </cell>
        </row>
        <row r="420">
          <cell r="A420">
            <v>0.66748842592592594</v>
          </cell>
          <cell r="B420">
            <v>34.700000000000003</v>
          </cell>
        </row>
        <row r="421">
          <cell r="A421">
            <v>0.66783564814814811</v>
          </cell>
          <cell r="B421">
            <v>34.700000000000003</v>
          </cell>
        </row>
        <row r="422">
          <cell r="A422">
            <v>0.66818287037037039</v>
          </cell>
          <cell r="B422">
            <v>34.700000000000003</v>
          </cell>
        </row>
        <row r="423">
          <cell r="A423">
            <v>0.6685416666666667</v>
          </cell>
          <cell r="B423">
            <v>34.700000000000003</v>
          </cell>
        </row>
        <row r="424">
          <cell r="A424">
            <v>0.66887731481481483</v>
          </cell>
          <cell r="B424">
            <v>34.700000000000003</v>
          </cell>
        </row>
        <row r="425">
          <cell r="A425">
            <v>0.66922453703703699</v>
          </cell>
          <cell r="B425">
            <v>34.700000000000003</v>
          </cell>
        </row>
        <row r="426">
          <cell r="A426">
            <v>0.66958333333333331</v>
          </cell>
          <cell r="B426">
            <v>35</v>
          </cell>
        </row>
        <row r="427">
          <cell r="A427">
            <v>0.66991898148148143</v>
          </cell>
          <cell r="B427">
            <v>35.4</v>
          </cell>
        </row>
        <row r="428">
          <cell r="A428">
            <v>0.67026620370370371</v>
          </cell>
          <cell r="B428">
            <v>36.9</v>
          </cell>
        </row>
        <row r="429">
          <cell r="A429">
            <v>0.67062500000000003</v>
          </cell>
          <cell r="B429">
            <v>41.5</v>
          </cell>
        </row>
        <row r="430">
          <cell r="A430">
            <v>0.67097222222222219</v>
          </cell>
          <cell r="B430">
            <v>46.7</v>
          </cell>
        </row>
        <row r="431">
          <cell r="A431">
            <v>0.67131944444444447</v>
          </cell>
          <cell r="B431">
            <v>53.4</v>
          </cell>
        </row>
        <row r="432">
          <cell r="A432">
            <v>0.6716550925925926</v>
          </cell>
          <cell r="B432">
            <v>58.3</v>
          </cell>
        </row>
        <row r="433">
          <cell r="A433">
            <v>0.67200231481481476</v>
          </cell>
          <cell r="B433">
            <v>63.3</v>
          </cell>
        </row>
        <row r="434">
          <cell r="A434">
            <v>0.67234953703703704</v>
          </cell>
          <cell r="B434">
            <v>66.2</v>
          </cell>
        </row>
        <row r="435">
          <cell r="A435">
            <v>0.67270833333333335</v>
          </cell>
          <cell r="B435">
            <v>71.400000000000006</v>
          </cell>
        </row>
        <row r="436">
          <cell r="A436">
            <v>0.67305555555555552</v>
          </cell>
          <cell r="B436">
            <v>76.400000000000006</v>
          </cell>
        </row>
        <row r="437">
          <cell r="A437">
            <v>0.67340277777777779</v>
          </cell>
          <cell r="B437">
            <v>80.400000000000006</v>
          </cell>
        </row>
        <row r="438">
          <cell r="A438">
            <v>0.67374999999999996</v>
          </cell>
          <cell r="B438">
            <v>83.1</v>
          </cell>
        </row>
        <row r="439">
          <cell r="A439">
            <v>0.6740856481481482</v>
          </cell>
          <cell r="B439">
            <v>84.5</v>
          </cell>
        </row>
        <row r="440">
          <cell r="A440">
            <v>0.6744444444444444</v>
          </cell>
          <cell r="B440">
            <v>86.4</v>
          </cell>
        </row>
        <row r="441">
          <cell r="A441">
            <v>0.67479166666666668</v>
          </cell>
          <cell r="B441">
            <v>87.9</v>
          </cell>
        </row>
        <row r="442">
          <cell r="A442">
            <v>0.67513888888888884</v>
          </cell>
          <cell r="B442">
            <v>88.6</v>
          </cell>
        </row>
        <row r="443">
          <cell r="A443">
            <v>0.67548611111111112</v>
          </cell>
          <cell r="B443">
            <v>88.9</v>
          </cell>
        </row>
        <row r="444">
          <cell r="A444">
            <v>0.67583333333333329</v>
          </cell>
          <cell r="B444">
            <v>90.6</v>
          </cell>
        </row>
        <row r="445">
          <cell r="A445">
            <v>0.67616898148148152</v>
          </cell>
          <cell r="B445">
            <v>91.7</v>
          </cell>
        </row>
        <row r="446">
          <cell r="A446">
            <v>0.67652777777777773</v>
          </cell>
          <cell r="B446">
            <v>92.3</v>
          </cell>
        </row>
        <row r="447">
          <cell r="A447">
            <v>0.67686342592592597</v>
          </cell>
          <cell r="B447">
            <v>92.6</v>
          </cell>
        </row>
        <row r="448">
          <cell r="A448">
            <v>0.67722222222222217</v>
          </cell>
          <cell r="B448">
            <v>93.3</v>
          </cell>
        </row>
        <row r="449">
          <cell r="A449">
            <v>0.67755787037037041</v>
          </cell>
          <cell r="B449">
            <v>93.3</v>
          </cell>
        </row>
        <row r="450">
          <cell r="A450">
            <v>0.67791666666666661</v>
          </cell>
          <cell r="B450">
            <v>93.8</v>
          </cell>
        </row>
        <row r="451">
          <cell r="A451">
            <v>0.67825231481481485</v>
          </cell>
          <cell r="B451">
            <v>93.9</v>
          </cell>
        </row>
        <row r="452">
          <cell r="A452">
            <v>0.67859953703703701</v>
          </cell>
          <cell r="B452">
            <v>93</v>
          </cell>
        </row>
        <row r="453">
          <cell r="A453">
            <v>0.67894675925925929</v>
          </cell>
          <cell r="B453">
            <v>96.2</v>
          </cell>
        </row>
        <row r="454">
          <cell r="A454">
            <v>0.67930555555555561</v>
          </cell>
          <cell r="B454">
            <v>99.2</v>
          </cell>
        </row>
        <row r="455">
          <cell r="A455">
            <v>0.67965277777777777</v>
          </cell>
          <cell r="B455">
            <v>102.1</v>
          </cell>
        </row>
        <row r="456">
          <cell r="A456">
            <v>0.68</v>
          </cell>
          <cell r="B456">
            <v>104.1</v>
          </cell>
        </row>
        <row r="457">
          <cell r="A457">
            <v>0.68033564814814818</v>
          </cell>
          <cell r="B457">
            <v>106.7</v>
          </cell>
        </row>
        <row r="458">
          <cell r="A458">
            <v>0.68068287037037034</v>
          </cell>
          <cell r="B458">
            <v>106</v>
          </cell>
        </row>
        <row r="459">
          <cell r="A459">
            <v>0.68103009259259262</v>
          </cell>
          <cell r="B459">
            <v>107.3</v>
          </cell>
        </row>
        <row r="460">
          <cell r="A460">
            <v>0.68138888888888893</v>
          </cell>
          <cell r="B460">
            <v>110.3</v>
          </cell>
        </row>
        <row r="461">
          <cell r="A461">
            <v>0.6817361111111111</v>
          </cell>
          <cell r="B461">
            <v>113</v>
          </cell>
        </row>
        <row r="462">
          <cell r="A462">
            <v>0.68208333333333337</v>
          </cell>
          <cell r="B462">
            <v>115</v>
          </cell>
        </row>
        <row r="463">
          <cell r="A463">
            <v>0.68243055555555554</v>
          </cell>
          <cell r="B463">
            <v>116.9</v>
          </cell>
        </row>
        <row r="464">
          <cell r="A464">
            <v>0.68277777777777782</v>
          </cell>
          <cell r="B464">
            <v>118.6</v>
          </cell>
        </row>
        <row r="465">
          <cell r="A465">
            <v>0.68312499999999998</v>
          </cell>
          <cell r="B465">
            <v>120.7</v>
          </cell>
        </row>
        <row r="466">
          <cell r="A466">
            <v>0.68346064814814811</v>
          </cell>
          <cell r="B466">
            <v>118.5</v>
          </cell>
        </row>
        <row r="467">
          <cell r="A467">
            <v>0.68381944444444442</v>
          </cell>
          <cell r="B467">
            <v>118.2</v>
          </cell>
        </row>
        <row r="468">
          <cell r="A468">
            <v>0.6841666666666667</v>
          </cell>
          <cell r="B468">
            <v>118.6</v>
          </cell>
        </row>
        <row r="469">
          <cell r="A469">
            <v>0.68451388888888887</v>
          </cell>
          <cell r="B469">
            <v>121.5</v>
          </cell>
        </row>
        <row r="470">
          <cell r="A470">
            <v>0.68486111111111114</v>
          </cell>
          <cell r="B470">
            <v>124.1</v>
          </cell>
        </row>
        <row r="471">
          <cell r="A471">
            <v>0.68519675925925927</v>
          </cell>
          <cell r="B471">
            <v>120.9</v>
          </cell>
        </row>
        <row r="472">
          <cell r="A472">
            <v>0.68555555555555558</v>
          </cell>
          <cell r="B472">
            <v>122.6</v>
          </cell>
        </row>
        <row r="473">
          <cell r="A473">
            <v>0.68590277777777775</v>
          </cell>
          <cell r="B473">
            <v>124.7</v>
          </cell>
        </row>
        <row r="474">
          <cell r="A474">
            <v>0.68625000000000003</v>
          </cell>
          <cell r="B474">
            <v>120.7</v>
          </cell>
        </row>
        <row r="475">
          <cell r="A475">
            <v>0.68659722222222219</v>
          </cell>
          <cell r="B475">
            <v>123.5</v>
          </cell>
        </row>
        <row r="476">
          <cell r="A476">
            <v>0.68694444444444447</v>
          </cell>
          <cell r="B476">
            <v>123.2</v>
          </cell>
        </row>
        <row r="477">
          <cell r="A477">
            <v>0.6872800925925926</v>
          </cell>
          <cell r="B477">
            <v>121.6</v>
          </cell>
        </row>
        <row r="478">
          <cell r="A478">
            <v>0.68763888888888891</v>
          </cell>
          <cell r="B478">
            <v>124.5</v>
          </cell>
        </row>
        <row r="479">
          <cell r="A479">
            <v>0.68798611111111108</v>
          </cell>
          <cell r="B479">
            <v>121.8</v>
          </cell>
        </row>
        <row r="480">
          <cell r="A480">
            <v>0.68833333333333335</v>
          </cell>
          <cell r="B480">
            <v>122.1</v>
          </cell>
        </row>
        <row r="481">
          <cell r="A481">
            <v>0.68866898148148148</v>
          </cell>
          <cell r="B481">
            <v>124.6</v>
          </cell>
        </row>
        <row r="482">
          <cell r="A482">
            <v>0.68901620370370376</v>
          </cell>
          <cell r="B482">
            <v>120.3</v>
          </cell>
        </row>
        <row r="483">
          <cell r="A483">
            <v>0.68936342592592592</v>
          </cell>
          <cell r="B483">
            <v>123</v>
          </cell>
        </row>
        <row r="484">
          <cell r="A484">
            <v>0.68972222222222224</v>
          </cell>
          <cell r="B484">
            <v>124.6</v>
          </cell>
        </row>
        <row r="485">
          <cell r="A485">
            <v>0.69005787037037036</v>
          </cell>
          <cell r="B485">
            <v>121.1</v>
          </cell>
        </row>
        <row r="486">
          <cell r="A486">
            <v>0.69041666666666668</v>
          </cell>
          <cell r="B486">
            <v>124.5</v>
          </cell>
        </row>
        <row r="487">
          <cell r="A487">
            <v>0.69076388888888884</v>
          </cell>
          <cell r="B487">
            <v>121</v>
          </cell>
        </row>
        <row r="488">
          <cell r="A488">
            <v>0.69111111111111112</v>
          </cell>
          <cell r="B488">
            <v>122.3</v>
          </cell>
        </row>
        <row r="489">
          <cell r="A489">
            <v>0.69145833333333329</v>
          </cell>
          <cell r="B489">
            <v>122.3</v>
          </cell>
        </row>
        <row r="490">
          <cell r="A490">
            <v>0.69180555555555556</v>
          </cell>
          <cell r="B490">
            <v>121.3</v>
          </cell>
        </row>
        <row r="491">
          <cell r="A491">
            <v>0.69215277777777773</v>
          </cell>
          <cell r="B491">
            <v>124</v>
          </cell>
        </row>
        <row r="492">
          <cell r="A492">
            <v>0.6925</v>
          </cell>
          <cell r="B492">
            <v>121.1</v>
          </cell>
        </row>
        <row r="493">
          <cell r="A493">
            <v>0.69283564814814813</v>
          </cell>
          <cell r="B493">
            <v>122.4</v>
          </cell>
        </row>
        <row r="494">
          <cell r="A494">
            <v>0.69319444444444445</v>
          </cell>
          <cell r="B494">
            <v>123.8</v>
          </cell>
        </row>
        <row r="495">
          <cell r="A495">
            <v>0.69354166666666661</v>
          </cell>
          <cell r="B495">
            <v>120.6</v>
          </cell>
        </row>
        <row r="496">
          <cell r="A496">
            <v>0.69388888888888889</v>
          </cell>
          <cell r="B496">
            <v>120.5</v>
          </cell>
        </row>
        <row r="497">
          <cell r="A497">
            <v>0.69423611111111116</v>
          </cell>
          <cell r="B497">
            <v>115.2</v>
          </cell>
        </row>
        <row r="498">
          <cell r="A498">
            <v>0.69458333333333333</v>
          </cell>
          <cell r="B498">
            <v>112.9</v>
          </cell>
        </row>
        <row r="499">
          <cell r="A499">
            <v>0.69493055555555561</v>
          </cell>
          <cell r="B499">
            <v>105.2</v>
          </cell>
        </row>
        <row r="500">
          <cell r="A500">
            <v>0.69527777777777777</v>
          </cell>
          <cell r="B500">
            <v>87.7</v>
          </cell>
        </row>
        <row r="501">
          <cell r="A501">
            <v>0.69562500000000005</v>
          </cell>
          <cell r="B501">
            <v>81.8</v>
          </cell>
        </row>
        <row r="502">
          <cell r="A502">
            <v>0.69597222222222221</v>
          </cell>
          <cell r="B502">
            <v>77.7</v>
          </cell>
        </row>
        <row r="503">
          <cell r="A503">
            <v>0.69631944444444449</v>
          </cell>
          <cell r="B503">
            <v>73.900000000000006</v>
          </cell>
        </row>
        <row r="504">
          <cell r="A504">
            <v>0.69666666666666666</v>
          </cell>
          <cell r="B504">
            <v>70.599999999999994</v>
          </cell>
        </row>
        <row r="505">
          <cell r="A505">
            <v>0.69701388888888893</v>
          </cell>
          <cell r="B505">
            <v>67.599999999999994</v>
          </cell>
        </row>
        <row r="506">
          <cell r="A506">
            <v>0.6973611111111111</v>
          </cell>
          <cell r="B506">
            <v>65.099999999999994</v>
          </cell>
        </row>
        <row r="507">
          <cell r="A507">
            <v>0.69770833333333337</v>
          </cell>
          <cell r="B507">
            <v>62.9</v>
          </cell>
        </row>
        <row r="508">
          <cell r="A508">
            <v>0.69805555555555554</v>
          </cell>
          <cell r="B508">
            <v>61</v>
          </cell>
        </row>
        <row r="509">
          <cell r="A509">
            <v>0.69840277777777782</v>
          </cell>
          <cell r="B509">
            <v>59.3</v>
          </cell>
        </row>
        <row r="510">
          <cell r="A510">
            <v>0.69874999999999998</v>
          </cell>
          <cell r="B510">
            <v>57.6</v>
          </cell>
        </row>
        <row r="511">
          <cell r="A511">
            <v>0.69909722222222226</v>
          </cell>
          <cell r="B511">
            <v>56.2</v>
          </cell>
        </row>
        <row r="512">
          <cell r="A512">
            <v>0.69944444444444442</v>
          </cell>
          <cell r="B512">
            <v>55</v>
          </cell>
        </row>
        <row r="513">
          <cell r="A513">
            <v>0.6997916666666667</v>
          </cell>
          <cell r="B513">
            <v>53.8</v>
          </cell>
        </row>
        <row r="514">
          <cell r="A514">
            <v>0.70013888888888887</v>
          </cell>
          <cell r="B514">
            <v>53.1</v>
          </cell>
        </row>
        <row r="515">
          <cell r="A515">
            <v>0.70048611111111114</v>
          </cell>
          <cell r="B515">
            <v>52.7</v>
          </cell>
        </row>
        <row r="516">
          <cell r="A516">
            <v>0.70083333333333331</v>
          </cell>
          <cell r="B516">
            <v>52.3</v>
          </cell>
        </row>
        <row r="517">
          <cell r="A517">
            <v>0.70118055555555558</v>
          </cell>
          <cell r="B517">
            <v>50.1</v>
          </cell>
        </row>
        <row r="518">
          <cell r="A518">
            <v>0.70152777777777775</v>
          </cell>
          <cell r="B518">
            <v>49.2</v>
          </cell>
        </row>
        <row r="519">
          <cell r="A519">
            <v>0.70187500000000003</v>
          </cell>
          <cell r="B519">
            <v>48.7</v>
          </cell>
        </row>
        <row r="520">
          <cell r="A520">
            <v>0.70222222222222219</v>
          </cell>
          <cell r="B520">
            <v>47.9</v>
          </cell>
        </row>
        <row r="521">
          <cell r="A521">
            <v>0.70256944444444447</v>
          </cell>
          <cell r="B521">
            <v>47.3</v>
          </cell>
        </row>
        <row r="522">
          <cell r="A522">
            <v>0.70291666666666663</v>
          </cell>
          <cell r="B522">
            <v>46.7</v>
          </cell>
        </row>
        <row r="523">
          <cell r="A523">
            <v>0.70326388888888891</v>
          </cell>
          <cell r="B523">
            <v>46.2</v>
          </cell>
        </row>
        <row r="524">
          <cell r="A524">
            <v>0.70361111111111108</v>
          </cell>
          <cell r="B524">
            <v>45.7</v>
          </cell>
        </row>
        <row r="525">
          <cell r="A525">
            <v>0.70395833333333335</v>
          </cell>
          <cell r="B525">
            <v>45.3</v>
          </cell>
        </row>
        <row r="526">
          <cell r="A526">
            <v>0.70430555555555552</v>
          </cell>
          <cell r="B526">
            <v>44.9</v>
          </cell>
        </row>
        <row r="527">
          <cell r="A527">
            <v>0.70465277777777779</v>
          </cell>
          <cell r="B527">
            <v>44.9</v>
          </cell>
        </row>
        <row r="528">
          <cell r="A528">
            <v>0.70499999999999996</v>
          </cell>
          <cell r="B528">
            <v>44.8</v>
          </cell>
        </row>
        <row r="529">
          <cell r="A529">
            <v>0.70534722222222224</v>
          </cell>
          <cell r="B529">
            <v>44.7</v>
          </cell>
        </row>
        <row r="530">
          <cell r="A530">
            <v>0.7056944444444444</v>
          </cell>
          <cell r="B530">
            <v>44.7</v>
          </cell>
        </row>
        <row r="531">
          <cell r="A531">
            <v>0.70604166666666668</v>
          </cell>
          <cell r="B531">
            <v>44.7</v>
          </cell>
        </row>
        <row r="532">
          <cell r="A532">
            <v>0.70638888888888884</v>
          </cell>
          <cell r="B532">
            <v>44.8</v>
          </cell>
        </row>
        <row r="533">
          <cell r="A533">
            <v>0.70673611111111112</v>
          </cell>
          <cell r="B533">
            <v>45</v>
          </cell>
        </row>
        <row r="534">
          <cell r="A534">
            <v>0.70708333333333329</v>
          </cell>
          <cell r="B534">
            <v>45.1</v>
          </cell>
        </row>
        <row r="535">
          <cell r="A535">
            <v>0.70743055555555556</v>
          </cell>
          <cell r="B535">
            <v>45.1</v>
          </cell>
        </row>
        <row r="536">
          <cell r="A536">
            <v>0.70777777777777773</v>
          </cell>
          <cell r="B536">
            <v>45.1</v>
          </cell>
        </row>
        <row r="537">
          <cell r="A537">
            <v>0.708125</v>
          </cell>
          <cell r="B537">
            <v>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6"/>
  <sheetViews>
    <sheetView tabSelected="1" topLeftCell="G1" zoomScale="70" zoomScaleNormal="70" workbookViewId="0">
      <selection activeCell="AA35" sqref="AA35"/>
    </sheetView>
  </sheetViews>
  <sheetFormatPr defaultRowHeight="14.4" x14ac:dyDescent="0.3"/>
  <cols>
    <col min="1" max="1" width="35" customWidth="1"/>
    <col min="2" max="2" width="9" customWidth="1"/>
    <col min="7" max="7" width="16.44140625" customWidth="1"/>
    <col min="14" max="14" width="10.44140625" customWidth="1"/>
    <col min="20" max="20" width="17.5546875" customWidth="1"/>
    <col min="21" max="21" width="16.6640625" customWidth="1"/>
    <col min="22" max="22" width="14.33203125" customWidth="1"/>
    <col min="23" max="23" width="13.6640625" customWidth="1"/>
    <col min="24" max="24" width="16.109375" customWidth="1"/>
    <col min="25" max="25" width="15.6640625" customWidth="1"/>
    <col min="26" max="26" width="12.33203125" customWidth="1"/>
    <col min="27" max="27" width="15.6640625" customWidth="1"/>
  </cols>
  <sheetData>
    <row r="1" spans="1:33" ht="43.2" x14ac:dyDescent="0.3">
      <c r="A1" s="8" t="s">
        <v>113</v>
      </c>
      <c r="B1" s="8" t="s">
        <v>114</v>
      </c>
      <c r="C1" s="1" t="s">
        <v>14</v>
      </c>
      <c r="D1" s="1" t="s">
        <v>31</v>
      </c>
      <c r="E1" s="1" t="s">
        <v>5</v>
      </c>
      <c r="F1" s="1" t="s">
        <v>211</v>
      </c>
      <c r="G1" s="1" t="s">
        <v>1</v>
      </c>
      <c r="H1" s="1" t="s">
        <v>22</v>
      </c>
      <c r="I1" s="1" t="s">
        <v>37</v>
      </c>
      <c r="J1" s="1" t="s">
        <v>2</v>
      </c>
      <c r="K1" s="1" t="s">
        <v>123</v>
      </c>
      <c r="L1" s="1" t="s">
        <v>80</v>
      </c>
      <c r="M1" s="1" t="s">
        <v>3</v>
      </c>
      <c r="N1" s="1" t="s">
        <v>4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6</v>
      </c>
      <c r="T1" s="1" t="s">
        <v>10</v>
      </c>
      <c r="U1" s="1" t="s">
        <v>38</v>
      </c>
      <c r="V1" s="2" t="s">
        <v>11</v>
      </c>
      <c r="W1" s="2" t="s">
        <v>39</v>
      </c>
      <c r="X1" s="2" t="s">
        <v>139</v>
      </c>
      <c r="Y1" s="1" t="s">
        <v>140</v>
      </c>
      <c r="Z1" s="1" t="s">
        <v>141</v>
      </c>
      <c r="AA1" s="4" t="s">
        <v>55</v>
      </c>
      <c r="AB1" s="4" t="s">
        <v>56</v>
      </c>
      <c r="AC1" s="4" t="s">
        <v>57</v>
      </c>
      <c r="AD1" s="4" t="s">
        <v>58</v>
      </c>
      <c r="AE1" s="4" t="s">
        <v>59</v>
      </c>
      <c r="AF1" s="4" t="s">
        <v>60</v>
      </c>
      <c r="AG1" s="2" t="s">
        <v>61</v>
      </c>
    </row>
    <row r="2" spans="1:33" x14ac:dyDescent="0.3">
      <c r="A2" t="s">
        <v>0</v>
      </c>
      <c r="B2" t="s">
        <v>7</v>
      </c>
      <c r="C2">
        <v>121</v>
      </c>
      <c r="D2">
        <v>20</v>
      </c>
      <c r="E2">
        <v>20</v>
      </c>
      <c r="F2">
        <v>150</v>
      </c>
      <c r="G2">
        <v>27.83453957</v>
      </c>
      <c r="H2">
        <v>32</v>
      </c>
      <c r="I2">
        <v>0</v>
      </c>
      <c r="J2">
        <v>6.37</v>
      </c>
      <c r="N2" t="s">
        <v>73</v>
      </c>
      <c r="O2">
        <v>53.64</v>
      </c>
      <c r="P2">
        <v>8.6199999999999992</v>
      </c>
      <c r="Q2">
        <v>48.18</v>
      </c>
      <c r="R2">
        <v>44.8</v>
      </c>
      <c r="S2">
        <v>17.100000000000001</v>
      </c>
      <c r="T2">
        <v>1.4</v>
      </c>
      <c r="U2">
        <v>-2</v>
      </c>
      <c r="V2">
        <v>69.650000000000006</v>
      </c>
      <c r="X2" t="s">
        <v>143</v>
      </c>
      <c r="Y2" t="s">
        <v>138</v>
      </c>
      <c r="Z2" t="s">
        <v>143</v>
      </c>
      <c r="AA2">
        <v>6</v>
      </c>
      <c r="AB2">
        <v>7</v>
      </c>
      <c r="AC2">
        <v>7</v>
      </c>
      <c r="AD2">
        <v>6</v>
      </c>
      <c r="AE2">
        <v>6</v>
      </c>
      <c r="AF2">
        <v>8</v>
      </c>
    </row>
    <row r="3" spans="1:33" x14ac:dyDescent="0.3">
      <c r="B3" t="s">
        <v>7</v>
      </c>
      <c r="C3">
        <v>121</v>
      </c>
      <c r="D3">
        <v>20</v>
      </c>
      <c r="E3">
        <v>20</v>
      </c>
      <c r="F3">
        <v>150</v>
      </c>
      <c r="G3">
        <v>27.83453957</v>
      </c>
      <c r="H3">
        <v>32</v>
      </c>
      <c r="I3">
        <v>0</v>
      </c>
      <c r="J3">
        <v>6.41</v>
      </c>
      <c r="N3" t="s">
        <v>73</v>
      </c>
      <c r="O3">
        <v>53.66</v>
      </c>
      <c r="P3">
        <v>8.6</v>
      </c>
      <c r="Q3">
        <v>48.17</v>
      </c>
      <c r="R3">
        <v>44.8</v>
      </c>
      <c r="S3">
        <v>17.100000000000001</v>
      </c>
      <c r="T3">
        <v>1.4</v>
      </c>
      <c r="U3">
        <v>-2</v>
      </c>
      <c r="V3">
        <v>69.650000000000006</v>
      </c>
      <c r="X3" t="s">
        <v>143</v>
      </c>
      <c r="Y3" t="s">
        <v>138</v>
      </c>
      <c r="Z3" t="s">
        <v>143</v>
      </c>
      <c r="AA3">
        <v>7</v>
      </c>
      <c r="AB3">
        <v>6</v>
      </c>
      <c r="AC3">
        <v>6</v>
      </c>
      <c r="AD3">
        <v>8</v>
      </c>
      <c r="AE3">
        <v>5</v>
      </c>
      <c r="AF3">
        <v>7</v>
      </c>
    </row>
    <row r="4" spans="1:33" x14ac:dyDescent="0.3">
      <c r="B4" t="s">
        <v>7</v>
      </c>
      <c r="C4">
        <v>121</v>
      </c>
      <c r="D4">
        <v>20</v>
      </c>
      <c r="E4">
        <v>20</v>
      </c>
      <c r="F4">
        <v>150</v>
      </c>
      <c r="G4">
        <v>27.83453957</v>
      </c>
      <c r="H4">
        <v>32</v>
      </c>
      <c r="I4">
        <v>0</v>
      </c>
      <c r="J4">
        <v>6.4</v>
      </c>
      <c r="N4" t="s">
        <v>73</v>
      </c>
      <c r="O4">
        <v>53.54</v>
      </c>
      <c r="P4">
        <v>8.65</v>
      </c>
      <c r="Q4">
        <v>48.22</v>
      </c>
      <c r="R4">
        <v>44.6</v>
      </c>
      <c r="S4">
        <v>17.100000000000001</v>
      </c>
      <c r="T4">
        <v>1.4</v>
      </c>
      <c r="U4">
        <v>-2</v>
      </c>
      <c r="V4">
        <v>69.650000000000006</v>
      </c>
      <c r="X4" t="s">
        <v>143</v>
      </c>
      <c r="Y4" t="s">
        <v>138</v>
      </c>
      <c r="Z4" t="s">
        <v>143</v>
      </c>
      <c r="AA4">
        <v>7</v>
      </c>
      <c r="AB4">
        <v>8</v>
      </c>
      <c r="AC4">
        <v>7</v>
      </c>
      <c r="AD4">
        <v>7</v>
      </c>
      <c r="AE4">
        <v>6</v>
      </c>
      <c r="AF4">
        <v>6</v>
      </c>
    </row>
    <row r="5" spans="1:33" x14ac:dyDescent="0.3">
      <c r="B5" t="s">
        <v>8</v>
      </c>
      <c r="C5">
        <v>121</v>
      </c>
      <c r="D5">
        <v>20</v>
      </c>
      <c r="E5">
        <v>20</v>
      </c>
      <c r="F5">
        <v>150</v>
      </c>
      <c r="G5">
        <v>27.83453957</v>
      </c>
      <c r="H5">
        <v>32</v>
      </c>
      <c r="I5">
        <v>0</v>
      </c>
      <c r="J5">
        <v>6.3</v>
      </c>
      <c r="N5" t="s">
        <v>73</v>
      </c>
      <c r="O5">
        <v>47.59</v>
      </c>
      <c r="P5">
        <v>8.02</v>
      </c>
      <c r="Q5">
        <v>38.96</v>
      </c>
      <c r="R5">
        <v>33.950000000000003</v>
      </c>
      <c r="S5">
        <v>9</v>
      </c>
      <c r="T5">
        <v>2.6</v>
      </c>
      <c r="U5">
        <v>-1</v>
      </c>
      <c r="V5">
        <v>68.819999999999993</v>
      </c>
      <c r="X5" t="s">
        <v>143</v>
      </c>
      <c r="Y5" t="s">
        <v>138</v>
      </c>
      <c r="Z5" t="s">
        <v>143</v>
      </c>
      <c r="AA5">
        <v>6</v>
      </c>
      <c r="AB5">
        <v>6</v>
      </c>
      <c r="AC5">
        <v>6</v>
      </c>
      <c r="AD5">
        <v>8</v>
      </c>
      <c r="AE5">
        <v>7</v>
      </c>
      <c r="AF5">
        <v>7</v>
      </c>
    </row>
    <row r="6" spans="1:33" x14ac:dyDescent="0.3">
      <c r="B6" t="s">
        <v>8</v>
      </c>
      <c r="C6">
        <v>121</v>
      </c>
      <c r="D6">
        <v>20</v>
      </c>
      <c r="E6">
        <v>20</v>
      </c>
      <c r="F6">
        <v>150</v>
      </c>
      <c r="G6">
        <v>27.83453957</v>
      </c>
      <c r="H6">
        <v>32</v>
      </c>
      <c r="I6">
        <v>0</v>
      </c>
      <c r="J6">
        <v>6.33</v>
      </c>
      <c r="N6" t="s">
        <v>73</v>
      </c>
      <c r="O6">
        <v>47.57</v>
      </c>
      <c r="P6">
        <v>8.02</v>
      </c>
      <c r="Q6">
        <v>38.99</v>
      </c>
      <c r="R6">
        <v>33.979999999999997</v>
      </c>
      <c r="S6">
        <v>9</v>
      </c>
      <c r="T6">
        <v>2.6</v>
      </c>
      <c r="U6">
        <v>-1</v>
      </c>
      <c r="V6">
        <v>68.819999999999993</v>
      </c>
      <c r="X6" t="s">
        <v>143</v>
      </c>
      <c r="Y6" t="s">
        <v>138</v>
      </c>
      <c r="Z6" t="s">
        <v>143</v>
      </c>
      <c r="AA6">
        <v>7</v>
      </c>
      <c r="AB6">
        <v>7</v>
      </c>
      <c r="AC6">
        <v>6</v>
      </c>
      <c r="AD6">
        <v>7</v>
      </c>
      <c r="AE6">
        <v>6</v>
      </c>
      <c r="AF6">
        <v>7</v>
      </c>
    </row>
    <row r="7" spans="1:33" x14ac:dyDescent="0.3">
      <c r="B7" t="s">
        <v>8</v>
      </c>
      <c r="C7">
        <v>121</v>
      </c>
      <c r="D7">
        <v>20</v>
      </c>
      <c r="E7">
        <v>20</v>
      </c>
      <c r="F7">
        <v>150</v>
      </c>
      <c r="G7">
        <v>27.83453957</v>
      </c>
      <c r="H7">
        <v>32</v>
      </c>
      <c r="I7">
        <v>0</v>
      </c>
      <c r="J7">
        <v>6.31</v>
      </c>
      <c r="N7" t="s">
        <v>73</v>
      </c>
      <c r="O7">
        <v>47.57</v>
      </c>
      <c r="P7">
        <v>8.01</v>
      </c>
      <c r="Q7">
        <v>39</v>
      </c>
      <c r="R7">
        <v>33.979999999999997</v>
      </c>
      <c r="S7">
        <v>9</v>
      </c>
      <c r="T7">
        <v>2.6</v>
      </c>
      <c r="U7">
        <v>-1</v>
      </c>
      <c r="V7">
        <v>68.819999999999993</v>
      </c>
      <c r="X7" t="s">
        <v>143</v>
      </c>
      <c r="Y7" t="s">
        <v>138</v>
      </c>
      <c r="Z7" t="s">
        <v>143</v>
      </c>
      <c r="AA7">
        <v>8</v>
      </c>
      <c r="AB7">
        <v>7</v>
      </c>
      <c r="AC7">
        <v>6</v>
      </c>
      <c r="AD7">
        <v>7</v>
      </c>
      <c r="AE7">
        <v>5</v>
      </c>
      <c r="AF7">
        <v>8</v>
      </c>
    </row>
    <row r="8" spans="1:33" x14ac:dyDescent="0.3">
      <c r="B8" t="s">
        <v>9</v>
      </c>
      <c r="C8">
        <v>121</v>
      </c>
      <c r="D8">
        <v>20</v>
      </c>
      <c r="E8">
        <v>20</v>
      </c>
      <c r="F8">
        <v>150</v>
      </c>
      <c r="G8">
        <v>27.83453957</v>
      </c>
      <c r="H8">
        <v>32</v>
      </c>
      <c r="I8">
        <v>0</v>
      </c>
      <c r="J8">
        <v>6.41</v>
      </c>
      <c r="N8" t="s">
        <v>73</v>
      </c>
      <c r="O8">
        <v>50.28</v>
      </c>
      <c r="P8">
        <v>8.6300000000000008</v>
      </c>
      <c r="Q8">
        <v>41.81</v>
      </c>
      <c r="R8">
        <v>65.959999999999994</v>
      </c>
      <c r="S8">
        <v>9</v>
      </c>
      <c r="T8">
        <v>2.6</v>
      </c>
      <c r="U8">
        <v>-1</v>
      </c>
      <c r="V8">
        <v>68.010000000000005</v>
      </c>
      <c r="X8" t="s">
        <v>143</v>
      </c>
      <c r="Y8" t="s">
        <v>138</v>
      </c>
      <c r="Z8" t="s">
        <v>143</v>
      </c>
      <c r="AA8">
        <v>6</v>
      </c>
      <c r="AB8">
        <v>7</v>
      </c>
      <c r="AC8">
        <v>7</v>
      </c>
      <c r="AD8">
        <v>6</v>
      </c>
      <c r="AE8">
        <v>6</v>
      </c>
      <c r="AF8">
        <v>6</v>
      </c>
    </row>
    <row r="9" spans="1:33" x14ac:dyDescent="0.3">
      <c r="B9" t="s">
        <v>9</v>
      </c>
      <c r="C9">
        <v>121</v>
      </c>
      <c r="D9">
        <v>20</v>
      </c>
      <c r="E9">
        <v>20</v>
      </c>
      <c r="F9">
        <v>150</v>
      </c>
      <c r="G9">
        <v>27.83453957</v>
      </c>
      <c r="H9">
        <v>32</v>
      </c>
      <c r="I9">
        <v>0</v>
      </c>
      <c r="J9">
        <v>6.3</v>
      </c>
      <c r="N9" t="s">
        <v>73</v>
      </c>
      <c r="O9">
        <v>50.28</v>
      </c>
      <c r="P9">
        <v>8.61</v>
      </c>
      <c r="Q9">
        <v>41.88</v>
      </c>
      <c r="R9">
        <v>66.010000000000005</v>
      </c>
      <c r="S9">
        <v>9</v>
      </c>
      <c r="T9">
        <v>2.6</v>
      </c>
      <c r="U9">
        <v>-1</v>
      </c>
      <c r="V9">
        <v>68.010000000000005</v>
      </c>
      <c r="X9" t="s">
        <v>143</v>
      </c>
      <c r="Y9" t="s">
        <v>138</v>
      </c>
      <c r="Z9" t="s">
        <v>143</v>
      </c>
      <c r="AA9">
        <v>6</v>
      </c>
      <c r="AB9">
        <v>6</v>
      </c>
      <c r="AC9">
        <v>7</v>
      </c>
      <c r="AD9">
        <v>7</v>
      </c>
      <c r="AE9">
        <v>5</v>
      </c>
      <c r="AF9">
        <v>7</v>
      </c>
    </row>
    <row r="10" spans="1:33" x14ac:dyDescent="0.3">
      <c r="B10" t="s">
        <v>9</v>
      </c>
      <c r="C10">
        <v>121</v>
      </c>
      <c r="D10">
        <v>20</v>
      </c>
      <c r="E10">
        <v>20</v>
      </c>
      <c r="F10">
        <v>150</v>
      </c>
      <c r="G10">
        <v>27.83453957</v>
      </c>
      <c r="H10">
        <v>32</v>
      </c>
      <c r="I10">
        <v>0</v>
      </c>
      <c r="J10">
        <v>6.33</v>
      </c>
      <c r="N10" t="s">
        <v>73</v>
      </c>
      <c r="O10">
        <v>50.29</v>
      </c>
      <c r="P10">
        <v>8.58</v>
      </c>
      <c r="Q10">
        <v>41.87</v>
      </c>
      <c r="R10">
        <v>66</v>
      </c>
      <c r="S10">
        <v>9</v>
      </c>
      <c r="T10">
        <v>2.6</v>
      </c>
      <c r="U10">
        <v>-1</v>
      </c>
      <c r="V10">
        <v>68.010000000000005</v>
      </c>
      <c r="X10" t="s">
        <v>143</v>
      </c>
      <c r="Y10" t="s">
        <v>138</v>
      </c>
      <c r="Z10" t="s">
        <v>143</v>
      </c>
      <c r="AA10">
        <v>7</v>
      </c>
      <c r="AB10">
        <v>5</v>
      </c>
      <c r="AC10">
        <v>7</v>
      </c>
      <c r="AD10">
        <v>6</v>
      </c>
      <c r="AE10">
        <v>6</v>
      </c>
      <c r="AF10">
        <v>6</v>
      </c>
    </row>
    <row r="11" spans="1:33" x14ac:dyDescent="0.3">
      <c r="B11" t="s">
        <v>54</v>
      </c>
      <c r="C11">
        <v>0</v>
      </c>
      <c r="D11">
        <v>0</v>
      </c>
      <c r="E11">
        <v>0</v>
      </c>
      <c r="F11">
        <v>150</v>
      </c>
      <c r="G11">
        <v>0</v>
      </c>
      <c r="H11">
        <v>32</v>
      </c>
      <c r="I11">
        <v>0</v>
      </c>
      <c r="J11">
        <v>6.34</v>
      </c>
      <c r="N11">
        <v>94</v>
      </c>
      <c r="O11">
        <v>52.86</v>
      </c>
      <c r="P11">
        <v>9.3699999999999992</v>
      </c>
      <c r="Q11">
        <v>54.15</v>
      </c>
      <c r="R11">
        <v>50.05</v>
      </c>
      <c r="S11">
        <v>18.3</v>
      </c>
      <c r="T11">
        <v>0.2</v>
      </c>
      <c r="U11">
        <v>-5</v>
      </c>
      <c r="V11">
        <v>67.59</v>
      </c>
      <c r="X11" t="s">
        <v>143</v>
      </c>
      <c r="Y11" t="s">
        <v>138</v>
      </c>
      <c r="Z11" t="s">
        <v>143</v>
      </c>
      <c r="AA11">
        <v>7</v>
      </c>
      <c r="AB11">
        <v>7</v>
      </c>
      <c r="AC11">
        <v>6</v>
      </c>
      <c r="AD11">
        <v>6</v>
      </c>
      <c r="AE11">
        <v>7</v>
      </c>
      <c r="AF11">
        <v>7</v>
      </c>
    </row>
    <row r="12" spans="1:33" x14ac:dyDescent="0.3">
      <c r="B12" t="s">
        <v>54</v>
      </c>
      <c r="C12">
        <v>0</v>
      </c>
      <c r="D12">
        <v>0</v>
      </c>
      <c r="E12">
        <v>0</v>
      </c>
      <c r="F12">
        <v>150</v>
      </c>
      <c r="G12">
        <v>0</v>
      </c>
      <c r="H12">
        <v>32</v>
      </c>
      <c r="I12">
        <v>0</v>
      </c>
      <c r="J12">
        <v>6.53</v>
      </c>
      <c r="N12">
        <v>94</v>
      </c>
      <c r="O12">
        <v>52.86</v>
      </c>
      <c r="P12">
        <v>9.36</v>
      </c>
      <c r="Q12">
        <v>54.1</v>
      </c>
      <c r="R12">
        <v>50.01</v>
      </c>
      <c r="S12">
        <v>18.3</v>
      </c>
      <c r="T12">
        <v>0.2</v>
      </c>
      <c r="U12">
        <v>-5</v>
      </c>
      <c r="V12">
        <v>67.59</v>
      </c>
      <c r="X12" t="s">
        <v>143</v>
      </c>
      <c r="Y12" t="s">
        <v>138</v>
      </c>
      <c r="Z12" t="s">
        <v>143</v>
      </c>
      <c r="AA12">
        <v>6</v>
      </c>
      <c r="AB12">
        <v>7</v>
      </c>
      <c r="AC12">
        <v>6</v>
      </c>
      <c r="AD12">
        <v>8</v>
      </c>
      <c r="AE12">
        <v>8</v>
      </c>
      <c r="AF12">
        <v>7</v>
      </c>
    </row>
    <row r="13" spans="1:33" x14ac:dyDescent="0.3">
      <c r="B13" t="s">
        <v>54</v>
      </c>
      <c r="C13">
        <v>0</v>
      </c>
      <c r="D13">
        <v>0</v>
      </c>
      <c r="E13">
        <v>0</v>
      </c>
      <c r="F13">
        <v>150</v>
      </c>
      <c r="G13">
        <v>0</v>
      </c>
      <c r="H13">
        <v>32</v>
      </c>
      <c r="I13">
        <v>0</v>
      </c>
      <c r="J13">
        <v>6.76</v>
      </c>
      <c r="N13">
        <v>94</v>
      </c>
      <c r="O13">
        <v>52.85</v>
      </c>
      <c r="P13">
        <v>9.36</v>
      </c>
      <c r="Q13">
        <v>54.15</v>
      </c>
      <c r="R13">
        <v>50.06</v>
      </c>
      <c r="S13">
        <v>18.3</v>
      </c>
      <c r="T13">
        <v>0.2</v>
      </c>
      <c r="U13">
        <v>-5</v>
      </c>
      <c r="V13">
        <v>67.59</v>
      </c>
      <c r="X13" t="s">
        <v>143</v>
      </c>
      <c r="Y13" t="s">
        <v>138</v>
      </c>
      <c r="Z13" t="s">
        <v>143</v>
      </c>
      <c r="AA13">
        <v>8</v>
      </c>
      <c r="AB13">
        <v>6</v>
      </c>
      <c r="AC13">
        <v>5</v>
      </c>
      <c r="AD13">
        <v>8</v>
      </c>
      <c r="AE13">
        <v>8</v>
      </c>
      <c r="AF13">
        <v>7</v>
      </c>
    </row>
    <row r="14" spans="1:33" x14ac:dyDescent="0.3">
      <c r="B14" t="s">
        <v>136</v>
      </c>
      <c r="C14">
        <v>121</v>
      </c>
      <c r="D14">
        <v>20</v>
      </c>
      <c r="E14">
        <v>20</v>
      </c>
      <c r="F14">
        <v>150</v>
      </c>
      <c r="G14">
        <v>27.83453957</v>
      </c>
      <c r="H14">
        <v>32</v>
      </c>
      <c r="I14">
        <v>10</v>
      </c>
      <c r="N14" t="s">
        <v>73</v>
      </c>
      <c r="X14" t="s">
        <v>143</v>
      </c>
      <c r="Y14" t="s">
        <v>142</v>
      </c>
      <c r="Z14" t="s">
        <v>143</v>
      </c>
    </row>
    <row r="15" spans="1:33" x14ac:dyDescent="0.3">
      <c r="B15" t="s">
        <v>136</v>
      </c>
      <c r="C15">
        <v>121</v>
      </c>
      <c r="D15">
        <v>20</v>
      </c>
      <c r="E15">
        <v>20</v>
      </c>
      <c r="F15">
        <v>150</v>
      </c>
      <c r="G15">
        <v>27.83453957</v>
      </c>
      <c r="H15">
        <v>32</v>
      </c>
      <c r="I15">
        <v>10</v>
      </c>
      <c r="N15" t="s">
        <v>73</v>
      </c>
      <c r="X15" t="s">
        <v>143</v>
      </c>
      <c r="Y15" t="s">
        <v>142</v>
      </c>
      <c r="Z15" t="s">
        <v>143</v>
      </c>
    </row>
    <row r="16" spans="1:33" x14ac:dyDescent="0.3">
      <c r="B16" t="s">
        <v>136</v>
      </c>
      <c r="C16">
        <v>121</v>
      </c>
      <c r="D16">
        <v>20</v>
      </c>
      <c r="E16">
        <v>20</v>
      </c>
      <c r="F16">
        <v>150</v>
      </c>
      <c r="G16">
        <v>27.83453957</v>
      </c>
      <c r="H16">
        <v>32</v>
      </c>
      <c r="I16">
        <v>10</v>
      </c>
      <c r="N16" t="s">
        <v>73</v>
      </c>
      <c r="X16" t="s">
        <v>143</v>
      </c>
      <c r="Y16" t="s">
        <v>142</v>
      </c>
      <c r="Z16" t="s">
        <v>143</v>
      </c>
    </row>
    <row r="17" spans="1:32" x14ac:dyDescent="0.3">
      <c r="B17" t="s">
        <v>137</v>
      </c>
      <c r="C17">
        <v>0</v>
      </c>
      <c r="D17">
        <v>0</v>
      </c>
      <c r="E17">
        <v>0</v>
      </c>
      <c r="F17">
        <v>150</v>
      </c>
      <c r="G17">
        <v>0</v>
      </c>
      <c r="H17">
        <v>32</v>
      </c>
      <c r="I17">
        <v>10</v>
      </c>
      <c r="N17" t="s">
        <v>102</v>
      </c>
      <c r="Y17" t="s">
        <v>74</v>
      </c>
    </row>
    <row r="18" spans="1:32" x14ac:dyDescent="0.3">
      <c r="B18" t="s">
        <v>137</v>
      </c>
      <c r="C18">
        <v>0</v>
      </c>
      <c r="D18">
        <v>0</v>
      </c>
      <c r="E18">
        <v>0</v>
      </c>
      <c r="F18">
        <v>150</v>
      </c>
      <c r="G18">
        <v>0</v>
      </c>
      <c r="H18">
        <v>32</v>
      </c>
      <c r="I18">
        <v>10</v>
      </c>
      <c r="N18" t="s">
        <v>102</v>
      </c>
      <c r="Y18" t="s">
        <v>74</v>
      </c>
    </row>
    <row r="19" spans="1:32" x14ac:dyDescent="0.3">
      <c r="B19" t="s">
        <v>137</v>
      </c>
      <c r="C19">
        <v>0</v>
      </c>
      <c r="D19">
        <v>0</v>
      </c>
      <c r="E19">
        <v>0</v>
      </c>
      <c r="F19">
        <v>150</v>
      </c>
      <c r="G19">
        <v>0</v>
      </c>
      <c r="H19">
        <v>32</v>
      </c>
      <c r="I19">
        <v>10</v>
      </c>
      <c r="N19" t="s">
        <v>102</v>
      </c>
      <c r="Y19" t="s">
        <v>74</v>
      </c>
    </row>
    <row r="21" spans="1:32" x14ac:dyDescent="0.3">
      <c r="A21" t="s">
        <v>12</v>
      </c>
      <c r="B21" t="s">
        <v>13</v>
      </c>
      <c r="C21">
        <v>121</v>
      </c>
      <c r="D21">
        <v>20</v>
      </c>
      <c r="E21">
        <v>10</v>
      </c>
      <c r="F21">
        <v>150</v>
      </c>
      <c r="G21">
        <v>14.974697891191701</v>
      </c>
      <c r="H21">
        <v>32</v>
      </c>
      <c r="I21">
        <v>0</v>
      </c>
      <c r="J21">
        <v>6.93</v>
      </c>
      <c r="N21" t="s">
        <v>73</v>
      </c>
      <c r="O21">
        <v>51.48</v>
      </c>
      <c r="P21">
        <v>8.93</v>
      </c>
      <c r="Q21">
        <v>47.36</v>
      </c>
      <c r="R21">
        <v>43.21</v>
      </c>
      <c r="S21">
        <v>13.7</v>
      </c>
      <c r="T21">
        <v>2</v>
      </c>
      <c r="U21">
        <v>-2</v>
      </c>
      <c r="V21">
        <v>69.77</v>
      </c>
      <c r="X21" t="s">
        <v>143</v>
      </c>
      <c r="Z21" t="s">
        <v>143</v>
      </c>
      <c r="AA21">
        <v>7</v>
      </c>
      <c r="AB21">
        <v>7</v>
      </c>
      <c r="AC21">
        <v>6</v>
      </c>
      <c r="AD21">
        <v>7</v>
      </c>
      <c r="AE21">
        <v>5</v>
      </c>
      <c r="AF21">
        <v>6</v>
      </c>
    </row>
    <row r="22" spans="1:32" x14ac:dyDescent="0.3">
      <c r="B22" t="s">
        <v>13</v>
      </c>
      <c r="C22">
        <v>121</v>
      </c>
      <c r="D22">
        <v>20</v>
      </c>
      <c r="E22">
        <v>10</v>
      </c>
      <c r="F22">
        <v>150</v>
      </c>
      <c r="G22">
        <v>14.974697891191665</v>
      </c>
      <c r="H22">
        <v>32</v>
      </c>
      <c r="I22">
        <v>0</v>
      </c>
      <c r="J22">
        <v>6.56</v>
      </c>
      <c r="N22" t="s">
        <v>73</v>
      </c>
      <c r="O22">
        <v>51.5</v>
      </c>
      <c r="P22">
        <v>8.9600000000000009</v>
      </c>
      <c r="Q22">
        <v>47.17</v>
      </c>
      <c r="R22">
        <v>43.04</v>
      </c>
      <c r="S22">
        <v>13.7</v>
      </c>
      <c r="T22">
        <v>2</v>
      </c>
      <c r="U22">
        <v>-2</v>
      </c>
      <c r="V22">
        <v>69.77</v>
      </c>
      <c r="X22" t="s">
        <v>143</v>
      </c>
      <c r="Z22" t="s">
        <v>143</v>
      </c>
      <c r="AA22">
        <v>7</v>
      </c>
    </row>
    <row r="23" spans="1:32" x14ac:dyDescent="0.3">
      <c r="B23" t="s">
        <v>13</v>
      </c>
      <c r="C23">
        <v>121</v>
      </c>
      <c r="D23">
        <v>20</v>
      </c>
      <c r="E23">
        <v>10</v>
      </c>
      <c r="F23">
        <v>150</v>
      </c>
      <c r="G23">
        <v>14.974697891191665</v>
      </c>
      <c r="H23">
        <v>32</v>
      </c>
      <c r="I23">
        <v>0</v>
      </c>
      <c r="J23">
        <v>6.33</v>
      </c>
      <c r="N23" t="s">
        <v>73</v>
      </c>
      <c r="O23">
        <v>51.47</v>
      </c>
      <c r="P23">
        <v>8.94</v>
      </c>
      <c r="Q23">
        <v>47.31</v>
      </c>
      <c r="R23">
        <v>43.17</v>
      </c>
      <c r="S23">
        <v>13.7</v>
      </c>
      <c r="T23">
        <v>2</v>
      </c>
      <c r="U23">
        <v>-2</v>
      </c>
      <c r="V23">
        <v>69.77</v>
      </c>
      <c r="X23" t="s">
        <v>143</v>
      </c>
      <c r="Z23" t="s">
        <v>143</v>
      </c>
    </row>
    <row r="24" spans="1:32" x14ac:dyDescent="0.3">
      <c r="B24" t="s">
        <v>15</v>
      </c>
      <c r="C24">
        <v>121</v>
      </c>
      <c r="D24">
        <v>20</v>
      </c>
      <c r="E24">
        <v>10</v>
      </c>
      <c r="F24">
        <v>150</v>
      </c>
      <c r="G24">
        <v>14.974697891191665</v>
      </c>
      <c r="H24">
        <v>32</v>
      </c>
      <c r="I24">
        <v>0</v>
      </c>
      <c r="J24">
        <v>6.66</v>
      </c>
      <c r="N24" t="s">
        <v>73</v>
      </c>
      <c r="O24">
        <v>53.8</v>
      </c>
      <c r="P24">
        <v>7.96</v>
      </c>
      <c r="Q24">
        <v>45.07</v>
      </c>
      <c r="R24">
        <v>42.04</v>
      </c>
      <c r="S24">
        <v>13.5</v>
      </c>
      <c r="T24">
        <v>2</v>
      </c>
      <c r="U24">
        <v>-8</v>
      </c>
      <c r="V24">
        <v>68.91</v>
      </c>
      <c r="X24" t="s">
        <v>143</v>
      </c>
      <c r="Z24" t="s">
        <v>143</v>
      </c>
    </row>
    <row r="25" spans="1:32" x14ac:dyDescent="0.3">
      <c r="B25" t="s">
        <v>15</v>
      </c>
      <c r="C25">
        <v>121</v>
      </c>
      <c r="D25">
        <v>20</v>
      </c>
      <c r="E25">
        <v>10</v>
      </c>
      <c r="F25">
        <v>150</v>
      </c>
      <c r="G25">
        <v>14.974697891191665</v>
      </c>
      <c r="H25">
        <v>32</v>
      </c>
      <c r="I25">
        <v>0</v>
      </c>
      <c r="J25">
        <v>6.67</v>
      </c>
      <c r="N25" t="s">
        <v>73</v>
      </c>
      <c r="O25">
        <v>53.78</v>
      </c>
      <c r="P25">
        <v>7.99</v>
      </c>
      <c r="Q25">
        <v>45.02</v>
      </c>
      <c r="R25">
        <v>41.99</v>
      </c>
      <c r="S25">
        <v>13.5</v>
      </c>
      <c r="T25">
        <v>2</v>
      </c>
      <c r="U25">
        <v>-8</v>
      </c>
      <c r="V25">
        <v>68.91</v>
      </c>
      <c r="X25" t="s">
        <v>143</v>
      </c>
      <c r="Z25" t="s">
        <v>143</v>
      </c>
    </row>
    <row r="26" spans="1:32" x14ac:dyDescent="0.3">
      <c r="B26" t="s">
        <v>15</v>
      </c>
      <c r="C26">
        <v>121</v>
      </c>
      <c r="D26">
        <v>20</v>
      </c>
      <c r="E26">
        <v>10</v>
      </c>
      <c r="F26">
        <v>150</v>
      </c>
      <c r="G26">
        <v>14.974697891191665</v>
      </c>
      <c r="H26">
        <v>32</v>
      </c>
      <c r="I26">
        <v>0</v>
      </c>
      <c r="J26">
        <v>6.75</v>
      </c>
      <c r="N26" t="s">
        <v>73</v>
      </c>
      <c r="O26">
        <v>53.77</v>
      </c>
      <c r="P26">
        <v>7.98</v>
      </c>
      <c r="Q26">
        <v>45.02</v>
      </c>
      <c r="R26">
        <v>41.99</v>
      </c>
      <c r="S26">
        <v>13.5</v>
      </c>
      <c r="T26">
        <v>2</v>
      </c>
      <c r="U26">
        <v>-8</v>
      </c>
      <c r="V26">
        <v>68.91</v>
      </c>
      <c r="X26" t="s">
        <v>143</v>
      </c>
      <c r="Z26" t="s">
        <v>143</v>
      </c>
    </row>
    <row r="27" spans="1:32" x14ac:dyDescent="0.3">
      <c r="B27" t="s">
        <v>16</v>
      </c>
      <c r="C27">
        <v>121</v>
      </c>
      <c r="D27">
        <v>20</v>
      </c>
      <c r="E27">
        <v>10</v>
      </c>
      <c r="F27">
        <v>150</v>
      </c>
      <c r="G27">
        <v>14.974697891191665</v>
      </c>
      <c r="H27">
        <v>32</v>
      </c>
      <c r="I27">
        <v>0</v>
      </c>
      <c r="J27">
        <v>6.3</v>
      </c>
      <c r="N27" t="s">
        <v>73</v>
      </c>
      <c r="O27">
        <v>51.47</v>
      </c>
      <c r="P27">
        <v>8.94</v>
      </c>
      <c r="Q27">
        <v>47.31</v>
      </c>
      <c r="R27">
        <v>43.17</v>
      </c>
      <c r="S27">
        <v>16.399999999999999</v>
      </c>
      <c r="T27">
        <v>0.9</v>
      </c>
      <c r="U27">
        <v>-1</v>
      </c>
      <c r="V27">
        <v>67.400000000000006</v>
      </c>
      <c r="X27" t="s">
        <v>143</v>
      </c>
      <c r="Z27" t="s">
        <v>143</v>
      </c>
    </row>
    <row r="28" spans="1:32" x14ac:dyDescent="0.3">
      <c r="B28" t="s">
        <v>16</v>
      </c>
      <c r="C28">
        <v>121</v>
      </c>
      <c r="D28">
        <v>20</v>
      </c>
      <c r="E28">
        <v>10</v>
      </c>
      <c r="F28">
        <v>150</v>
      </c>
      <c r="G28">
        <v>14.974697891191665</v>
      </c>
      <c r="H28">
        <v>32</v>
      </c>
      <c r="I28">
        <v>0</v>
      </c>
      <c r="J28">
        <v>6.56</v>
      </c>
      <c r="N28" t="s">
        <v>73</v>
      </c>
      <c r="O28">
        <v>51.5</v>
      </c>
      <c r="P28">
        <v>8.9600000000000009</v>
      </c>
      <c r="Q28">
        <v>47.17</v>
      </c>
      <c r="R28">
        <v>43.04</v>
      </c>
      <c r="S28">
        <v>16.399999999999999</v>
      </c>
      <c r="T28">
        <v>0.9</v>
      </c>
      <c r="U28">
        <v>-1</v>
      </c>
      <c r="V28">
        <v>67.400000000000006</v>
      </c>
      <c r="X28" t="s">
        <v>143</v>
      </c>
      <c r="Z28" t="s">
        <v>143</v>
      </c>
    </row>
    <row r="29" spans="1:32" x14ac:dyDescent="0.3">
      <c r="B29" t="s">
        <v>16</v>
      </c>
      <c r="C29">
        <v>121</v>
      </c>
      <c r="D29">
        <v>20</v>
      </c>
      <c r="E29">
        <v>10</v>
      </c>
      <c r="F29">
        <v>150</v>
      </c>
      <c r="G29">
        <v>14.974697891191665</v>
      </c>
      <c r="H29">
        <v>32</v>
      </c>
      <c r="I29">
        <v>0</v>
      </c>
      <c r="J29">
        <v>6.75</v>
      </c>
      <c r="N29" t="s">
        <v>73</v>
      </c>
      <c r="O29">
        <v>53.58</v>
      </c>
      <c r="P29">
        <v>7.95</v>
      </c>
      <c r="Q29">
        <v>45.02</v>
      </c>
      <c r="R29">
        <v>41.99</v>
      </c>
      <c r="S29">
        <v>16.399999999999999</v>
      </c>
      <c r="T29">
        <v>0.9</v>
      </c>
      <c r="U29">
        <v>-1</v>
      </c>
      <c r="V29">
        <v>67.400000000000006</v>
      </c>
      <c r="X29" t="s">
        <v>143</v>
      </c>
      <c r="Z29" t="s">
        <v>143</v>
      </c>
    </row>
    <row r="30" spans="1:32" x14ac:dyDescent="0.3">
      <c r="B30" t="s">
        <v>17</v>
      </c>
      <c r="C30">
        <v>0</v>
      </c>
      <c r="D30">
        <v>0</v>
      </c>
      <c r="E30">
        <v>0</v>
      </c>
      <c r="F30">
        <v>150</v>
      </c>
      <c r="G30">
        <v>0</v>
      </c>
      <c r="H30">
        <v>32</v>
      </c>
      <c r="I30">
        <v>0</v>
      </c>
      <c r="J30">
        <v>6.76</v>
      </c>
      <c r="O30">
        <v>52.85</v>
      </c>
      <c r="P30">
        <v>9.36</v>
      </c>
      <c r="Q30">
        <v>54.15</v>
      </c>
      <c r="R30">
        <v>50.06</v>
      </c>
      <c r="S30">
        <v>19.2</v>
      </c>
      <c r="T30">
        <v>0.1</v>
      </c>
      <c r="U30">
        <v>-9</v>
      </c>
      <c r="V30">
        <v>67.400000000000006</v>
      </c>
      <c r="X30" t="s">
        <v>143</v>
      </c>
      <c r="Z30" t="s">
        <v>143</v>
      </c>
    </row>
    <row r="31" spans="1:32" x14ac:dyDescent="0.3">
      <c r="B31" t="s">
        <v>17</v>
      </c>
      <c r="C31">
        <v>0</v>
      </c>
      <c r="D31">
        <v>0</v>
      </c>
      <c r="E31">
        <v>0</v>
      </c>
      <c r="F31">
        <v>150</v>
      </c>
      <c r="G31">
        <v>0</v>
      </c>
      <c r="H31">
        <v>32</v>
      </c>
      <c r="I31">
        <v>0</v>
      </c>
      <c r="J31">
        <v>6.53</v>
      </c>
      <c r="O31">
        <v>52.86</v>
      </c>
      <c r="P31">
        <v>9.36</v>
      </c>
      <c r="Q31">
        <v>54.1</v>
      </c>
      <c r="R31">
        <v>50.01</v>
      </c>
      <c r="S31">
        <v>19.2</v>
      </c>
      <c r="T31">
        <v>0.1</v>
      </c>
      <c r="U31">
        <v>-9</v>
      </c>
      <c r="V31">
        <v>67.400000000000006</v>
      </c>
      <c r="X31" t="s">
        <v>143</v>
      </c>
      <c r="Z31" t="s">
        <v>143</v>
      </c>
    </row>
    <row r="32" spans="1:32" x14ac:dyDescent="0.3">
      <c r="B32" t="s">
        <v>17</v>
      </c>
      <c r="C32">
        <v>0</v>
      </c>
      <c r="D32">
        <v>0</v>
      </c>
      <c r="E32">
        <v>0</v>
      </c>
      <c r="F32">
        <v>150</v>
      </c>
      <c r="G32">
        <v>0</v>
      </c>
      <c r="H32">
        <v>32</v>
      </c>
      <c r="I32">
        <v>0</v>
      </c>
      <c r="J32">
        <v>6.34</v>
      </c>
      <c r="O32">
        <v>52.86</v>
      </c>
      <c r="P32">
        <v>9.3699999999999992</v>
      </c>
      <c r="Q32">
        <v>54.15</v>
      </c>
      <c r="R32">
        <v>50.05</v>
      </c>
      <c r="S32">
        <v>19.2</v>
      </c>
      <c r="T32">
        <v>0.1</v>
      </c>
      <c r="U32">
        <v>-9</v>
      </c>
      <c r="V32">
        <v>67.400000000000006</v>
      </c>
      <c r="X32" t="s">
        <v>143</v>
      </c>
      <c r="Z32" t="s">
        <v>143</v>
      </c>
    </row>
    <row r="33" spans="1:26" x14ac:dyDescent="0.3">
      <c r="B33" t="s">
        <v>52</v>
      </c>
      <c r="C33">
        <v>121</v>
      </c>
      <c r="D33">
        <v>20</v>
      </c>
      <c r="E33">
        <v>10</v>
      </c>
      <c r="F33">
        <v>150</v>
      </c>
      <c r="G33">
        <v>14.974697891191665</v>
      </c>
      <c r="H33">
        <v>32</v>
      </c>
      <c r="I33">
        <v>10</v>
      </c>
      <c r="N33" t="s">
        <v>73</v>
      </c>
    </row>
    <row r="34" spans="1:26" x14ac:dyDescent="0.3">
      <c r="B34" t="s">
        <v>52</v>
      </c>
      <c r="C34">
        <v>121</v>
      </c>
      <c r="D34">
        <v>20</v>
      </c>
      <c r="E34">
        <v>10</v>
      </c>
      <c r="F34">
        <v>150</v>
      </c>
      <c r="G34">
        <v>14.974697891191665</v>
      </c>
      <c r="H34">
        <v>32</v>
      </c>
      <c r="I34">
        <v>10</v>
      </c>
      <c r="N34" t="s">
        <v>73</v>
      </c>
    </row>
    <row r="35" spans="1:26" x14ac:dyDescent="0.3">
      <c r="B35" t="s">
        <v>52</v>
      </c>
      <c r="C35">
        <v>121</v>
      </c>
      <c r="D35">
        <v>20</v>
      </c>
      <c r="E35">
        <v>10</v>
      </c>
      <c r="F35">
        <v>150</v>
      </c>
      <c r="G35">
        <v>14.974697891191665</v>
      </c>
      <c r="H35">
        <v>32</v>
      </c>
      <c r="I35">
        <v>10</v>
      </c>
      <c r="N35" t="s">
        <v>73</v>
      </c>
    </row>
    <row r="36" spans="1:26" x14ac:dyDescent="0.3">
      <c r="B36" t="s">
        <v>53</v>
      </c>
      <c r="C36">
        <v>0</v>
      </c>
      <c r="D36">
        <v>0</v>
      </c>
      <c r="E36">
        <v>0</v>
      </c>
      <c r="F36">
        <v>150</v>
      </c>
      <c r="G36">
        <v>0</v>
      </c>
      <c r="H36">
        <v>32</v>
      </c>
      <c r="I36">
        <v>10</v>
      </c>
      <c r="N36" t="s">
        <v>102</v>
      </c>
    </row>
    <row r="37" spans="1:26" x14ac:dyDescent="0.3">
      <c r="B37" t="s">
        <v>53</v>
      </c>
      <c r="C37">
        <v>0</v>
      </c>
      <c r="D37">
        <v>0</v>
      </c>
      <c r="E37">
        <v>0</v>
      </c>
      <c r="F37">
        <v>150</v>
      </c>
      <c r="G37">
        <v>0</v>
      </c>
      <c r="H37">
        <v>32</v>
      </c>
      <c r="I37">
        <v>10</v>
      </c>
      <c r="N37" t="s">
        <v>102</v>
      </c>
    </row>
    <row r="38" spans="1:26" x14ac:dyDescent="0.3">
      <c r="B38" t="s">
        <v>53</v>
      </c>
      <c r="C38">
        <v>0</v>
      </c>
      <c r="D38">
        <v>0</v>
      </c>
      <c r="E38">
        <v>0</v>
      </c>
      <c r="F38">
        <v>150</v>
      </c>
      <c r="G38">
        <v>0</v>
      </c>
      <c r="H38">
        <v>32</v>
      </c>
      <c r="I38">
        <v>10</v>
      </c>
      <c r="N38" t="s">
        <v>102</v>
      </c>
    </row>
    <row r="40" spans="1:26" x14ac:dyDescent="0.3">
      <c r="A40" t="s">
        <v>18</v>
      </c>
      <c r="B40" t="s">
        <v>19</v>
      </c>
      <c r="C40">
        <v>121</v>
      </c>
      <c r="D40">
        <v>20</v>
      </c>
      <c r="E40">
        <v>30</v>
      </c>
      <c r="F40">
        <v>150</v>
      </c>
      <c r="G40">
        <v>33.685812267768902</v>
      </c>
      <c r="H40">
        <v>32</v>
      </c>
      <c r="I40">
        <v>0</v>
      </c>
      <c r="J40">
        <v>6.61</v>
      </c>
      <c r="N40" t="s">
        <v>73</v>
      </c>
      <c r="O40">
        <v>48.72</v>
      </c>
      <c r="P40">
        <v>7.28</v>
      </c>
      <c r="Q40">
        <v>34.76</v>
      </c>
      <c r="R40">
        <v>60.29</v>
      </c>
      <c r="S40">
        <v>9.39</v>
      </c>
      <c r="T40">
        <v>3.7</v>
      </c>
      <c r="U40">
        <v>-2</v>
      </c>
      <c r="V40">
        <v>70.150000000000006</v>
      </c>
      <c r="X40" t="s">
        <v>143</v>
      </c>
      <c r="Z40" t="s">
        <v>143</v>
      </c>
    </row>
    <row r="41" spans="1:26" x14ac:dyDescent="0.3">
      <c r="B41" t="s">
        <v>19</v>
      </c>
      <c r="C41">
        <v>121</v>
      </c>
      <c r="D41">
        <v>20</v>
      </c>
      <c r="E41">
        <v>30</v>
      </c>
      <c r="F41">
        <v>150</v>
      </c>
      <c r="G41">
        <v>33.685812267768938</v>
      </c>
      <c r="H41">
        <v>32</v>
      </c>
      <c r="I41">
        <v>0</v>
      </c>
      <c r="J41">
        <v>6.63</v>
      </c>
      <c r="N41" t="s">
        <v>73</v>
      </c>
      <c r="O41">
        <v>48.67</v>
      </c>
      <c r="P41">
        <v>7.3</v>
      </c>
      <c r="Q41">
        <v>34.770000000000003</v>
      </c>
      <c r="R41">
        <v>60.26</v>
      </c>
      <c r="S41">
        <v>9.39</v>
      </c>
      <c r="T41">
        <v>3.7</v>
      </c>
      <c r="U41">
        <v>-2</v>
      </c>
      <c r="V41">
        <v>70.150000000000006</v>
      </c>
      <c r="X41" t="s">
        <v>143</v>
      </c>
      <c r="Z41" t="s">
        <v>143</v>
      </c>
    </row>
    <row r="42" spans="1:26" x14ac:dyDescent="0.3">
      <c r="B42" t="s">
        <v>19</v>
      </c>
      <c r="C42">
        <v>121</v>
      </c>
      <c r="D42">
        <v>20</v>
      </c>
      <c r="E42">
        <v>30</v>
      </c>
      <c r="F42">
        <v>150</v>
      </c>
      <c r="G42">
        <v>33.685812267768938</v>
      </c>
      <c r="H42">
        <v>32</v>
      </c>
      <c r="I42">
        <v>0</v>
      </c>
      <c r="J42">
        <v>6.64</v>
      </c>
      <c r="N42" t="s">
        <v>73</v>
      </c>
      <c r="O42">
        <v>48.67</v>
      </c>
      <c r="P42">
        <v>7.29</v>
      </c>
      <c r="Q42">
        <v>34.840000000000003</v>
      </c>
      <c r="R42">
        <v>60.29</v>
      </c>
      <c r="S42">
        <v>9.39</v>
      </c>
      <c r="T42">
        <v>3.7</v>
      </c>
      <c r="U42">
        <v>-2</v>
      </c>
      <c r="V42">
        <v>70.150000000000006</v>
      </c>
      <c r="X42" t="s">
        <v>143</v>
      </c>
      <c r="Z42" t="s">
        <v>143</v>
      </c>
    </row>
    <row r="43" spans="1:26" x14ac:dyDescent="0.3">
      <c r="B43" t="s">
        <v>20</v>
      </c>
      <c r="C43">
        <v>121</v>
      </c>
      <c r="D43">
        <v>20</v>
      </c>
      <c r="E43">
        <v>30</v>
      </c>
      <c r="F43">
        <v>150</v>
      </c>
      <c r="G43">
        <v>33.685812267768938</v>
      </c>
      <c r="H43">
        <v>32</v>
      </c>
      <c r="I43">
        <v>0</v>
      </c>
      <c r="J43">
        <v>6.89</v>
      </c>
      <c r="N43" t="s">
        <v>30</v>
      </c>
      <c r="O43">
        <v>50.47</v>
      </c>
      <c r="P43">
        <v>7.84</v>
      </c>
      <c r="Q43">
        <v>38.79</v>
      </c>
      <c r="R43">
        <v>34.950000000000003</v>
      </c>
      <c r="S43">
        <v>4.93</v>
      </c>
      <c r="T43">
        <v>4</v>
      </c>
      <c r="U43">
        <v>-1</v>
      </c>
      <c r="V43">
        <v>69.22</v>
      </c>
      <c r="X43" t="s">
        <v>143</v>
      </c>
      <c r="Z43" t="s">
        <v>143</v>
      </c>
    </row>
    <row r="44" spans="1:26" x14ac:dyDescent="0.3">
      <c r="B44" t="s">
        <v>20</v>
      </c>
      <c r="C44">
        <v>121</v>
      </c>
      <c r="D44">
        <v>20</v>
      </c>
      <c r="E44">
        <v>30</v>
      </c>
      <c r="F44">
        <v>150</v>
      </c>
      <c r="G44">
        <v>33.685812267768938</v>
      </c>
      <c r="H44">
        <v>32</v>
      </c>
      <c r="I44">
        <v>0</v>
      </c>
      <c r="J44">
        <v>6.95</v>
      </c>
      <c r="O44">
        <v>50.46</v>
      </c>
      <c r="P44">
        <v>7.83</v>
      </c>
      <c r="Q44">
        <v>38.78</v>
      </c>
      <c r="R44">
        <v>34.92</v>
      </c>
      <c r="S44">
        <v>4.93</v>
      </c>
      <c r="T44">
        <v>4</v>
      </c>
      <c r="U44">
        <v>-1</v>
      </c>
      <c r="V44">
        <v>69.22</v>
      </c>
      <c r="X44" t="s">
        <v>143</v>
      </c>
      <c r="Z44" t="s">
        <v>143</v>
      </c>
    </row>
    <row r="45" spans="1:26" x14ac:dyDescent="0.3">
      <c r="B45" t="s">
        <v>20</v>
      </c>
      <c r="C45">
        <v>121</v>
      </c>
      <c r="D45">
        <v>20</v>
      </c>
      <c r="E45">
        <v>30</v>
      </c>
      <c r="F45">
        <v>150</v>
      </c>
      <c r="G45">
        <v>33.685812267768938</v>
      </c>
      <c r="H45">
        <v>32</v>
      </c>
      <c r="I45">
        <v>0</v>
      </c>
      <c r="J45">
        <v>6.95</v>
      </c>
      <c r="O45">
        <v>50.46</v>
      </c>
      <c r="P45">
        <v>7.83</v>
      </c>
      <c r="Q45">
        <v>38.78</v>
      </c>
      <c r="R45">
        <v>34.92</v>
      </c>
      <c r="S45">
        <v>4.93</v>
      </c>
      <c r="T45">
        <v>4</v>
      </c>
      <c r="U45">
        <v>-1</v>
      </c>
      <c r="V45">
        <v>69.22</v>
      </c>
      <c r="X45" t="s">
        <v>143</v>
      </c>
      <c r="Z45" t="s">
        <v>143</v>
      </c>
    </row>
    <row r="46" spans="1:26" x14ac:dyDescent="0.3">
      <c r="B46" t="s">
        <v>21</v>
      </c>
      <c r="C46">
        <v>121</v>
      </c>
      <c r="D46">
        <v>20</v>
      </c>
      <c r="E46">
        <v>30</v>
      </c>
      <c r="F46">
        <v>150</v>
      </c>
      <c r="G46">
        <v>33.685812267768938</v>
      </c>
      <c r="H46">
        <v>32</v>
      </c>
      <c r="I46">
        <v>0</v>
      </c>
      <c r="J46">
        <v>6.94</v>
      </c>
      <c r="N46" t="s">
        <v>29</v>
      </c>
      <c r="O46">
        <v>50.01</v>
      </c>
      <c r="P46">
        <v>7.76</v>
      </c>
      <c r="Q46">
        <v>35.75</v>
      </c>
      <c r="R46">
        <v>32.01</v>
      </c>
      <c r="S46">
        <v>5.33</v>
      </c>
      <c r="T46">
        <v>4</v>
      </c>
      <c r="U46">
        <v>0</v>
      </c>
      <c r="V46">
        <v>68.2</v>
      </c>
      <c r="X46" t="s">
        <v>143</v>
      </c>
      <c r="Z46" t="s">
        <v>143</v>
      </c>
    </row>
    <row r="47" spans="1:26" x14ac:dyDescent="0.3">
      <c r="B47" t="s">
        <v>21</v>
      </c>
      <c r="C47">
        <v>121</v>
      </c>
      <c r="D47">
        <v>20</v>
      </c>
      <c r="E47">
        <v>30</v>
      </c>
      <c r="F47">
        <v>150</v>
      </c>
      <c r="G47">
        <v>33.685812267768938</v>
      </c>
      <c r="H47">
        <v>32</v>
      </c>
      <c r="I47">
        <v>0</v>
      </c>
      <c r="J47">
        <v>6.93</v>
      </c>
      <c r="O47">
        <v>49.99</v>
      </c>
      <c r="P47">
        <v>7.75</v>
      </c>
      <c r="Q47">
        <v>35.79</v>
      </c>
      <c r="R47">
        <v>32.04</v>
      </c>
      <c r="S47">
        <v>5.33</v>
      </c>
      <c r="T47">
        <v>4</v>
      </c>
      <c r="U47">
        <v>0</v>
      </c>
      <c r="V47">
        <v>68.2</v>
      </c>
      <c r="X47" t="s">
        <v>143</v>
      </c>
      <c r="Z47" t="s">
        <v>143</v>
      </c>
    </row>
    <row r="48" spans="1:26" x14ac:dyDescent="0.3">
      <c r="B48" t="s">
        <v>21</v>
      </c>
      <c r="C48">
        <v>121</v>
      </c>
      <c r="D48">
        <v>20</v>
      </c>
      <c r="E48">
        <v>30</v>
      </c>
      <c r="F48">
        <v>150</v>
      </c>
      <c r="G48">
        <v>33.685812267768938</v>
      </c>
      <c r="H48">
        <v>32</v>
      </c>
      <c r="I48">
        <v>0</v>
      </c>
      <c r="J48">
        <v>6.95</v>
      </c>
      <c r="O48">
        <v>49.98</v>
      </c>
      <c r="P48">
        <v>7.76</v>
      </c>
      <c r="Q48">
        <v>35.83</v>
      </c>
      <c r="R48">
        <v>32.07</v>
      </c>
      <c r="S48">
        <v>5.33</v>
      </c>
      <c r="T48">
        <v>4</v>
      </c>
      <c r="U48">
        <v>0</v>
      </c>
      <c r="V48">
        <v>68.2</v>
      </c>
      <c r="X48" t="s">
        <v>143</v>
      </c>
      <c r="Z48" t="s">
        <v>143</v>
      </c>
    </row>
    <row r="49" spans="1:26" x14ac:dyDescent="0.3">
      <c r="B49" t="s">
        <v>27</v>
      </c>
      <c r="C49">
        <v>0</v>
      </c>
      <c r="D49">
        <v>0</v>
      </c>
      <c r="E49">
        <v>0</v>
      </c>
      <c r="F49">
        <v>150</v>
      </c>
      <c r="G49">
        <v>0</v>
      </c>
      <c r="H49">
        <v>32</v>
      </c>
      <c r="I49">
        <v>0</v>
      </c>
      <c r="J49">
        <v>6.96</v>
      </c>
      <c r="N49" t="s">
        <v>28</v>
      </c>
      <c r="O49">
        <v>53.34</v>
      </c>
      <c r="P49">
        <v>9.65</v>
      </c>
      <c r="Q49">
        <v>53.16</v>
      </c>
      <c r="R49">
        <v>49.31</v>
      </c>
      <c r="S49">
        <v>16</v>
      </c>
      <c r="T49">
        <v>0.4</v>
      </c>
      <c r="U49">
        <v>-1</v>
      </c>
      <c r="V49">
        <v>68.739999999999995</v>
      </c>
      <c r="X49" t="s">
        <v>143</v>
      </c>
      <c r="Z49" t="s">
        <v>143</v>
      </c>
    </row>
    <row r="50" spans="1:26" x14ac:dyDescent="0.3">
      <c r="B50" t="s">
        <v>27</v>
      </c>
      <c r="C50">
        <v>0</v>
      </c>
      <c r="D50">
        <v>0</v>
      </c>
      <c r="E50">
        <v>0</v>
      </c>
      <c r="F50">
        <v>150</v>
      </c>
      <c r="G50">
        <v>0</v>
      </c>
      <c r="H50">
        <v>32</v>
      </c>
      <c r="I50">
        <v>0</v>
      </c>
      <c r="J50">
        <v>6.9</v>
      </c>
      <c r="O50">
        <v>53.34</v>
      </c>
      <c r="P50">
        <v>9.67</v>
      </c>
      <c r="Q50">
        <v>53.24</v>
      </c>
      <c r="R50">
        <v>59.39</v>
      </c>
      <c r="S50">
        <v>16</v>
      </c>
      <c r="T50">
        <v>0.4</v>
      </c>
      <c r="U50">
        <v>-1</v>
      </c>
      <c r="V50">
        <v>68.739999999999995</v>
      </c>
      <c r="X50" t="s">
        <v>143</v>
      </c>
      <c r="Z50" t="s">
        <v>143</v>
      </c>
    </row>
    <row r="51" spans="1:26" x14ac:dyDescent="0.3">
      <c r="B51" t="s">
        <v>27</v>
      </c>
      <c r="C51">
        <v>0</v>
      </c>
      <c r="D51">
        <v>0</v>
      </c>
      <c r="E51">
        <v>0</v>
      </c>
      <c r="F51">
        <v>150</v>
      </c>
      <c r="G51">
        <v>0</v>
      </c>
      <c r="H51">
        <v>32</v>
      </c>
      <c r="I51">
        <v>0</v>
      </c>
      <c r="J51">
        <v>6.88</v>
      </c>
      <c r="O51">
        <v>53.32</v>
      </c>
      <c r="P51">
        <v>9.68</v>
      </c>
      <c r="Q51">
        <v>53.36</v>
      </c>
      <c r="R51">
        <v>49.49</v>
      </c>
      <c r="S51">
        <v>16</v>
      </c>
      <c r="T51">
        <v>0.4</v>
      </c>
      <c r="U51">
        <v>-1</v>
      </c>
      <c r="V51">
        <v>68.739999999999995</v>
      </c>
      <c r="X51" t="s">
        <v>143</v>
      </c>
      <c r="Z51" t="s">
        <v>143</v>
      </c>
    </row>
    <row r="52" spans="1:26" x14ac:dyDescent="0.3">
      <c r="B52" t="s">
        <v>52</v>
      </c>
      <c r="C52">
        <v>121</v>
      </c>
      <c r="D52">
        <v>20</v>
      </c>
      <c r="E52">
        <v>30</v>
      </c>
      <c r="F52">
        <v>150</v>
      </c>
      <c r="G52">
        <v>33.685812267768938</v>
      </c>
      <c r="H52">
        <v>32</v>
      </c>
      <c r="I52">
        <v>10</v>
      </c>
      <c r="N52" t="s">
        <v>73</v>
      </c>
    </row>
    <row r="53" spans="1:26" x14ac:dyDescent="0.3">
      <c r="B53" t="s">
        <v>52</v>
      </c>
      <c r="C53">
        <v>121</v>
      </c>
      <c r="D53">
        <v>20</v>
      </c>
      <c r="E53">
        <v>30</v>
      </c>
      <c r="F53">
        <v>150</v>
      </c>
      <c r="G53">
        <v>33.685812267768938</v>
      </c>
      <c r="H53">
        <v>32</v>
      </c>
      <c r="I53">
        <v>10</v>
      </c>
      <c r="N53" t="s">
        <v>73</v>
      </c>
    </row>
    <row r="54" spans="1:26" x14ac:dyDescent="0.3">
      <c r="B54" t="s">
        <v>52</v>
      </c>
      <c r="C54">
        <v>121</v>
      </c>
      <c r="D54">
        <v>20</v>
      </c>
      <c r="E54">
        <v>30</v>
      </c>
      <c r="F54">
        <v>150</v>
      </c>
      <c r="G54">
        <v>33.685812267768938</v>
      </c>
      <c r="H54">
        <v>32</v>
      </c>
      <c r="I54">
        <v>10</v>
      </c>
      <c r="N54" t="s">
        <v>73</v>
      </c>
    </row>
    <row r="55" spans="1:26" x14ac:dyDescent="0.3">
      <c r="B55" t="s">
        <v>53</v>
      </c>
      <c r="C55">
        <v>0</v>
      </c>
      <c r="D55">
        <v>0</v>
      </c>
      <c r="E55">
        <v>0</v>
      </c>
      <c r="F55">
        <v>150</v>
      </c>
      <c r="G55">
        <v>0</v>
      </c>
      <c r="H55">
        <v>32</v>
      </c>
      <c r="I55">
        <v>10</v>
      </c>
    </row>
    <row r="56" spans="1:26" x14ac:dyDescent="0.3">
      <c r="B56" t="s">
        <v>53</v>
      </c>
      <c r="C56">
        <v>0</v>
      </c>
      <c r="D56">
        <v>0</v>
      </c>
      <c r="E56">
        <v>0</v>
      </c>
      <c r="F56">
        <v>150</v>
      </c>
      <c r="G56">
        <v>0</v>
      </c>
      <c r="H56">
        <v>32</v>
      </c>
      <c r="I56">
        <v>10</v>
      </c>
    </row>
    <row r="57" spans="1:26" x14ac:dyDescent="0.3">
      <c r="B57" t="s">
        <v>53</v>
      </c>
      <c r="C57">
        <v>0</v>
      </c>
      <c r="D57">
        <v>0</v>
      </c>
      <c r="E57">
        <v>0</v>
      </c>
      <c r="F57">
        <v>150</v>
      </c>
      <c r="G57">
        <v>0</v>
      </c>
      <c r="H57">
        <v>32</v>
      </c>
      <c r="I57">
        <v>10</v>
      </c>
    </row>
    <row r="59" spans="1:26" x14ac:dyDescent="0.3">
      <c r="A59" t="s">
        <v>32</v>
      </c>
      <c r="B59" t="s">
        <v>33</v>
      </c>
      <c r="C59">
        <v>121</v>
      </c>
      <c r="D59">
        <v>20</v>
      </c>
      <c r="E59">
        <v>15</v>
      </c>
      <c r="F59">
        <v>150</v>
      </c>
      <c r="G59">
        <v>22.479871531659267</v>
      </c>
      <c r="H59">
        <v>32</v>
      </c>
      <c r="I59">
        <v>0</v>
      </c>
      <c r="J59">
        <v>6.62</v>
      </c>
      <c r="N59" t="s">
        <v>73</v>
      </c>
      <c r="O59">
        <v>41.17</v>
      </c>
      <c r="P59">
        <v>5.85</v>
      </c>
      <c r="Q59">
        <v>20.38</v>
      </c>
      <c r="R59">
        <v>46.22</v>
      </c>
      <c r="S59">
        <v>7.37</v>
      </c>
      <c r="T59">
        <v>3.2</v>
      </c>
      <c r="U59">
        <v>-1</v>
      </c>
      <c r="V59">
        <v>66.760000000000005</v>
      </c>
      <c r="X59" t="s">
        <v>143</v>
      </c>
      <c r="Z59" t="s">
        <v>143</v>
      </c>
    </row>
    <row r="60" spans="1:26" x14ac:dyDescent="0.3">
      <c r="B60" t="s">
        <v>33</v>
      </c>
      <c r="C60">
        <v>121</v>
      </c>
      <c r="D60">
        <v>20</v>
      </c>
      <c r="E60">
        <v>15</v>
      </c>
      <c r="F60">
        <v>150</v>
      </c>
      <c r="G60">
        <v>22.479871531659267</v>
      </c>
      <c r="H60">
        <v>32</v>
      </c>
      <c r="I60">
        <v>0</v>
      </c>
      <c r="J60">
        <v>6.58</v>
      </c>
      <c r="N60" t="s">
        <v>73</v>
      </c>
      <c r="O60">
        <v>41.19</v>
      </c>
      <c r="P60">
        <v>5.84</v>
      </c>
      <c r="Q60">
        <v>20.38</v>
      </c>
      <c r="R60">
        <v>46.24</v>
      </c>
      <c r="S60">
        <v>7.11</v>
      </c>
      <c r="T60">
        <v>3.4</v>
      </c>
      <c r="U60">
        <v>-3</v>
      </c>
      <c r="V60">
        <v>66.760000000000005</v>
      </c>
      <c r="X60" t="s">
        <v>143</v>
      </c>
      <c r="Z60" t="s">
        <v>143</v>
      </c>
    </row>
    <row r="61" spans="1:26" x14ac:dyDescent="0.3">
      <c r="B61" t="s">
        <v>33</v>
      </c>
      <c r="C61">
        <v>121</v>
      </c>
      <c r="D61">
        <v>20</v>
      </c>
      <c r="E61">
        <v>15</v>
      </c>
      <c r="F61">
        <v>150</v>
      </c>
      <c r="G61">
        <v>22.479871531659267</v>
      </c>
      <c r="H61">
        <v>32</v>
      </c>
      <c r="I61">
        <v>0</v>
      </c>
      <c r="J61">
        <v>6.58</v>
      </c>
      <c r="N61" t="s">
        <v>73</v>
      </c>
      <c r="O61">
        <v>41.18</v>
      </c>
      <c r="P61">
        <v>5.84</v>
      </c>
      <c r="Q61">
        <v>20.39</v>
      </c>
      <c r="R61">
        <v>46.23</v>
      </c>
      <c r="S61">
        <v>7.06</v>
      </c>
      <c r="T61">
        <v>3.4</v>
      </c>
      <c r="U61">
        <v>-3</v>
      </c>
      <c r="V61">
        <v>66.760000000000005</v>
      </c>
      <c r="X61" t="s">
        <v>143</v>
      </c>
      <c r="Z61" t="s">
        <v>143</v>
      </c>
    </row>
    <row r="62" spans="1:26" x14ac:dyDescent="0.3">
      <c r="B62" t="s">
        <v>34</v>
      </c>
      <c r="C62">
        <v>121</v>
      </c>
      <c r="D62">
        <v>20</v>
      </c>
      <c r="E62">
        <v>15</v>
      </c>
      <c r="F62">
        <v>150</v>
      </c>
      <c r="G62">
        <v>22.479871531659267</v>
      </c>
      <c r="H62">
        <v>32</v>
      </c>
      <c r="I62">
        <v>0</v>
      </c>
      <c r="J62">
        <v>6.38</v>
      </c>
      <c r="N62" t="s">
        <v>73</v>
      </c>
      <c r="O62">
        <v>44.68</v>
      </c>
      <c r="P62">
        <v>5.18</v>
      </c>
      <c r="Q62">
        <v>20.79</v>
      </c>
      <c r="R62">
        <v>49.46</v>
      </c>
      <c r="S62">
        <v>3.61</v>
      </c>
      <c r="T62">
        <v>3.2</v>
      </c>
      <c r="U62">
        <v>-2</v>
      </c>
      <c r="V62">
        <v>65.55</v>
      </c>
      <c r="X62" t="s">
        <v>143</v>
      </c>
      <c r="Z62" t="s">
        <v>143</v>
      </c>
    </row>
    <row r="63" spans="1:26" x14ac:dyDescent="0.3">
      <c r="B63" t="s">
        <v>34</v>
      </c>
      <c r="C63">
        <v>121</v>
      </c>
      <c r="D63">
        <v>20</v>
      </c>
      <c r="E63">
        <v>15</v>
      </c>
      <c r="F63">
        <v>150</v>
      </c>
      <c r="G63">
        <v>22.479871531659267</v>
      </c>
      <c r="H63">
        <v>32</v>
      </c>
      <c r="I63">
        <v>0</v>
      </c>
      <c r="J63">
        <v>6.41</v>
      </c>
      <c r="N63" t="s">
        <v>73</v>
      </c>
      <c r="O63">
        <v>44.65</v>
      </c>
      <c r="P63">
        <v>5.19</v>
      </c>
      <c r="Q63">
        <v>20.79</v>
      </c>
      <c r="R63">
        <v>49.43</v>
      </c>
      <c r="S63">
        <v>3.7</v>
      </c>
      <c r="T63">
        <v>3.3</v>
      </c>
      <c r="U63">
        <v>-1</v>
      </c>
      <c r="V63">
        <v>65.55</v>
      </c>
      <c r="X63" t="s">
        <v>143</v>
      </c>
      <c r="Z63" t="s">
        <v>143</v>
      </c>
    </row>
    <row r="64" spans="1:26" x14ac:dyDescent="0.3">
      <c r="B64" t="s">
        <v>34</v>
      </c>
      <c r="C64">
        <v>121</v>
      </c>
      <c r="D64">
        <v>20</v>
      </c>
      <c r="E64">
        <v>15</v>
      </c>
      <c r="F64">
        <v>150</v>
      </c>
      <c r="G64">
        <v>22.479871531659267</v>
      </c>
      <c r="H64">
        <v>32</v>
      </c>
      <c r="I64">
        <v>0</v>
      </c>
      <c r="J64">
        <v>6.41</v>
      </c>
      <c r="N64" t="s">
        <v>73</v>
      </c>
      <c r="O64">
        <v>44.64</v>
      </c>
      <c r="P64">
        <v>5.2</v>
      </c>
      <c r="Q64">
        <v>20.79</v>
      </c>
      <c r="R64">
        <v>49.42</v>
      </c>
      <c r="S64">
        <v>3.76</v>
      </c>
      <c r="T64">
        <v>3.3</v>
      </c>
      <c r="U64">
        <v>-19</v>
      </c>
      <c r="V64">
        <v>65.55</v>
      </c>
      <c r="X64" t="s">
        <v>143</v>
      </c>
      <c r="Z64" t="s">
        <v>143</v>
      </c>
    </row>
    <row r="65" spans="1:26" x14ac:dyDescent="0.3">
      <c r="B65" t="s">
        <v>35</v>
      </c>
      <c r="C65">
        <v>121</v>
      </c>
      <c r="D65">
        <v>20</v>
      </c>
      <c r="E65">
        <v>15</v>
      </c>
      <c r="F65">
        <v>150</v>
      </c>
      <c r="G65">
        <v>22.479871531659267</v>
      </c>
      <c r="H65">
        <v>32</v>
      </c>
      <c r="I65">
        <v>0</v>
      </c>
      <c r="J65">
        <v>6.33</v>
      </c>
      <c r="N65" t="s">
        <v>73</v>
      </c>
      <c r="O65">
        <v>44.4</v>
      </c>
      <c r="P65">
        <v>5.68</v>
      </c>
      <c r="Q65">
        <v>20.39</v>
      </c>
      <c r="R65">
        <v>49.1</v>
      </c>
      <c r="S65">
        <v>6.41</v>
      </c>
      <c r="T65">
        <v>3</v>
      </c>
      <c r="U65">
        <v>0</v>
      </c>
      <c r="V65">
        <v>66.03</v>
      </c>
      <c r="X65" t="s">
        <v>143</v>
      </c>
      <c r="Z65" t="s">
        <v>143</v>
      </c>
    </row>
    <row r="66" spans="1:26" x14ac:dyDescent="0.3">
      <c r="B66" t="s">
        <v>35</v>
      </c>
      <c r="C66">
        <v>121</v>
      </c>
      <c r="D66">
        <v>20</v>
      </c>
      <c r="E66">
        <v>15</v>
      </c>
      <c r="F66">
        <v>150</v>
      </c>
      <c r="G66">
        <v>22.479871531659267</v>
      </c>
      <c r="H66">
        <v>32</v>
      </c>
      <c r="I66">
        <v>0</v>
      </c>
      <c r="J66">
        <v>6.35</v>
      </c>
      <c r="N66" t="s">
        <v>73</v>
      </c>
      <c r="O66">
        <v>44.38</v>
      </c>
      <c r="P66">
        <v>5.68</v>
      </c>
      <c r="Q66">
        <v>20.39</v>
      </c>
      <c r="R66">
        <v>49.07</v>
      </c>
      <c r="S66">
        <v>6.2</v>
      </c>
      <c r="T66">
        <v>3</v>
      </c>
      <c r="U66">
        <v>0</v>
      </c>
      <c r="V66">
        <v>66.03</v>
      </c>
      <c r="X66" t="s">
        <v>143</v>
      </c>
      <c r="Z66" t="s">
        <v>143</v>
      </c>
    </row>
    <row r="67" spans="1:26" x14ac:dyDescent="0.3">
      <c r="B67" t="s">
        <v>35</v>
      </c>
      <c r="C67">
        <v>121</v>
      </c>
      <c r="D67">
        <v>20</v>
      </c>
      <c r="E67">
        <v>15</v>
      </c>
      <c r="F67">
        <v>150</v>
      </c>
      <c r="G67">
        <v>22.479871531659267</v>
      </c>
      <c r="H67">
        <v>32</v>
      </c>
      <c r="I67">
        <v>0</v>
      </c>
      <c r="J67">
        <v>6.36</v>
      </c>
      <c r="N67" t="s">
        <v>73</v>
      </c>
      <c r="O67">
        <v>44.37</v>
      </c>
      <c r="P67">
        <v>5.68</v>
      </c>
      <c r="Q67">
        <v>20.399999999999999</v>
      </c>
      <c r="R67">
        <v>49.08</v>
      </c>
      <c r="S67">
        <v>6.4</v>
      </c>
      <c r="T67">
        <v>3</v>
      </c>
      <c r="U67">
        <v>-3</v>
      </c>
      <c r="V67">
        <v>66.03</v>
      </c>
      <c r="X67" t="s">
        <v>143</v>
      </c>
      <c r="Z67" t="s">
        <v>143</v>
      </c>
    </row>
    <row r="68" spans="1:26" x14ac:dyDescent="0.3">
      <c r="B68" t="s">
        <v>36</v>
      </c>
      <c r="C68">
        <v>0</v>
      </c>
      <c r="D68">
        <v>0</v>
      </c>
      <c r="E68">
        <v>0</v>
      </c>
      <c r="F68">
        <v>150</v>
      </c>
      <c r="G68">
        <v>0</v>
      </c>
      <c r="H68">
        <v>32</v>
      </c>
      <c r="I68">
        <v>0</v>
      </c>
      <c r="J68">
        <v>6.15</v>
      </c>
      <c r="O68">
        <v>47.62</v>
      </c>
      <c r="P68">
        <v>6.93</v>
      </c>
      <c r="Q68">
        <v>25.93</v>
      </c>
      <c r="R68">
        <v>54.58</v>
      </c>
      <c r="S68">
        <v>9.89</v>
      </c>
      <c r="T68">
        <v>10.8</v>
      </c>
      <c r="U68">
        <v>-1</v>
      </c>
      <c r="V68">
        <v>65.12</v>
      </c>
      <c r="W68">
        <v>0.75449999999999995</v>
      </c>
      <c r="X68" t="s">
        <v>143</v>
      </c>
      <c r="Z68" t="s">
        <v>143</v>
      </c>
    </row>
    <row r="69" spans="1:26" x14ac:dyDescent="0.3">
      <c r="B69" t="s">
        <v>36</v>
      </c>
      <c r="C69">
        <v>0</v>
      </c>
      <c r="D69">
        <v>0</v>
      </c>
      <c r="E69">
        <v>0</v>
      </c>
      <c r="F69">
        <v>150</v>
      </c>
      <c r="G69">
        <v>0</v>
      </c>
      <c r="H69">
        <v>32</v>
      </c>
      <c r="I69">
        <v>0</v>
      </c>
      <c r="J69">
        <v>6.16</v>
      </c>
      <c r="O69">
        <v>47.6</v>
      </c>
      <c r="P69">
        <v>6.94</v>
      </c>
      <c r="Q69">
        <v>25.93</v>
      </c>
      <c r="R69">
        <v>54.56</v>
      </c>
      <c r="S69">
        <v>11.9</v>
      </c>
      <c r="T69">
        <v>8.4</v>
      </c>
      <c r="U69">
        <v>0</v>
      </c>
      <c r="V69">
        <v>65.47</v>
      </c>
      <c r="X69" t="s">
        <v>143</v>
      </c>
      <c r="Z69" t="s">
        <v>143</v>
      </c>
    </row>
    <row r="70" spans="1:26" x14ac:dyDescent="0.3">
      <c r="B70" t="s">
        <v>36</v>
      </c>
      <c r="C70">
        <v>0</v>
      </c>
      <c r="D70">
        <v>0</v>
      </c>
      <c r="E70">
        <v>0</v>
      </c>
      <c r="F70">
        <v>150</v>
      </c>
      <c r="G70">
        <v>0</v>
      </c>
      <c r="H70">
        <v>32</v>
      </c>
      <c r="I70">
        <v>0</v>
      </c>
      <c r="J70">
        <v>6.19</v>
      </c>
      <c r="O70">
        <v>47.6</v>
      </c>
      <c r="P70">
        <v>6.94</v>
      </c>
      <c r="Q70">
        <v>25.92</v>
      </c>
      <c r="R70">
        <v>54.55</v>
      </c>
      <c r="S70">
        <v>13.1</v>
      </c>
      <c r="T70">
        <v>7.1</v>
      </c>
      <c r="U70">
        <v>0</v>
      </c>
      <c r="V70">
        <v>65.47</v>
      </c>
      <c r="X70" t="s">
        <v>143</v>
      </c>
      <c r="Z70" t="s">
        <v>143</v>
      </c>
    </row>
    <row r="71" spans="1:26" x14ac:dyDescent="0.3">
      <c r="B71" t="s">
        <v>52</v>
      </c>
      <c r="C71">
        <v>121</v>
      </c>
      <c r="D71">
        <v>20</v>
      </c>
      <c r="E71">
        <v>15</v>
      </c>
      <c r="F71">
        <v>150</v>
      </c>
      <c r="G71">
        <v>22.479871531659267</v>
      </c>
      <c r="H71">
        <v>32</v>
      </c>
      <c r="I71">
        <v>10</v>
      </c>
      <c r="J71">
        <v>6.15</v>
      </c>
      <c r="N71" t="s">
        <v>73</v>
      </c>
      <c r="O71">
        <v>47.6</v>
      </c>
      <c r="P71">
        <v>7.19</v>
      </c>
      <c r="Q71">
        <v>39.82</v>
      </c>
      <c r="R71">
        <v>62.48</v>
      </c>
      <c r="V71">
        <v>64.78</v>
      </c>
      <c r="X71" t="s">
        <v>143</v>
      </c>
      <c r="Z71" t="s">
        <v>143</v>
      </c>
    </row>
    <row r="72" spans="1:26" x14ac:dyDescent="0.3">
      <c r="B72" t="s">
        <v>52</v>
      </c>
      <c r="C72">
        <v>121</v>
      </c>
      <c r="D72">
        <v>20</v>
      </c>
      <c r="E72">
        <v>15</v>
      </c>
      <c r="F72">
        <v>150</v>
      </c>
      <c r="G72">
        <v>22.479871531659267</v>
      </c>
      <c r="H72">
        <v>32</v>
      </c>
      <c r="I72">
        <v>10</v>
      </c>
      <c r="J72">
        <v>6.22</v>
      </c>
      <c r="N72" t="s">
        <v>73</v>
      </c>
      <c r="O72">
        <v>47.65</v>
      </c>
      <c r="P72">
        <v>7.2</v>
      </c>
      <c r="Q72">
        <v>39.729999999999997</v>
      </c>
      <c r="R72">
        <v>62.45</v>
      </c>
      <c r="V72">
        <v>64.78</v>
      </c>
      <c r="X72" t="s">
        <v>143</v>
      </c>
      <c r="Z72" t="s">
        <v>143</v>
      </c>
    </row>
    <row r="73" spans="1:26" x14ac:dyDescent="0.3">
      <c r="B73" t="s">
        <v>52</v>
      </c>
      <c r="C73">
        <v>121</v>
      </c>
      <c r="D73">
        <v>20</v>
      </c>
      <c r="E73">
        <v>15</v>
      </c>
      <c r="F73">
        <v>150</v>
      </c>
      <c r="G73">
        <v>22.479871531659267</v>
      </c>
      <c r="H73">
        <v>32</v>
      </c>
      <c r="I73">
        <v>10</v>
      </c>
      <c r="J73">
        <v>6.29</v>
      </c>
      <c r="N73" t="s">
        <v>73</v>
      </c>
      <c r="O73">
        <v>47.65</v>
      </c>
      <c r="P73">
        <v>7.2</v>
      </c>
      <c r="Q73">
        <v>39.770000000000003</v>
      </c>
      <c r="R73">
        <v>62.49</v>
      </c>
      <c r="V73">
        <v>64.78</v>
      </c>
      <c r="X73" t="s">
        <v>143</v>
      </c>
      <c r="Z73" t="s">
        <v>143</v>
      </c>
    </row>
    <row r="74" spans="1:26" x14ac:dyDescent="0.3">
      <c r="B74" t="s">
        <v>53</v>
      </c>
      <c r="C74">
        <v>0</v>
      </c>
      <c r="D74">
        <v>0</v>
      </c>
      <c r="E74">
        <v>0</v>
      </c>
      <c r="F74">
        <v>150</v>
      </c>
      <c r="G74">
        <v>0</v>
      </c>
      <c r="H74">
        <v>32</v>
      </c>
      <c r="I74">
        <v>10</v>
      </c>
      <c r="J74">
        <v>4.6399999999999997</v>
      </c>
      <c r="N74" t="s">
        <v>102</v>
      </c>
      <c r="O74">
        <v>58.97</v>
      </c>
      <c r="P74">
        <v>8.6999999999999993</v>
      </c>
      <c r="Q74">
        <v>45.62</v>
      </c>
      <c r="R74">
        <v>75.06</v>
      </c>
      <c r="S74">
        <v>0</v>
      </c>
      <c r="T74">
        <v>54.3</v>
      </c>
      <c r="U74">
        <v>0</v>
      </c>
      <c r="V74">
        <v>66.83</v>
      </c>
      <c r="Y74" t="s">
        <v>74</v>
      </c>
    </row>
    <row r="75" spans="1:26" x14ac:dyDescent="0.3">
      <c r="B75" t="s">
        <v>53</v>
      </c>
      <c r="C75">
        <v>0</v>
      </c>
      <c r="D75">
        <v>0</v>
      </c>
      <c r="E75">
        <v>0</v>
      </c>
      <c r="F75">
        <v>150</v>
      </c>
      <c r="G75">
        <v>0</v>
      </c>
      <c r="H75">
        <v>32</v>
      </c>
      <c r="I75">
        <v>10</v>
      </c>
      <c r="J75">
        <v>4.62</v>
      </c>
      <c r="N75" t="s">
        <v>102</v>
      </c>
      <c r="O75">
        <v>58.95</v>
      </c>
      <c r="P75">
        <v>8.7100000000000009</v>
      </c>
      <c r="Q75">
        <v>45.61</v>
      </c>
      <c r="R75">
        <v>75.040000000000006</v>
      </c>
      <c r="S75">
        <v>0</v>
      </c>
      <c r="T75">
        <v>55</v>
      </c>
      <c r="U75">
        <v>-1</v>
      </c>
      <c r="V75">
        <v>66.83</v>
      </c>
      <c r="Y75" t="s">
        <v>74</v>
      </c>
    </row>
    <row r="76" spans="1:26" x14ac:dyDescent="0.3">
      <c r="B76" t="s">
        <v>53</v>
      </c>
      <c r="C76">
        <v>0</v>
      </c>
      <c r="D76">
        <v>0</v>
      </c>
      <c r="E76">
        <v>0</v>
      </c>
      <c r="F76">
        <v>150</v>
      </c>
      <c r="G76">
        <v>0</v>
      </c>
      <c r="H76">
        <v>32</v>
      </c>
      <c r="I76">
        <v>10</v>
      </c>
      <c r="J76">
        <v>4.58</v>
      </c>
      <c r="N76" t="s">
        <v>102</v>
      </c>
      <c r="O76">
        <v>58.95</v>
      </c>
      <c r="P76">
        <v>8.6999999999999993</v>
      </c>
      <c r="Q76">
        <v>45.58</v>
      </c>
      <c r="R76">
        <v>75.02</v>
      </c>
      <c r="S76">
        <v>0</v>
      </c>
      <c r="T76">
        <v>55.2</v>
      </c>
      <c r="U76">
        <v>0</v>
      </c>
      <c r="V76">
        <v>66.83</v>
      </c>
      <c r="Y76" t="s">
        <v>74</v>
      </c>
    </row>
    <row r="78" spans="1:26" x14ac:dyDescent="0.3">
      <c r="A78" t="s">
        <v>45</v>
      </c>
      <c r="B78" t="s">
        <v>40</v>
      </c>
      <c r="C78">
        <v>111</v>
      </c>
      <c r="D78">
        <v>20</v>
      </c>
      <c r="E78">
        <v>10</v>
      </c>
      <c r="F78">
        <v>150</v>
      </c>
      <c r="G78">
        <v>2.165699657285534</v>
      </c>
      <c r="H78">
        <v>32</v>
      </c>
      <c r="I78">
        <v>0</v>
      </c>
      <c r="J78">
        <v>6.38</v>
      </c>
      <c r="L78">
        <v>9.5</v>
      </c>
      <c r="N78">
        <v>23</v>
      </c>
      <c r="O78">
        <v>48.89</v>
      </c>
      <c r="P78">
        <v>8.08</v>
      </c>
      <c r="Q78">
        <v>42.49</v>
      </c>
      <c r="R78">
        <v>65.28</v>
      </c>
      <c r="S78">
        <v>16.100000000000001</v>
      </c>
      <c r="T78">
        <v>1.2</v>
      </c>
      <c r="U78">
        <v>-1</v>
      </c>
      <c r="V78">
        <v>58.43</v>
      </c>
      <c r="X78" t="s">
        <v>143</v>
      </c>
      <c r="Z78" t="s">
        <v>143</v>
      </c>
    </row>
    <row r="79" spans="1:26" x14ac:dyDescent="0.3">
      <c r="B79" t="s">
        <v>40</v>
      </c>
      <c r="C79">
        <v>111</v>
      </c>
      <c r="D79">
        <v>20</v>
      </c>
      <c r="E79">
        <v>10</v>
      </c>
      <c r="F79">
        <v>150</v>
      </c>
      <c r="G79">
        <v>2.165699657285534</v>
      </c>
      <c r="H79">
        <v>32</v>
      </c>
      <c r="I79">
        <v>0</v>
      </c>
      <c r="J79">
        <v>6.51</v>
      </c>
      <c r="O79">
        <v>48.7</v>
      </c>
      <c r="P79">
        <v>8.08</v>
      </c>
      <c r="Q79">
        <v>42.19</v>
      </c>
      <c r="R79">
        <v>64.94</v>
      </c>
      <c r="S79">
        <v>16.600000000000001</v>
      </c>
      <c r="T79">
        <v>1</v>
      </c>
      <c r="U79">
        <v>-1</v>
      </c>
      <c r="V79">
        <v>58.43</v>
      </c>
      <c r="X79" t="s">
        <v>143</v>
      </c>
      <c r="Z79" t="s">
        <v>143</v>
      </c>
    </row>
    <row r="80" spans="1:26" x14ac:dyDescent="0.3">
      <c r="B80" t="s">
        <v>40</v>
      </c>
      <c r="C80">
        <v>111</v>
      </c>
      <c r="D80">
        <v>20</v>
      </c>
      <c r="E80">
        <v>10</v>
      </c>
      <c r="F80">
        <v>150</v>
      </c>
      <c r="G80">
        <v>2.165699657285534</v>
      </c>
      <c r="H80">
        <v>32</v>
      </c>
      <c r="I80">
        <v>0</v>
      </c>
      <c r="J80">
        <v>6.47</v>
      </c>
      <c r="O80">
        <v>48.71</v>
      </c>
      <c r="P80">
        <v>8.07</v>
      </c>
      <c r="Q80">
        <v>42.19</v>
      </c>
      <c r="R80">
        <v>64.94</v>
      </c>
      <c r="S80">
        <v>16.899999999999999</v>
      </c>
      <c r="T80">
        <v>1</v>
      </c>
      <c r="U80">
        <v>-1</v>
      </c>
      <c r="V80">
        <v>58.43</v>
      </c>
      <c r="X80" t="s">
        <v>143</v>
      </c>
      <c r="Z80" t="s">
        <v>143</v>
      </c>
    </row>
    <row r="81" spans="2:26" x14ac:dyDescent="0.3">
      <c r="B81" t="s">
        <v>41</v>
      </c>
      <c r="C81">
        <v>111</v>
      </c>
      <c r="D81">
        <v>20</v>
      </c>
      <c r="E81">
        <v>10</v>
      </c>
      <c r="F81">
        <v>150</v>
      </c>
      <c r="G81">
        <v>2.165699657285534</v>
      </c>
      <c r="H81">
        <v>32</v>
      </c>
      <c r="I81">
        <v>0</v>
      </c>
      <c r="J81">
        <v>6.83</v>
      </c>
      <c r="L81">
        <v>5.5</v>
      </c>
      <c r="N81">
        <v>20</v>
      </c>
      <c r="O81">
        <v>52.34</v>
      </c>
      <c r="P81">
        <v>6.8</v>
      </c>
      <c r="Q81">
        <v>39.840000000000003</v>
      </c>
      <c r="R81">
        <v>66.14</v>
      </c>
      <c r="S81">
        <v>13.4</v>
      </c>
      <c r="T81">
        <v>1.5</v>
      </c>
      <c r="U81">
        <v>-2</v>
      </c>
      <c r="V81">
        <v>59.33</v>
      </c>
      <c r="X81" t="s">
        <v>143</v>
      </c>
      <c r="Z81" t="s">
        <v>143</v>
      </c>
    </row>
    <row r="82" spans="2:26" x14ac:dyDescent="0.3">
      <c r="B82" t="s">
        <v>41</v>
      </c>
      <c r="C82">
        <v>111</v>
      </c>
      <c r="D82">
        <v>20</v>
      </c>
      <c r="E82">
        <v>10</v>
      </c>
      <c r="F82">
        <v>150</v>
      </c>
      <c r="G82">
        <v>2.165699657285534</v>
      </c>
      <c r="H82">
        <v>32</v>
      </c>
      <c r="I82">
        <v>0</v>
      </c>
      <c r="J82">
        <v>6.79</v>
      </c>
      <c r="O82">
        <v>52.32</v>
      </c>
      <c r="P82">
        <v>6.79</v>
      </c>
      <c r="Q82">
        <v>39.950000000000003</v>
      </c>
      <c r="R82">
        <v>66.180000000000007</v>
      </c>
      <c r="S82">
        <v>13.5</v>
      </c>
      <c r="T82">
        <v>1.6</v>
      </c>
      <c r="U82">
        <v>-2</v>
      </c>
      <c r="V82">
        <v>59.33</v>
      </c>
      <c r="X82" t="s">
        <v>143</v>
      </c>
      <c r="Z82" t="s">
        <v>143</v>
      </c>
    </row>
    <row r="83" spans="2:26" x14ac:dyDescent="0.3">
      <c r="B83" t="s">
        <v>41</v>
      </c>
      <c r="C83">
        <v>111</v>
      </c>
      <c r="D83">
        <v>20</v>
      </c>
      <c r="E83">
        <v>10</v>
      </c>
      <c r="F83">
        <v>150</v>
      </c>
      <c r="G83">
        <v>2.165699657285534</v>
      </c>
      <c r="H83">
        <v>32</v>
      </c>
      <c r="I83">
        <v>0</v>
      </c>
      <c r="J83">
        <v>6.74</v>
      </c>
      <c r="O83">
        <v>52.33</v>
      </c>
      <c r="P83">
        <v>6.8</v>
      </c>
      <c r="Q83">
        <v>39.880000000000003</v>
      </c>
      <c r="R83">
        <v>66.14</v>
      </c>
      <c r="S83">
        <v>13.9</v>
      </c>
      <c r="T83">
        <v>1.5</v>
      </c>
      <c r="U83">
        <v>-4</v>
      </c>
      <c r="V83">
        <v>59.33</v>
      </c>
      <c r="X83" t="s">
        <v>143</v>
      </c>
      <c r="Z83" t="s">
        <v>143</v>
      </c>
    </row>
    <row r="84" spans="2:26" x14ac:dyDescent="0.3">
      <c r="B84" t="s">
        <v>42</v>
      </c>
      <c r="C84">
        <v>111</v>
      </c>
      <c r="D84">
        <v>20</v>
      </c>
      <c r="E84">
        <v>10</v>
      </c>
      <c r="F84">
        <v>150</v>
      </c>
      <c r="G84">
        <v>2.165699657285534</v>
      </c>
      <c r="H84">
        <v>32</v>
      </c>
      <c r="I84">
        <v>10</v>
      </c>
      <c r="J84">
        <v>6.1</v>
      </c>
      <c r="L84">
        <v>4.5</v>
      </c>
      <c r="O84">
        <v>47.31</v>
      </c>
      <c r="P84">
        <v>8.91</v>
      </c>
      <c r="Q84">
        <v>40.619999999999997</v>
      </c>
      <c r="R84">
        <v>62.99</v>
      </c>
      <c r="S84">
        <v>11.2</v>
      </c>
      <c r="T84">
        <v>3</v>
      </c>
      <c r="U84">
        <v>-9</v>
      </c>
      <c r="V84">
        <v>57.77</v>
      </c>
      <c r="X84" t="s">
        <v>143</v>
      </c>
      <c r="Z84" t="s">
        <v>143</v>
      </c>
    </row>
    <row r="85" spans="2:26" x14ac:dyDescent="0.3">
      <c r="B85" t="s">
        <v>42</v>
      </c>
      <c r="C85">
        <v>111</v>
      </c>
      <c r="D85">
        <v>20</v>
      </c>
      <c r="E85">
        <v>10</v>
      </c>
      <c r="F85">
        <v>150</v>
      </c>
      <c r="G85">
        <v>2.165699657285534</v>
      </c>
      <c r="H85">
        <v>32</v>
      </c>
      <c r="I85">
        <v>10</v>
      </c>
      <c r="J85">
        <v>6.11</v>
      </c>
      <c r="O85">
        <v>47.29</v>
      </c>
      <c r="P85">
        <v>8.86</v>
      </c>
      <c r="Q85">
        <v>40.99</v>
      </c>
      <c r="R85">
        <v>63.2</v>
      </c>
      <c r="S85">
        <v>16.100000000000001</v>
      </c>
      <c r="T85">
        <v>1.3</v>
      </c>
      <c r="U85">
        <v>-2</v>
      </c>
      <c r="V85">
        <v>57.77</v>
      </c>
      <c r="X85" t="s">
        <v>143</v>
      </c>
      <c r="Z85" t="s">
        <v>143</v>
      </c>
    </row>
    <row r="86" spans="2:26" x14ac:dyDescent="0.3">
      <c r="B86" t="s">
        <v>42</v>
      </c>
      <c r="C86">
        <v>111</v>
      </c>
      <c r="D86">
        <v>20</v>
      </c>
      <c r="E86">
        <v>10</v>
      </c>
      <c r="F86">
        <v>150</v>
      </c>
      <c r="G86">
        <v>2.165699657285534</v>
      </c>
      <c r="H86">
        <v>32</v>
      </c>
      <c r="I86">
        <v>10</v>
      </c>
      <c r="J86">
        <v>6.36</v>
      </c>
      <c r="O86">
        <v>47.3</v>
      </c>
      <c r="P86">
        <v>8.85</v>
      </c>
      <c r="Q86">
        <v>40.99</v>
      </c>
      <c r="R86">
        <v>63.21</v>
      </c>
      <c r="S86">
        <v>14.7</v>
      </c>
      <c r="T86">
        <v>1.9</v>
      </c>
      <c r="U86">
        <v>-5</v>
      </c>
      <c r="V86">
        <v>57.77</v>
      </c>
      <c r="X86" t="s">
        <v>143</v>
      </c>
      <c r="Z86" t="s">
        <v>143</v>
      </c>
    </row>
    <row r="87" spans="2:26" x14ac:dyDescent="0.3">
      <c r="B87" t="s">
        <v>43</v>
      </c>
      <c r="C87">
        <v>0</v>
      </c>
      <c r="D87">
        <v>0</v>
      </c>
      <c r="E87">
        <v>0</v>
      </c>
      <c r="F87">
        <v>150</v>
      </c>
      <c r="G87">
        <v>0</v>
      </c>
      <c r="H87">
        <v>32</v>
      </c>
      <c r="I87">
        <v>0</v>
      </c>
      <c r="J87">
        <v>6.57</v>
      </c>
      <c r="L87">
        <v>9.5</v>
      </c>
      <c r="N87">
        <v>70</v>
      </c>
      <c r="O87">
        <v>48.72</v>
      </c>
      <c r="P87">
        <v>8.8800000000000008</v>
      </c>
      <c r="Q87">
        <v>44.4</v>
      </c>
      <c r="R87">
        <v>66.510000000000005</v>
      </c>
      <c r="S87">
        <v>19.2</v>
      </c>
      <c r="T87">
        <v>0.2</v>
      </c>
      <c r="U87">
        <v>-5</v>
      </c>
      <c r="V87">
        <v>55.11</v>
      </c>
      <c r="X87" t="s">
        <v>143</v>
      </c>
      <c r="Z87" t="s">
        <v>143</v>
      </c>
    </row>
    <row r="88" spans="2:26" x14ac:dyDescent="0.3">
      <c r="B88" t="s">
        <v>43</v>
      </c>
      <c r="C88">
        <v>0</v>
      </c>
      <c r="D88">
        <v>0</v>
      </c>
      <c r="E88">
        <v>0</v>
      </c>
      <c r="F88">
        <v>150</v>
      </c>
      <c r="G88">
        <v>0</v>
      </c>
      <c r="H88">
        <v>32</v>
      </c>
      <c r="I88">
        <v>0</v>
      </c>
      <c r="J88">
        <v>6.54</v>
      </c>
      <c r="O88">
        <v>48.71</v>
      </c>
      <c r="P88">
        <v>8.9</v>
      </c>
      <c r="Q88">
        <v>44.4</v>
      </c>
      <c r="R88">
        <v>66.5</v>
      </c>
      <c r="S88">
        <v>19.2</v>
      </c>
      <c r="T88">
        <v>0.1</v>
      </c>
      <c r="U88">
        <v>-10</v>
      </c>
      <c r="V88">
        <v>55.11</v>
      </c>
      <c r="X88" t="s">
        <v>143</v>
      </c>
      <c r="Z88" t="s">
        <v>143</v>
      </c>
    </row>
    <row r="89" spans="2:26" x14ac:dyDescent="0.3">
      <c r="B89" t="s">
        <v>43</v>
      </c>
      <c r="C89">
        <v>0</v>
      </c>
      <c r="D89">
        <v>0</v>
      </c>
      <c r="E89">
        <v>0</v>
      </c>
      <c r="F89">
        <v>150</v>
      </c>
      <c r="G89">
        <v>0</v>
      </c>
      <c r="H89">
        <v>32</v>
      </c>
      <c r="I89">
        <v>0</v>
      </c>
      <c r="J89">
        <v>6.42</v>
      </c>
      <c r="O89">
        <v>48.71</v>
      </c>
      <c r="P89">
        <v>8.8800000000000008</v>
      </c>
      <c r="Q89">
        <v>44.34</v>
      </c>
      <c r="R89">
        <v>66.47</v>
      </c>
      <c r="S89">
        <v>19.2</v>
      </c>
      <c r="T89">
        <v>0.1</v>
      </c>
      <c r="U89">
        <v>-9</v>
      </c>
      <c r="V89">
        <v>55.11</v>
      </c>
      <c r="X89" t="s">
        <v>143</v>
      </c>
      <c r="Z89" t="s">
        <v>143</v>
      </c>
    </row>
    <row r="90" spans="2:26" x14ac:dyDescent="0.3">
      <c r="B90" t="s">
        <v>44</v>
      </c>
      <c r="C90">
        <v>111</v>
      </c>
      <c r="D90">
        <v>20</v>
      </c>
      <c r="E90">
        <v>10</v>
      </c>
      <c r="F90">
        <v>150</v>
      </c>
      <c r="G90">
        <v>2.165699657285534</v>
      </c>
      <c r="H90">
        <v>32</v>
      </c>
      <c r="I90">
        <v>10</v>
      </c>
      <c r="J90">
        <v>6.95</v>
      </c>
      <c r="O90">
        <v>49.88</v>
      </c>
      <c r="P90">
        <v>8.7899999999999991</v>
      </c>
      <c r="Q90">
        <v>43.23</v>
      </c>
      <c r="R90">
        <v>66.59</v>
      </c>
      <c r="S90">
        <v>2.0499999999999998</v>
      </c>
      <c r="T90">
        <v>4.4000000000000004</v>
      </c>
      <c r="U90">
        <v>-12</v>
      </c>
      <c r="V90">
        <v>54.88</v>
      </c>
      <c r="X90" t="s">
        <v>143</v>
      </c>
      <c r="Z90" t="s">
        <v>143</v>
      </c>
    </row>
    <row r="91" spans="2:26" x14ac:dyDescent="0.3">
      <c r="B91" t="s">
        <v>44</v>
      </c>
      <c r="C91">
        <v>111</v>
      </c>
      <c r="D91">
        <v>20</v>
      </c>
      <c r="E91">
        <v>10</v>
      </c>
      <c r="F91">
        <v>150</v>
      </c>
      <c r="G91">
        <v>2.165699657285534</v>
      </c>
      <c r="H91">
        <v>32</v>
      </c>
      <c r="I91">
        <v>10</v>
      </c>
      <c r="J91">
        <v>6.9</v>
      </c>
      <c r="O91">
        <v>49.76</v>
      </c>
      <c r="P91">
        <v>8.83</v>
      </c>
      <c r="Q91">
        <v>43.15</v>
      </c>
      <c r="R91">
        <v>66.45</v>
      </c>
      <c r="S91">
        <v>2.11</v>
      </c>
      <c r="T91">
        <v>4.4000000000000004</v>
      </c>
      <c r="U91">
        <v>-16</v>
      </c>
      <c r="V91">
        <v>54.88</v>
      </c>
      <c r="X91" t="s">
        <v>143</v>
      </c>
      <c r="Z91" t="s">
        <v>143</v>
      </c>
    </row>
    <row r="92" spans="2:26" x14ac:dyDescent="0.3">
      <c r="B92" t="s">
        <v>44</v>
      </c>
      <c r="C92">
        <v>111</v>
      </c>
      <c r="D92">
        <v>20</v>
      </c>
      <c r="E92">
        <v>10</v>
      </c>
      <c r="F92">
        <v>150</v>
      </c>
      <c r="G92">
        <v>2.165699657285534</v>
      </c>
      <c r="H92">
        <v>32</v>
      </c>
      <c r="I92">
        <v>10</v>
      </c>
      <c r="J92">
        <v>6.94</v>
      </c>
      <c r="O92">
        <v>49.77</v>
      </c>
      <c r="P92">
        <v>8.81</v>
      </c>
      <c r="Q92">
        <v>43.16</v>
      </c>
      <c r="R92">
        <v>66.459999999999994</v>
      </c>
      <c r="S92">
        <v>2.15</v>
      </c>
      <c r="T92">
        <v>4.5</v>
      </c>
      <c r="U92">
        <v>-20</v>
      </c>
      <c r="V92">
        <v>54.88</v>
      </c>
      <c r="X92" t="s">
        <v>143</v>
      </c>
      <c r="Z92" t="s">
        <v>143</v>
      </c>
    </row>
    <row r="93" spans="2:26" x14ac:dyDescent="0.3">
      <c r="B93" t="s">
        <v>153</v>
      </c>
      <c r="C93">
        <v>0</v>
      </c>
      <c r="D93">
        <v>0</v>
      </c>
      <c r="E93">
        <v>0</v>
      </c>
      <c r="F93">
        <v>150</v>
      </c>
      <c r="G93">
        <v>0</v>
      </c>
      <c r="H93">
        <v>32</v>
      </c>
      <c r="I93">
        <v>10</v>
      </c>
    </row>
    <row r="94" spans="2:26" x14ac:dyDescent="0.3">
      <c r="B94" t="s">
        <v>153</v>
      </c>
      <c r="C94">
        <v>0</v>
      </c>
      <c r="D94">
        <v>0</v>
      </c>
      <c r="E94">
        <v>0</v>
      </c>
      <c r="F94">
        <v>150</v>
      </c>
      <c r="G94">
        <v>0</v>
      </c>
      <c r="H94">
        <v>32</v>
      </c>
      <c r="I94">
        <v>10</v>
      </c>
    </row>
    <row r="95" spans="2:26" x14ac:dyDescent="0.3">
      <c r="B95" t="s">
        <v>153</v>
      </c>
      <c r="C95">
        <v>0</v>
      </c>
      <c r="D95">
        <v>0</v>
      </c>
      <c r="E95">
        <v>0</v>
      </c>
      <c r="F95">
        <v>150</v>
      </c>
      <c r="G95">
        <v>0</v>
      </c>
      <c r="H95">
        <v>32</v>
      </c>
      <c r="I95">
        <v>10</v>
      </c>
    </row>
    <row r="97" spans="1:26" x14ac:dyDescent="0.3">
      <c r="A97" t="s">
        <v>46</v>
      </c>
      <c r="B97" t="s">
        <v>47</v>
      </c>
      <c r="C97">
        <v>111</v>
      </c>
      <c r="D97">
        <v>20</v>
      </c>
      <c r="E97">
        <v>20</v>
      </c>
      <c r="F97">
        <v>150</v>
      </c>
      <c r="G97">
        <v>3.7842329580757164</v>
      </c>
      <c r="H97">
        <v>32</v>
      </c>
      <c r="I97">
        <v>0</v>
      </c>
      <c r="J97">
        <v>6.26</v>
      </c>
      <c r="N97">
        <v>11</v>
      </c>
      <c r="O97">
        <v>49.95</v>
      </c>
      <c r="P97">
        <v>9.52</v>
      </c>
      <c r="Q97">
        <v>46.99</v>
      </c>
      <c r="R97">
        <v>69.239999999999995</v>
      </c>
      <c r="S97">
        <v>13.7</v>
      </c>
      <c r="T97">
        <v>2</v>
      </c>
      <c r="U97">
        <v>-2</v>
      </c>
      <c r="V97">
        <v>63.31</v>
      </c>
      <c r="X97" t="s">
        <v>143</v>
      </c>
      <c r="Z97" t="s">
        <v>143</v>
      </c>
    </row>
    <row r="98" spans="1:26" x14ac:dyDescent="0.3">
      <c r="B98" t="s">
        <v>47</v>
      </c>
      <c r="C98">
        <v>111</v>
      </c>
      <c r="D98">
        <v>20</v>
      </c>
      <c r="E98">
        <v>20</v>
      </c>
      <c r="F98">
        <v>150</v>
      </c>
      <c r="G98">
        <v>3.7842329580757164</v>
      </c>
      <c r="H98">
        <v>32</v>
      </c>
      <c r="I98">
        <v>0</v>
      </c>
      <c r="J98">
        <v>6.13</v>
      </c>
      <c r="O98">
        <v>49.97</v>
      </c>
      <c r="P98">
        <v>9.52</v>
      </c>
      <c r="Q98">
        <v>46.98</v>
      </c>
      <c r="R98">
        <v>69.239999999999995</v>
      </c>
      <c r="S98">
        <v>13.6</v>
      </c>
      <c r="T98">
        <v>2</v>
      </c>
      <c r="U98">
        <v>-4</v>
      </c>
      <c r="V98">
        <v>63.31</v>
      </c>
      <c r="X98" t="s">
        <v>143</v>
      </c>
      <c r="Z98" t="s">
        <v>143</v>
      </c>
    </row>
    <row r="99" spans="1:26" x14ac:dyDescent="0.3">
      <c r="B99" t="s">
        <v>47</v>
      </c>
      <c r="C99">
        <v>111</v>
      </c>
      <c r="D99">
        <v>20</v>
      </c>
      <c r="E99">
        <v>20</v>
      </c>
      <c r="F99">
        <v>150</v>
      </c>
      <c r="G99">
        <v>3.7842329580757164</v>
      </c>
      <c r="H99">
        <v>32</v>
      </c>
      <c r="I99">
        <v>0</v>
      </c>
      <c r="J99">
        <v>6.2</v>
      </c>
      <c r="O99">
        <v>49.97</v>
      </c>
      <c r="P99">
        <v>9.51</v>
      </c>
      <c r="Q99">
        <v>47.02</v>
      </c>
      <c r="R99">
        <v>69.27</v>
      </c>
      <c r="S99">
        <v>13.5</v>
      </c>
      <c r="T99">
        <v>2</v>
      </c>
      <c r="U99">
        <v>-8</v>
      </c>
      <c r="V99">
        <v>63.31</v>
      </c>
      <c r="X99" t="s">
        <v>143</v>
      </c>
      <c r="Z99" t="s">
        <v>143</v>
      </c>
    </row>
    <row r="100" spans="1:26" x14ac:dyDescent="0.3">
      <c r="B100" t="s">
        <v>48</v>
      </c>
      <c r="C100">
        <v>111</v>
      </c>
      <c r="D100">
        <v>20</v>
      </c>
      <c r="E100">
        <v>20</v>
      </c>
      <c r="F100">
        <v>150</v>
      </c>
      <c r="G100">
        <v>3.7842329580757164</v>
      </c>
      <c r="H100">
        <v>32</v>
      </c>
      <c r="I100">
        <v>0</v>
      </c>
      <c r="J100">
        <v>6.24</v>
      </c>
      <c r="N100">
        <v>9</v>
      </c>
      <c r="O100">
        <v>51.02</v>
      </c>
      <c r="P100">
        <v>8.66</v>
      </c>
      <c r="Q100">
        <v>41.13</v>
      </c>
      <c r="R100">
        <v>66.099999999999994</v>
      </c>
      <c r="S100">
        <v>10.55</v>
      </c>
      <c r="T100">
        <v>2.2000000000000002</v>
      </c>
      <c r="U100">
        <v>0</v>
      </c>
      <c r="V100">
        <v>64.73</v>
      </c>
      <c r="X100" t="s">
        <v>143</v>
      </c>
      <c r="Z100" t="s">
        <v>143</v>
      </c>
    </row>
    <row r="101" spans="1:26" x14ac:dyDescent="0.3">
      <c r="B101" t="s">
        <v>48</v>
      </c>
      <c r="C101">
        <v>111</v>
      </c>
      <c r="D101">
        <v>20</v>
      </c>
      <c r="E101">
        <v>20</v>
      </c>
      <c r="F101">
        <v>150</v>
      </c>
      <c r="G101">
        <v>3.7842329580757164</v>
      </c>
      <c r="H101">
        <v>32</v>
      </c>
      <c r="I101">
        <v>0</v>
      </c>
      <c r="J101">
        <v>6.17</v>
      </c>
      <c r="O101">
        <v>51.02</v>
      </c>
      <c r="P101">
        <v>8.68</v>
      </c>
      <c r="Q101">
        <v>41.12</v>
      </c>
      <c r="R101">
        <v>66.099999999999994</v>
      </c>
      <c r="S101">
        <v>10.5</v>
      </c>
      <c r="T101">
        <v>2.2999999999999998</v>
      </c>
      <c r="U101">
        <v>-2</v>
      </c>
      <c r="V101">
        <v>64.73</v>
      </c>
      <c r="X101" t="s">
        <v>143</v>
      </c>
      <c r="Z101" t="s">
        <v>143</v>
      </c>
    </row>
    <row r="102" spans="1:26" x14ac:dyDescent="0.3">
      <c r="B102" t="s">
        <v>48</v>
      </c>
      <c r="C102">
        <v>111</v>
      </c>
      <c r="D102">
        <v>20</v>
      </c>
      <c r="E102">
        <v>20</v>
      </c>
      <c r="F102">
        <v>150</v>
      </c>
      <c r="G102">
        <v>3.7842329580757164</v>
      </c>
      <c r="H102">
        <v>32</v>
      </c>
      <c r="I102">
        <v>0</v>
      </c>
      <c r="J102">
        <v>6.2</v>
      </c>
      <c r="O102">
        <v>51.01</v>
      </c>
      <c r="P102">
        <v>8.6999999999999993</v>
      </c>
      <c r="Q102">
        <v>41.14</v>
      </c>
      <c r="R102">
        <v>66.11</v>
      </c>
      <c r="S102">
        <v>16.399999999999999</v>
      </c>
      <c r="T102">
        <v>0.9</v>
      </c>
      <c r="U102">
        <v>-1</v>
      </c>
      <c r="V102">
        <v>64.73</v>
      </c>
      <c r="X102" t="s">
        <v>143</v>
      </c>
      <c r="Z102" t="s">
        <v>143</v>
      </c>
    </row>
    <row r="103" spans="1:26" x14ac:dyDescent="0.3">
      <c r="B103" t="s">
        <v>49</v>
      </c>
      <c r="C103">
        <v>111</v>
      </c>
      <c r="D103">
        <v>20</v>
      </c>
      <c r="E103">
        <v>20</v>
      </c>
      <c r="F103">
        <v>150</v>
      </c>
      <c r="G103">
        <v>3.7842329580757164</v>
      </c>
      <c r="H103">
        <v>32</v>
      </c>
      <c r="I103">
        <v>10</v>
      </c>
      <c r="J103">
        <v>6.98</v>
      </c>
      <c r="L103">
        <v>17.5</v>
      </c>
      <c r="S103">
        <v>4.5199999999999996</v>
      </c>
      <c r="T103">
        <v>3</v>
      </c>
      <c r="U103">
        <v>-13</v>
      </c>
      <c r="V103">
        <v>66.02</v>
      </c>
      <c r="X103" t="s">
        <v>143</v>
      </c>
      <c r="Z103" t="s">
        <v>143</v>
      </c>
    </row>
    <row r="104" spans="1:26" x14ac:dyDescent="0.3">
      <c r="B104" t="s">
        <v>49</v>
      </c>
      <c r="C104">
        <v>111</v>
      </c>
      <c r="D104">
        <v>20</v>
      </c>
      <c r="E104">
        <v>20</v>
      </c>
      <c r="F104">
        <v>150</v>
      </c>
      <c r="G104">
        <v>3.7842329580757164</v>
      </c>
      <c r="H104">
        <v>32</v>
      </c>
      <c r="I104">
        <v>10</v>
      </c>
      <c r="J104">
        <v>6.95</v>
      </c>
      <c r="S104">
        <v>5.3</v>
      </c>
      <c r="T104">
        <v>3</v>
      </c>
      <c r="U104">
        <v>-19</v>
      </c>
      <c r="V104">
        <v>66.02</v>
      </c>
      <c r="X104" t="s">
        <v>143</v>
      </c>
      <c r="Z104" t="s">
        <v>143</v>
      </c>
    </row>
    <row r="105" spans="1:26" x14ac:dyDescent="0.3">
      <c r="B105" t="s">
        <v>49</v>
      </c>
      <c r="C105">
        <v>111</v>
      </c>
      <c r="D105">
        <v>20</v>
      </c>
      <c r="E105">
        <v>20</v>
      </c>
      <c r="F105">
        <v>150</v>
      </c>
      <c r="G105">
        <v>3.7842329580757164</v>
      </c>
      <c r="H105">
        <v>32</v>
      </c>
      <c r="I105">
        <v>10</v>
      </c>
      <c r="J105">
        <v>6.92</v>
      </c>
      <c r="S105">
        <v>5.72</v>
      </c>
      <c r="T105">
        <v>2.9</v>
      </c>
      <c r="U105">
        <v>-23</v>
      </c>
      <c r="V105">
        <v>66.02</v>
      </c>
      <c r="X105" t="s">
        <v>143</v>
      </c>
      <c r="Z105" t="s">
        <v>143</v>
      </c>
    </row>
    <row r="106" spans="1:26" x14ac:dyDescent="0.3">
      <c r="B106" t="s">
        <v>50</v>
      </c>
      <c r="C106">
        <v>0</v>
      </c>
      <c r="D106">
        <v>0</v>
      </c>
      <c r="E106">
        <v>0</v>
      </c>
      <c r="F106">
        <v>150</v>
      </c>
      <c r="G106">
        <v>0</v>
      </c>
      <c r="H106">
        <v>32</v>
      </c>
      <c r="I106">
        <v>0</v>
      </c>
      <c r="J106">
        <v>6.64</v>
      </c>
      <c r="N106">
        <v>50</v>
      </c>
      <c r="O106">
        <v>50.67</v>
      </c>
      <c r="P106">
        <v>8.7799999999999994</v>
      </c>
      <c r="Q106">
        <v>47.38</v>
      </c>
      <c r="R106">
        <v>69.930000000000007</v>
      </c>
      <c r="S106">
        <v>18.899999999999999</v>
      </c>
      <c r="T106">
        <v>0.1</v>
      </c>
      <c r="U106">
        <v>-2</v>
      </c>
      <c r="V106">
        <v>68.77</v>
      </c>
      <c r="X106" t="s">
        <v>143</v>
      </c>
      <c r="Z106" t="s">
        <v>143</v>
      </c>
    </row>
    <row r="107" spans="1:26" x14ac:dyDescent="0.3">
      <c r="B107" t="s">
        <v>50</v>
      </c>
      <c r="C107">
        <v>0</v>
      </c>
      <c r="D107">
        <v>0</v>
      </c>
      <c r="E107">
        <v>0</v>
      </c>
      <c r="F107">
        <v>150</v>
      </c>
      <c r="G107">
        <v>0</v>
      </c>
      <c r="H107">
        <v>32</v>
      </c>
      <c r="I107">
        <v>0</v>
      </c>
      <c r="J107">
        <v>6.92</v>
      </c>
      <c r="O107">
        <v>50.68</v>
      </c>
      <c r="P107">
        <v>8.77</v>
      </c>
      <c r="Q107">
        <v>47.4</v>
      </c>
      <c r="R107">
        <v>69.94</v>
      </c>
      <c r="S107">
        <v>19.2</v>
      </c>
      <c r="T107">
        <v>0</v>
      </c>
      <c r="U107">
        <v>-2</v>
      </c>
      <c r="V107">
        <v>65.69</v>
      </c>
      <c r="X107" t="s">
        <v>143</v>
      </c>
      <c r="Z107" t="s">
        <v>143</v>
      </c>
    </row>
    <row r="108" spans="1:26" x14ac:dyDescent="0.3">
      <c r="B108" t="s">
        <v>50</v>
      </c>
      <c r="C108">
        <v>0</v>
      </c>
      <c r="D108">
        <v>0</v>
      </c>
      <c r="E108">
        <v>0</v>
      </c>
      <c r="F108">
        <v>150</v>
      </c>
      <c r="G108">
        <v>0</v>
      </c>
      <c r="H108">
        <v>32</v>
      </c>
      <c r="I108">
        <v>0</v>
      </c>
      <c r="J108">
        <v>6.96</v>
      </c>
      <c r="O108">
        <v>50.67</v>
      </c>
      <c r="P108">
        <v>8.7799999999999994</v>
      </c>
      <c r="Q108">
        <v>47.38</v>
      </c>
      <c r="R108">
        <v>69.92</v>
      </c>
      <c r="S108">
        <v>19.399999999999999</v>
      </c>
      <c r="T108">
        <v>0</v>
      </c>
      <c r="U108">
        <v>-2</v>
      </c>
      <c r="V108">
        <v>65.69</v>
      </c>
      <c r="X108" t="s">
        <v>143</v>
      </c>
      <c r="Z108" t="s">
        <v>143</v>
      </c>
    </row>
    <row r="109" spans="1:26" x14ac:dyDescent="0.3">
      <c r="B109" t="s">
        <v>51</v>
      </c>
      <c r="C109">
        <v>111</v>
      </c>
      <c r="D109">
        <v>20</v>
      </c>
      <c r="E109">
        <v>20</v>
      </c>
      <c r="F109">
        <v>150</v>
      </c>
      <c r="G109">
        <v>3.7842329580757164</v>
      </c>
      <c r="H109">
        <v>32</v>
      </c>
      <c r="I109">
        <v>10</v>
      </c>
      <c r="J109">
        <v>6.96</v>
      </c>
      <c r="L109">
        <v>7.5</v>
      </c>
      <c r="N109" t="s">
        <v>73</v>
      </c>
      <c r="O109">
        <v>52.63</v>
      </c>
      <c r="P109">
        <v>7.76</v>
      </c>
      <c r="Q109">
        <v>40.43</v>
      </c>
      <c r="R109">
        <v>66.819999999999993</v>
      </c>
      <c r="S109">
        <v>1.35</v>
      </c>
      <c r="T109">
        <v>2.4</v>
      </c>
      <c r="U109">
        <v>-19</v>
      </c>
      <c r="V109">
        <v>58.09</v>
      </c>
    </row>
    <row r="110" spans="1:26" x14ac:dyDescent="0.3">
      <c r="B110" t="s">
        <v>51</v>
      </c>
      <c r="C110">
        <v>111</v>
      </c>
      <c r="D110">
        <v>20</v>
      </c>
      <c r="E110">
        <v>20</v>
      </c>
      <c r="F110">
        <v>150</v>
      </c>
      <c r="G110">
        <v>3.7842329580757164</v>
      </c>
      <c r="H110">
        <v>32</v>
      </c>
      <c r="I110">
        <v>10</v>
      </c>
      <c r="J110">
        <v>6.93</v>
      </c>
      <c r="N110" t="s">
        <v>73</v>
      </c>
      <c r="O110">
        <v>52.64</v>
      </c>
      <c r="P110">
        <v>7.77</v>
      </c>
      <c r="Q110">
        <v>40.340000000000003</v>
      </c>
      <c r="R110">
        <v>66.77</v>
      </c>
      <c r="S110">
        <v>6.93</v>
      </c>
      <c r="T110">
        <v>3</v>
      </c>
      <c r="U110">
        <v>-19</v>
      </c>
      <c r="V110">
        <v>58.09</v>
      </c>
    </row>
    <row r="111" spans="1:26" x14ac:dyDescent="0.3">
      <c r="B111" t="s">
        <v>51</v>
      </c>
      <c r="C111">
        <v>111</v>
      </c>
      <c r="D111">
        <v>20</v>
      </c>
      <c r="E111">
        <v>20</v>
      </c>
      <c r="F111">
        <v>150</v>
      </c>
      <c r="G111">
        <v>3.7842329580757164</v>
      </c>
      <c r="H111">
        <v>32</v>
      </c>
      <c r="I111">
        <v>10</v>
      </c>
      <c r="J111">
        <v>6.94</v>
      </c>
      <c r="N111" t="s">
        <v>73</v>
      </c>
      <c r="O111">
        <v>52.66</v>
      </c>
      <c r="P111">
        <v>7.77</v>
      </c>
      <c r="Q111">
        <v>40.44</v>
      </c>
      <c r="R111">
        <v>66.84</v>
      </c>
      <c r="S111">
        <v>4.0999999999999996</v>
      </c>
      <c r="T111">
        <v>2.8</v>
      </c>
      <c r="U111">
        <v>-11</v>
      </c>
      <c r="V111">
        <v>58.09</v>
      </c>
    </row>
    <row r="112" spans="1:26" x14ac:dyDescent="0.3">
      <c r="B112" t="s">
        <v>101</v>
      </c>
      <c r="C112">
        <v>0</v>
      </c>
      <c r="D112">
        <v>0</v>
      </c>
      <c r="E112">
        <v>0</v>
      </c>
      <c r="F112">
        <v>150</v>
      </c>
      <c r="G112">
        <v>0</v>
      </c>
      <c r="H112">
        <v>32</v>
      </c>
      <c r="I112">
        <v>10</v>
      </c>
      <c r="J112">
        <v>7.2</v>
      </c>
      <c r="L112">
        <v>6</v>
      </c>
      <c r="N112" t="s">
        <v>102</v>
      </c>
      <c r="O112">
        <v>59.51</v>
      </c>
      <c r="P112">
        <v>10.95</v>
      </c>
      <c r="Q112">
        <v>52.79</v>
      </c>
      <c r="R112">
        <v>80.3</v>
      </c>
      <c r="S112">
        <v>0</v>
      </c>
      <c r="T112">
        <v>68.099999999999994</v>
      </c>
      <c r="U112">
        <v>1</v>
      </c>
      <c r="V112">
        <v>66.430000000000007</v>
      </c>
    </row>
    <row r="113" spans="1:26" x14ac:dyDescent="0.3">
      <c r="B113" t="s">
        <v>101</v>
      </c>
      <c r="C113">
        <v>0</v>
      </c>
      <c r="D113">
        <v>0</v>
      </c>
      <c r="E113">
        <v>0</v>
      </c>
      <c r="F113">
        <v>150</v>
      </c>
      <c r="G113">
        <v>0</v>
      </c>
      <c r="H113">
        <v>32</v>
      </c>
      <c r="I113">
        <v>10</v>
      </c>
      <c r="J113">
        <v>6.8</v>
      </c>
      <c r="N113" t="s">
        <v>102</v>
      </c>
      <c r="O113">
        <v>59.46</v>
      </c>
      <c r="P113">
        <v>10.91</v>
      </c>
      <c r="Q113">
        <v>52.77</v>
      </c>
      <c r="R113">
        <v>80.25</v>
      </c>
      <c r="S113">
        <v>0</v>
      </c>
      <c r="T113">
        <v>68.599999999999994</v>
      </c>
      <c r="U113">
        <v>0</v>
      </c>
      <c r="V113">
        <v>66.430000000000007</v>
      </c>
    </row>
    <row r="114" spans="1:26" x14ac:dyDescent="0.3">
      <c r="B114" t="s">
        <v>101</v>
      </c>
      <c r="C114">
        <v>0</v>
      </c>
      <c r="D114">
        <v>0</v>
      </c>
      <c r="E114">
        <v>0</v>
      </c>
      <c r="F114">
        <v>150</v>
      </c>
      <c r="G114">
        <v>0</v>
      </c>
      <c r="H114">
        <v>32</v>
      </c>
      <c r="I114">
        <v>10</v>
      </c>
      <c r="J114">
        <v>6.89</v>
      </c>
      <c r="N114" t="s">
        <v>102</v>
      </c>
      <c r="O114">
        <v>59.44</v>
      </c>
      <c r="P114">
        <v>10.89</v>
      </c>
      <c r="Q114">
        <v>52.77</v>
      </c>
      <c r="R114">
        <v>80.25</v>
      </c>
      <c r="S114">
        <v>0</v>
      </c>
      <c r="T114">
        <v>69</v>
      </c>
      <c r="U114">
        <v>0</v>
      </c>
      <c r="V114">
        <v>66.430000000000007</v>
      </c>
    </row>
    <row r="116" spans="1:26" x14ac:dyDescent="0.3">
      <c r="A116" t="s">
        <v>75</v>
      </c>
      <c r="B116" t="s">
        <v>76</v>
      </c>
      <c r="C116">
        <v>111</v>
      </c>
      <c r="D116">
        <v>20</v>
      </c>
      <c r="E116">
        <v>30</v>
      </c>
      <c r="F116">
        <v>150</v>
      </c>
      <c r="G116">
        <v>5.0371374831543809</v>
      </c>
      <c r="H116">
        <v>32</v>
      </c>
      <c r="I116">
        <v>0</v>
      </c>
      <c r="J116">
        <v>6.26</v>
      </c>
      <c r="O116">
        <v>49.13</v>
      </c>
      <c r="P116">
        <v>8.3699999999999992</v>
      </c>
      <c r="Q116">
        <v>41.98</v>
      </c>
      <c r="R116">
        <v>65.16</v>
      </c>
      <c r="S116">
        <v>7.39</v>
      </c>
      <c r="T116">
        <v>3.5</v>
      </c>
      <c r="U116">
        <v>-5</v>
      </c>
      <c r="V116">
        <v>63.46</v>
      </c>
      <c r="X116" t="s">
        <v>143</v>
      </c>
      <c r="Z116" t="s">
        <v>143</v>
      </c>
    </row>
    <row r="117" spans="1:26" x14ac:dyDescent="0.3">
      <c r="B117" t="s">
        <v>76</v>
      </c>
      <c r="C117">
        <v>111</v>
      </c>
      <c r="D117">
        <v>20</v>
      </c>
      <c r="E117">
        <v>30</v>
      </c>
      <c r="F117">
        <v>150</v>
      </c>
      <c r="G117">
        <v>5.0371374831543809</v>
      </c>
      <c r="H117">
        <v>32</v>
      </c>
      <c r="I117">
        <v>0</v>
      </c>
      <c r="J117">
        <v>6.16</v>
      </c>
      <c r="O117">
        <v>49.35</v>
      </c>
      <c r="P117">
        <v>8.3699999999999992</v>
      </c>
      <c r="Q117">
        <v>41.73</v>
      </c>
      <c r="R117">
        <v>65.16</v>
      </c>
      <c r="S117">
        <v>7.51</v>
      </c>
      <c r="T117">
        <v>3.5</v>
      </c>
      <c r="U117">
        <v>-6</v>
      </c>
      <c r="V117">
        <v>63.46</v>
      </c>
      <c r="X117" t="s">
        <v>143</v>
      </c>
      <c r="Z117" t="s">
        <v>143</v>
      </c>
    </row>
    <row r="118" spans="1:26" x14ac:dyDescent="0.3">
      <c r="B118" t="s">
        <v>76</v>
      </c>
      <c r="C118">
        <v>111</v>
      </c>
      <c r="D118">
        <v>20</v>
      </c>
      <c r="E118">
        <v>30</v>
      </c>
      <c r="F118">
        <v>150</v>
      </c>
      <c r="G118">
        <v>5.0371374831543809</v>
      </c>
      <c r="H118">
        <v>32</v>
      </c>
      <c r="I118">
        <v>0</v>
      </c>
      <c r="J118">
        <v>6.22</v>
      </c>
      <c r="O118">
        <v>49.39</v>
      </c>
      <c r="P118">
        <v>8.3699999999999992</v>
      </c>
      <c r="Q118">
        <v>41.81</v>
      </c>
      <c r="R118">
        <v>65.25</v>
      </c>
      <c r="S118">
        <v>7.62</v>
      </c>
      <c r="T118">
        <v>3.4</v>
      </c>
      <c r="U118">
        <v>-10</v>
      </c>
      <c r="V118">
        <v>63.46</v>
      </c>
      <c r="X118" t="s">
        <v>143</v>
      </c>
      <c r="Z118" t="s">
        <v>143</v>
      </c>
    </row>
    <row r="119" spans="1:26" x14ac:dyDescent="0.3">
      <c r="B119" t="s">
        <v>77</v>
      </c>
      <c r="C119">
        <v>111</v>
      </c>
      <c r="D119">
        <v>20</v>
      </c>
      <c r="E119">
        <v>30</v>
      </c>
      <c r="F119">
        <v>150</v>
      </c>
      <c r="G119">
        <v>5.0371374831543809</v>
      </c>
      <c r="H119">
        <v>32</v>
      </c>
      <c r="I119">
        <v>0</v>
      </c>
      <c r="J119">
        <v>6.88</v>
      </c>
      <c r="O119">
        <v>48.45</v>
      </c>
      <c r="P119">
        <v>9.82</v>
      </c>
      <c r="Q119">
        <v>42.41</v>
      </c>
      <c r="R119">
        <v>65.13</v>
      </c>
      <c r="S119">
        <v>11.8</v>
      </c>
      <c r="T119">
        <v>3.8</v>
      </c>
      <c r="U119">
        <v>-3</v>
      </c>
      <c r="V119">
        <v>61.98</v>
      </c>
      <c r="X119" t="s">
        <v>143</v>
      </c>
      <c r="Z119" t="s">
        <v>143</v>
      </c>
    </row>
    <row r="120" spans="1:26" x14ac:dyDescent="0.3">
      <c r="B120" t="s">
        <v>77</v>
      </c>
      <c r="C120">
        <v>111</v>
      </c>
      <c r="D120">
        <v>20</v>
      </c>
      <c r="E120">
        <v>30</v>
      </c>
      <c r="F120">
        <v>150</v>
      </c>
      <c r="G120">
        <v>5.0371374831543809</v>
      </c>
      <c r="H120">
        <v>32</v>
      </c>
      <c r="I120">
        <v>0</v>
      </c>
      <c r="J120">
        <v>6.76</v>
      </c>
      <c r="O120">
        <v>48.42</v>
      </c>
      <c r="P120">
        <v>9.84</v>
      </c>
      <c r="Q120">
        <v>42.58</v>
      </c>
      <c r="R120">
        <v>65.23</v>
      </c>
      <c r="S120">
        <v>5.4</v>
      </c>
      <c r="T120">
        <v>3.7</v>
      </c>
      <c r="U120">
        <v>-7</v>
      </c>
      <c r="V120">
        <v>61.98</v>
      </c>
      <c r="X120" t="s">
        <v>143</v>
      </c>
      <c r="Z120" t="s">
        <v>143</v>
      </c>
    </row>
    <row r="121" spans="1:26" x14ac:dyDescent="0.3">
      <c r="B121" t="s">
        <v>77</v>
      </c>
      <c r="C121">
        <v>111</v>
      </c>
      <c r="D121">
        <v>20</v>
      </c>
      <c r="E121">
        <v>30</v>
      </c>
      <c r="F121">
        <v>150</v>
      </c>
      <c r="G121">
        <v>5.0371374831543809</v>
      </c>
      <c r="H121">
        <v>32</v>
      </c>
      <c r="I121">
        <v>0</v>
      </c>
      <c r="J121">
        <v>6.62</v>
      </c>
      <c r="O121">
        <v>48.42</v>
      </c>
      <c r="P121">
        <v>9.81</v>
      </c>
      <c r="Q121">
        <v>42.6</v>
      </c>
      <c r="R121">
        <v>65.239999999999995</v>
      </c>
      <c r="S121">
        <v>5.82</v>
      </c>
      <c r="T121">
        <v>3.6</v>
      </c>
      <c r="U121">
        <v>-10</v>
      </c>
      <c r="V121">
        <v>61.98</v>
      </c>
      <c r="X121" t="s">
        <v>143</v>
      </c>
      <c r="Z121" t="s">
        <v>143</v>
      </c>
    </row>
    <row r="122" spans="1:26" x14ac:dyDescent="0.3">
      <c r="B122" t="s">
        <v>78</v>
      </c>
      <c r="C122">
        <v>111</v>
      </c>
      <c r="D122">
        <v>20</v>
      </c>
      <c r="E122">
        <v>30</v>
      </c>
      <c r="F122">
        <v>150</v>
      </c>
      <c r="G122">
        <v>5.0371374831543809</v>
      </c>
      <c r="H122">
        <v>32</v>
      </c>
      <c r="I122">
        <v>0</v>
      </c>
      <c r="X122" t="s">
        <v>143</v>
      </c>
      <c r="Z122" t="s">
        <v>143</v>
      </c>
    </row>
    <row r="123" spans="1:26" x14ac:dyDescent="0.3">
      <c r="B123" t="s">
        <v>78</v>
      </c>
      <c r="C123">
        <v>111</v>
      </c>
      <c r="D123">
        <v>20</v>
      </c>
      <c r="E123">
        <v>30</v>
      </c>
      <c r="F123">
        <v>150</v>
      </c>
      <c r="G123">
        <v>5.0371374831543809</v>
      </c>
      <c r="H123">
        <v>32</v>
      </c>
      <c r="I123">
        <v>0</v>
      </c>
      <c r="X123" t="s">
        <v>143</v>
      </c>
      <c r="Z123" t="s">
        <v>143</v>
      </c>
    </row>
    <row r="124" spans="1:26" x14ac:dyDescent="0.3">
      <c r="B124" t="s">
        <v>78</v>
      </c>
      <c r="C124">
        <v>111</v>
      </c>
      <c r="D124">
        <v>20</v>
      </c>
      <c r="E124">
        <v>30</v>
      </c>
      <c r="F124">
        <v>150</v>
      </c>
      <c r="G124">
        <v>5.0371374831543809</v>
      </c>
      <c r="H124">
        <v>32</v>
      </c>
      <c r="I124">
        <v>0</v>
      </c>
      <c r="X124" t="s">
        <v>143</v>
      </c>
      <c r="Z124" t="s">
        <v>143</v>
      </c>
    </row>
    <row r="125" spans="1:26" x14ac:dyDescent="0.3">
      <c r="B125" t="s">
        <v>79</v>
      </c>
      <c r="C125">
        <v>0</v>
      </c>
      <c r="D125">
        <v>0</v>
      </c>
      <c r="E125">
        <v>0</v>
      </c>
      <c r="F125">
        <v>150</v>
      </c>
      <c r="G125">
        <v>0</v>
      </c>
      <c r="H125">
        <v>32</v>
      </c>
      <c r="I125">
        <v>0</v>
      </c>
      <c r="J125">
        <v>6.4</v>
      </c>
      <c r="O125">
        <v>50.56</v>
      </c>
      <c r="P125">
        <v>11.03</v>
      </c>
      <c r="Q125">
        <v>53.34</v>
      </c>
      <c r="R125">
        <v>74.31</v>
      </c>
      <c r="S125">
        <v>17.5</v>
      </c>
      <c r="T125">
        <v>0.5</v>
      </c>
      <c r="U125">
        <v>-6</v>
      </c>
      <c r="V125">
        <v>57.28</v>
      </c>
      <c r="X125" t="s">
        <v>143</v>
      </c>
      <c r="Z125" t="s">
        <v>143</v>
      </c>
    </row>
    <row r="126" spans="1:26" x14ac:dyDescent="0.3">
      <c r="B126" t="s">
        <v>79</v>
      </c>
      <c r="C126">
        <v>0</v>
      </c>
      <c r="D126">
        <v>0</v>
      </c>
      <c r="E126">
        <v>0</v>
      </c>
      <c r="F126">
        <v>150</v>
      </c>
      <c r="G126">
        <v>0</v>
      </c>
      <c r="H126">
        <v>32</v>
      </c>
      <c r="I126">
        <v>0</v>
      </c>
      <c r="J126">
        <v>6.28</v>
      </c>
      <c r="O126">
        <v>50.6</v>
      </c>
      <c r="P126">
        <v>11</v>
      </c>
      <c r="Q126">
        <v>53.34</v>
      </c>
      <c r="R126">
        <v>74.34</v>
      </c>
      <c r="S126">
        <v>17.5</v>
      </c>
      <c r="T126">
        <v>0.4</v>
      </c>
      <c r="U126">
        <v>-12</v>
      </c>
      <c r="V126">
        <v>57.28</v>
      </c>
      <c r="X126" t="s">
        <v>143</v>
      </c>
      <c r="Z126" t="s">
        <v>143</v>
      </c>
    </row>
    <row r="127" spans="1:26" x14ac:dyDescent="0.3">
      <c r="B127" t="s">
        <v>79</v>
      </c>
      <c r="C127">
        <v>0</v>
      </c>
      <c r="D127">
        <v>0</v>
      </c>
      <c r="E127">
        <v>0</v>
      </c>
      <c r="F127">
        <v>150</v>
      </c>
      <c r="G127">
        <v>0</v>
      </c>
      <c r="H127">
        <v>32</v>
      </c>
      <c r="I127">
        <v>0</v>
      </c>
      <c r="J127">
        <v>6.21</v>
      </c>
      <c r="O127">
        <v>50.59</v>
      </c>
      <c r="P127">
        <v>11.03</v>
      </c>
      <c r="Q127">
        <v>53.26</v>
      </c>
      <c r="R127">
        <v>74.28</v>
      </c>
      <c r="S127">
        <v>17.600000000000001</v>
      </c>
      <c r="T127">
        <v>0.4</v>
      </c>
      <c r="U127">
        <v>1</v>
      </c>
      <c r="V127">
        <v>57.28</v>
      </c>
      <c r="X127" t="s">
        <v>143</v>
      </c>
      <c r="Z127" t="s">
        <v>143</v>
      </c>
    </row>
    <row r="128" spans="1:26" x14ac:dyDescent="0.3">
      <c r="B128" t="s">
        <v>151</v>
      </c>
      <c r="C128">
        <v>111</v>
      </c>
      <c r="D128">
        <v>20</v>
      </c>
      <c r="E128">
        <v>30</v>
      </c>
      <c r="F128">
        <v>150</v>
      </c>
      <c r="G128">
        <v>5.0371374831543809</v>
      </c>
      <c r="H128">
        <v>32</v>
      </c>
      <c r="I128">
        <v>10</v>
      </c>
    </row>
    <row r="129" spans="1:26" x14ac:dyDescent="0.3">
      <c r="B129" t="s">
        <v>151</v>
      </c>
      <c r="C129">
        <v>111</v>
      </c>
      <c r="D129">
        <v>20</v>
      </c>
      <c r="E129">
        <v>30</v>
      </c>
      <c r="F129">
        <v>150</v>
      </c>
      <c r="G129">
        <v>5.0371374831543809</v>
      </c>
      <c r="H129">
        <v>32</v>
      </c>
      <c r="I129">
        <v>10</v>
      </c>
    </row>
    <row r="130" spans="1:26" x14ac:dyDescent="0.3">
      <c r="B130" t="s">
        <v>151</v>
      </c>
      <c r="C130">
        <v>111</v>
      </c>
      <c r="D130">
        <v>20</v>
      </c>
      <c r="E130">
        <v>30</v>
      </c>
      <c r="F130">
        <v>150</v>
      </c>
      <c r="G130">
        <v>5.0371374831543809</v>
      </c>
      <c r="H130">
        <v>32</v>
      </c>
      <c r="I130">
        <v>10</v>
      </c>
    </row>
    <row r="131" spans="1:26" x14ac:dyDescent="0.3">
      <c r="B131" t="s">
        <v>152</v>
      </c>
      <c r="C131">
        <v>0</v>
      </c>
      <c r="D131">
        <v>0</v>
      </c>
      <c r="E131">
        <v>0</v>
      </c>
      <c r="F131">
        <v>150</v>
      </c>
      <c r="G131">
        <v>0</v>
      </c>
      <c r="H131">
        <v>32</v>
      </c>
      <c r="I131">
        <v>10</v>
      </c>
    </row>
    <row r="132" spans="1:26" x14ac:dyDescent="0.3">
      <c r="B132" t="s">
        <v>152</v>
      </c>
      <c r="C132">
        <v>0</v>
      </c>
      <c r="D132">
        <v>0</v>
      </c>
      <c r="E132">
        <v>0</v>
      </c>
      <c r="F132">
        <v>150</v>
      </c>
      <c r="G132">
        <v>0</v>
      </c>
      <c r="H132">
        <v>32</v>
      </c>
      <c r="I132">
        <v>10</v>
      </c>
    </row>
    <row r="133" spans="1:26" x14ac:dyDescent="0.3">
      <c r="B133" t="s">
        <v>152</v>
      </c>
      <c r="C133">
        <v>0</v>
      </c>
      <c r="D133">
        <v>0</v>
      </c>
      <c r="E133">
        <v>0</v>
      </c>
      <c r="F133">
        <v>150</v>
      </c>
      <c r="G133">
        <v>0</v>
      </c>
      <c r="H133">
        <v>32</v>
      </c>
      <c r="I133">
        <v>10</v>
      </c>
    </row>
    <row r="135" spans="1:26" x14ac:dyDescent="0.3">
      <c r="A135" t="s">
        <v>81</v>
      </c>
      <c r="B135" t="s">
        <v>82</v>
      </c>
      <c r="C135">
        <v>111</v>
      </c>
      <c r="D135">
        <v>20</v>
      </c>
      <c r="E135">
        <v>40</v>
      </c>
      <c r="F135">
        <v>150</v>
      </c>
      <c r="G135">
        <v>6.5337945250000002</v>
      </c>
      <c r="H135">
        <v>32</v>
      </c>
      <c r="I135">
        <v>0</v>
      </c>
      <c r="X135" t="s">
        <v>143</v>
      </c>
      <c r="Z135" t="s">
        <v>143</v>
      </c>
    </row>
    <row r="136" spans="1:26" x14ac:dyDescent="0.3">
      <c r="B136" t="s">
        <v>82</v>
      </c>
      <c r="C136">
        <v>111</v>
      </c>
      <c r="D136">
        <v>20</v>
      </c>
      <c r="E136">
        <v>40</v>
      </c>
      <c r="F136">
        <v>150</v>
      </c>
      <c r="G136">
        <v>6.5337945250000002</v>
      </c>
      <c r="H136">
        <v>32</v>
      </c>
      <c r="I136">
        <v>0</v>
      </c>
      <c r="X136" t="s">
        <v>143</v>
      </c>
      <c r="Z136" t="s">
        <v>143</v>
      </c>
    </row>
    <row r="137" spans="1:26" x14ac:dyDescent="0.3">
      <c r="B137" t="s">
        <v>82</v>
      </c>
      <c r="C137">
        <v>111</v>
      </c>
      <c r="D137">
        <v>20</v>
      </c>
      <c r="E137">
        <v>40</v>
      </c>
      <c r="F137">
        <v>150</v>
      </c>
      <c r="G137">
        <v>6.5337945250000002</v>
      </c>
      <c r="H137">
        <v>32</v>
      </c>
      <c r="I137">
        <v>0</v>
      </c>
      <c r="X137" t="s">
        <v>143</v>
      </c>
      <c r="Z137" t="s">
        <v>143</v>
      </c>
    </row>
    <row r="138" spans="1:26" x14ac:dyDescent="0.3">
      <c r="B138" t="s">
        <v>83</v>
      </c>
      <c r="C138">
        <v>111</v>
      </c>
      <c r="D138">
        <v>20</v>
      </c>
      <c r="E138">
        <v>40</v>
      </c>
      <c r="F138">
        <v>150</v>
      </c>
      <c r="G138">
        <v>6.5337945250000002</v>
      </c>
      <c r="H138">
        <v>32</v>
      </c>
      <c r="I138">
        <v>0</v>
      </c>
      <c r="X138" t="s">
        <v>143</v>
      </c>
      <c r="Z138" t="s">
        <v>143</v>
      </c>
    </row>
    <row r="139" spans="1:26" x14ac:dyDescent="0.3">
      <c r="B139" t="s">
        <v>83</v>
      </c>
      <c r="C139">
        <v>111</v>
      </c>
      <c r="D139">
        <v>20</v>
      </c>
      <c r="E139">
        <v>40</v>
      </c>
      <c r="F139">
        <v>150</v>
      </c>
      <c r="G139">
        <v>6.5337945250000002</v>
      </c>
      <c r="H139">
        <v>32</v>
      </c>
      <c r="I139">
        <v>0</v>
      </c>
      <c r="X139" t="s">
        <v>143</v>
      </c>
      <c r="Z139" t="s">
        <v>143</v>
      </c>
    </row>
    <row r="140" spans="1:26" x14ac:dyDescent="0.3">
      <c r="B140" t="s">
        <v>83</v>
      </c>
      <c r="C140">
        <v>111</v>
      </c>
      <c r="D140">
        <v>20</v>
      </c>
      <c r="E140">
        <v>40</v>
      </c>
      <c r="F140">
        <v>150</v>
      </c>
      <c r="G140">
        <v>6.5337945250000002</v>
      </c>
      <c r="H140">
        <v>32</v>
      </c>
      <c r="I140">
        <v>0</v>
      </c>
      <c r="X140" t="s">
        <v>143</v>
      </c>
      <c r="Z140" t="s">
        <v>143</v>
      </c>
    </row>
    <row r="141" spans="1:26" x14ac:dyDescent="0.3">
      <c r="B141" t="s">
        <v>84</v>
      </c>
      <c r="C141">
        <v>111</v>
      </c>
      <c r="D141">
        <v>20</v>
      </c>
      <c r="E141">
        <v>40</v>
      </c>
      <c r="F141">
        <v>150</v>
      </c>
      <c r="G141">
        <v>6.5337945250000002</v>
      </c>
      <c r="H141">
        <v>32</v>
      </c>
      <c r="I141">
        <v>0</v>
      </c>
      <c r="X141" t="s">
        <v>143</v>
      </c>
      <c r="Z141" t="s">
        <v>143</v>
      </c>
    </row>
    <row r="142" spans="1:26" x14ac:dyDescent="0.3">
      <c r="B142" t="s">
        <v>84</v>
      </c>
      <c r="C142">
        <v>111</v>
      </c>
      <c r="D142">
        <v>20</v>
      </c>
      <c r="E142">
        <v>40</v>
      </c>
      <c r="F142">
        <v>150</v>
      </c>
      <c r="G142">
        <v>6.5337945250000002</v>
      </c>
      <c r="H142">
        <v>32</v>
      </c>
      <c r="I142">
        <v>0</v>
      </c>
      <c r="X142" t="s">
        <v>143</v>
      </c>
      <c r="Z142" t="s">
        <v>143</v>
      </c>
    </row>
    <row r="143" spans="1:26" x14ac:dyDescent="0.3">
      <c r="B143" t="s">
        <v>84</v>
      </c>
      <c r="C143">
        <v>111</v>
      </c>
      <c r="D143">
        <v>20</v>
      </c>
      <c r="E143">
        <v>40</v>
      </c>
      <c r="F143">
        <v>150</v>
      </c>
      <c r="G143">
        <v>6.5337945250000002</v>
      </c>
      <c r="H143">
        <v>32</v>
      </c>
      <c r="I143">
        <v>0</v>
      </c>
      <c r="X143" t="s">
        <v>143</v>
      </c>
      <c r="Z143" t="s">
        <v>143</v>
      </c>
    </row>
    <row r="144" spans="1:26" x14ac:dyDescent="0.3">
      <c r="B144" t="s">
        <v>97</v>
      </c>
      <c r="C144">
        <v>0</v>
      </c>
      <c r="D144">
        <v>0</v>
      </c>
      <c r="E144">
        <v>0</v>
      </c>
      <c r="F144">
        <v>150</v>
      </c>
      <c r="H144">
        <v>32</v>
      </c>
      <c r="I144">
        <v>0</v>
      </c>
      <c r="X144" t="s">
        <v>143</v>
      </c>
      <c r="Z144" t="s">
        <v>143</v>
      </c>
    </row>
    <row r="145" spans="1:26" x14ac:dyDescent="0.3">
      <c r="B145" t="s">
        <v>97</v>
      </c>
      <c r="C145">
        <v>0</v>
      </c>
      <c r="D145">
        <v>0</v>
      </c>
      <c r="E145">
        <v>0</v>
      </c>
      <c r="F145">
        <v>150</v>
      </c>
      <c r="H145">
        <v>32</v>
      </c>
      <c r="I145">
        <v>0</v>
      </c>
      <c r="X145" t="s">
        <v>143</v>
      </c>
      <c r="Z145" t="s">
        <v>143</v>
      </c>
    </row>
    <row r="146" spans="1:26" x14ac:dyDescent="0.3">
      <c r="B146" t="s">
        <v>97</v>
      </c>
      <c r="C146">
        <v>0</v>
      </c>
      <c r="D146">
        <v>0</v>
      </c>
      <c r="E146">
        <v>0</v>
      </c>
      <c r="F146">
        <v>150</v>
      </c>
      <c r="H146">
        <v>32</v>
      </c>
      <c r="I146">
        <v>0</v>
      </c>
      <c r="X146" t="s">
        <v>143</v>
      </c>
      <c r="Z146" t="s">
        <v>143</v>
      </c>
    </row>
    <row r="147" spans="1:26" x14ac:dyDescent="0.3">
      <c r="B147" t="s">
        <v>144</v>
      </c>
      <c r="C147">
        <v>111</v>
      </c>
      <c r="D147">
        <v>20</v>
      </c>
      <c r="E147">
        <v>40</v>
      </c>
      <c r="F147">
        <v>150</v>
      </c>
      <c r="G147">
        <v>6.5337945250000002</v>
      </c>
      <c r="H147">
        <v>32</v>
      </c>
      <c r="I147">
        <v>10</v>
      </c>
    </row>
    <row r="148" spans="1:26" x14ac:dyDescent="0.3">
      <c r="B148" t="s">
        <v>144</v>
      </c>
      <c r="C148">
        <v>111</v>
      </c>
      <c r="D148">
        <v>20</v>
      </c>
      <c r="E148">
        <v>40</v>
      </c>
      <c r="F148">
        <v>150</v>
      </c>
      <c r="G148">
        <v>6.5337945250000002</v>
      </c>
      <c r="H148">
        <v>32</v>
      </c>
      <c r="I148">
        <v>10</v>
      </c>
    </row>
    <row r="149" spans="1:26" x14ac:dyDescent="0.3">
      <c r="B149" t="s">
        <v>144</v>
      </c>
      <c r="C149">
        <v>111</v>
      </c>
      <c r="D149">
        <v>20</v>
      </c>
      <c r="E149">
        <v>40</v>
      </c>
      <c r="F149">
        <v>150</v>
      </c>
      <c r="G149">
        <v>6.5337945250000002</v>
      </c>
      <c r="H149">
        <v>32</v>
      </c>
      <c r="I149">
        <v>10</v>
      </c>
    </row>
    <row r="150" spans="1:26" x14ac:dyDescent="0.3">
      <c r="B150" t="s">
        <v>145</v>
      </c>
      <c r="C150">
        <v>0</v>
      </c>
      <c r="D150">
        <v>0</v>
      </c>
      <c r="E150">
        <v>0</v>
      </c>
      <c r="F150">
        <v>150</v>
      </c>
      <c r="H150">
        <v>32</v>
      </c>
      <c r="I150">
        <v>10</v>
      </c>
    </row>
    <row r="151" spans="1:26" x14ac:dyDescent="0.3">
      <c r="B151" t="s">
        <v>145</v>
      </c>
      <c r="C151">
        <v>0</v>
      </c>
      <c r="D151">
        <v>0</v>
      </c>
      <c r="E151">
        <v>0</v>
      </c>
      <c r="F151">
        <v>150</v>
      </c>
      <c r="H151">
        <v>32</v>
      </c>
      <c r="I151">
        <v>10</v>
      </c>
    </row>
    <row r="152" spans="1:26" x14ac:dyDescent="0.3">
      <c r="B152" t="s">
        <v>145</v>
      </c>
      <c r="C152">
        <v>0</v>
      </c>
      <c r="D152">
        <v>0</v>
      </c>
      <c r="E152">
        <v>0</v>
      </c>
      <c r="F152">
        <v>150</v>
      </c>
      <c r="H152">
        <v>32</v>
      </c>
      <c r="I152">
        <v>10</v>
      </c>
    </row>
    <row r="154" spans="1:26" x14ac:dyDescent="0.3">
      <c r="A154" t="s">
        <v>85</v>
      </c>
      <c r="B154" t="s">
        <v>86</v>
      </c>
      <c r="C154">
        <v>116</v>
      </c>
      <c r="D154">
        <v>20</v>
      </c>
      <c r="E154">
        <v>15</v>
      </c>
      <c r="F154">
        <v>150</v>
      </c>
      <c r="G154">
        <v>8.0258846809804734</v>
      </c>
      <c r="H154">
        <v>32</v>
      </c>
      <c r="I154">
        <v>0</v>
      </c>
      <c r="J154">
        <v>7.02</v>
      </c>
      <c r="O154">
        <v>54.22</v>
      </c>
      <c r="P154">
        <v>6.42</v>
      </c>
      <c r="Q154">
        <v>43.11</v>
      </c>
      <c r="R154">
        <v>69.569999999999993</v>
      </c>
      <c r="S154">
        <v>19.8</v>
      </c>
      <c r="T154">
        <v>0</v>
      </c>
      <c r="U154">
        <v>0</v>
      </c>
      <c r="V154">
        <v>66.78</v>
      </c>
      <c r="X154" t="s">
        <v>143</v>
      </c>
      <c r="Z154" t="s">
        <v>143</v>
      </c>
    </row>
    <row r="155" spans="1:26" x14ac:dyDescent="0.3">
      <c r="B155" t="s">
        <v>86</v>
      </c>
      <c r="C155">
        <v>116</v>
      </c>
      <c r="D155">
        <v>20</v>
      </c>
      <c r="E155">
        <v>15</v>
      </c>
      <c r="F155">
        <v>150</v>
      </c>
      <c r="G155">
        <v>8.0258846809804734</v>
      </c>
      <c r="H155">
        <v>32</v>
      </c>
      <c r="I155">
        <v>0</v>
      </c>
      <c r="J155">
        <v>6.95</v>
      </c>
      <c r="O155">
        <v>54.22</v>
      </c>
      <c r="P155">
        <v>6.42</v>
      </c>
      <c r="Q155">
        <v>43.16</v>
      </c>
      <c r="R155">
        <v>69.59</v>
      </c>
      <c r="S155">
        <v>19.7</v>
      </c>
      <c r="T155">
        <v>0</v>
      </c>
      <c r="U155">
        <v>0</v>
      </c>
      <c r="V155">
        <v>66.75</v>
      </c>
      <c r="X155" t="s">
        <v>143</v>
      </c>
      <c r="Z155" t="s">
        <v>143</v>
      </c>
    </row>
    <row r="156" spans="1:26" x14ac:dyDescent="0.3">
      <c r="B156" t="s">
        <v>86</v>
      </c>
      <c r="C156">
        <v>116</v>
      </c>
      <c r="D156">
        <v>20</v>
      </c>
      <c r="E156">
        <v>15</v>
      </c>
      <c r="F156">
        <v>150</v>
      </c>
      <c r="G156">
        <v>8.0258846809804734</v>
      </c>
      <c r="H156">
        <v>32</v>
      </c>
      <c r="I156">
        <v>0</v>
      </c>
      <c r="J156">
        <v>6.96</v>
      </c>
      <c r="O156">
        <v>54.21</v>
      </c>
      <c r="P156">
        <v>6.43</v>
      </c>
      <c r="Q156">
        <v>43.13</v>
      </c>
      <c r="R156">
        <v>69.569999999999993</v>
      </c>
      <c r="S156">
        <v>19.7</v>
      </c>
      <c r="T156">
        <v>0</v>
      </c>
      <c r="U156">
        <v>0</v>
      </c>
      <c r="V156">
        <v>66.8</v>
      </c>
      <c r="X156" t="s">
        <v>143</v>
      </c>
      <c r="Z156" t="s">
        <v>143</v>
      </c>
    </row>
    <row r="157" spans="1:26" x14ac:dyDescent="0.3">
      <c r="B157" t="s">
        <v>87</v>
      </c>
      <c r="C157">
        <v>116</v>
      </c>
      <c r="D157">
        <v>20</v>
      </c>
      <c r="E157">
        <v>15</v>
      </c>
      <c r="F157">
        <v>150</v>
      </c>
      <c r="G157">
        <v>8.0258846809804734</v>
      </c>
      <c r="H157">
        <v>32</v>
      </c>
      <c r="I157">
        <v>0</v>
      </c>
      <c r="O157">
        <v>51.48</v>
      </c>
      <c r="P157">
        <v>5.98</v>
      </c>
      <c r="Q157">
        <v>40.28</v>
      </c>
      <c r="R157">
        <v>65.64</v>
      </c>
      <c r="S157">
        <v>18.600000000000001</v>
      </c>
      <c r="T157">
        <v>0.3</v>
      </c>
      <c r="U157">
        <v>-2</v>
      </c>
      <c r="V157">
        <v>65.510000000000005</v>
      </c>
      <c r="X157" t="s">
        <v>143</v>
      </c>
      <c r="Z157" t="s">
        <v>143</v>
      </c>
    </row>
    <row r="158" spans="1:26" x14ac:dyDescent="0.3">
      <c r="B158" t="s">
        <v>87</v>
      </c>
      <c r="C158">
        <v>116</v>
      </c>
      <c r="D158">
        <v>20</v>
      </c>
      <c r="E158">
        <v>15</v>
      </c>
      <c r="F158">
        <v>150</v>
      </c>
      <c r="G158">
        <v>8.0258846809804734</v>
      </c>
      <c r="H158">
        <v>32</v>
      </c>
      <c r="I158">
        <v>0</v>
      </c>
      <c r="O158">
        <v>51.48</v>
      </c>
      <c r="P158">
        <v>5.98</v>
      </c>
      <c r="Q158">
        <v>40.29</v>
      </c>
      <c r="R158">
        <v>65.64</v>
      </c>
      <c r="S158">
        <v>18.5</v>
      </c>
      <c r="T158">
        <v>0.3</v>
      </c>
      <c r="U158">
        <v>-8</v>
      </c>
      <c r="V158">
        <v>65.510000000000005</v>
      </c>
      <c r="X158" t="s">
        <v>143</v>
      </c>
      <c r="Z158" t="s">
        <v>143</v>
      </c>
    </row>
    <row r="159" spans="1:26" x14ac:dyDescent="0.3">
      <c r="B159" t="s">
        <v>87</v>
      </c>
      <c r="C159">
        <v>116</v>
      </c>
      <c r="D159">
        <v>20</v>
      </c>
      <c r="E159">
        <v>15</v>
      </c>
      <c r="F159">
        <v>150</v>
      </c>
      <c r="G159">
        <v>8.0258846809804734</v>
      </c>
      <c r="H159">
        <v>32</v>
      </c>
      <c r="I159">
        <v>0</v>
      </c>
      <c r="O159">
        <v>51.49</v>
      </c>
      <c r="P159">
        <v>6</v>
      </c>
      <c r="Q159">
        <v>40.270000000000003</v>
      </c>
      <c r="R159">
        <v>65.64</v>
      </c>
      <c r="S159">
        <v>18.2</v>
      </c>
      <c r="T159">
        <v>0.3</v>
      </c>
      <c r="U159">
        <v>-8</v>
      </c>
      <c r="V159">
        <v>65.510000000000005</v>
      </c>
      <c r="X159" t="s">
        <v>143</v>
      </c>
      <c r="Z159" t="s">
        <v>143</v>
      </c>
    </row>
    <row r="160" spans="1:26" x14ac:dyDescent="0.3">
      <c r="B160" t="s">
        <v>88</v>
      </c>
      <c r="C160">
        <v>116</v>
      </c>
      <c r="D160">
        <v>20</v>
      </c>
      <c r="E160">
        <v>15</v>
      </c>
      <c r="F160">
        <v>150</v>
      </c>
      <c r="G160">
        <v>8.0258846809804734</v>
      </c>
      <c r="H160">
        <v>32</v>
      </c>
      <c r="I160">
        <v>0</v>
      </c>
      <c r="S160">
        <v>19.7</v>
      </c>
      <c r="T160">
        <v>0</v>
      </c>
      <c r="U160">
        <v>0</v>
      </c>
      <c r="V160">
        <v>66.11</v>
      </c>
      <c r="X160" t="s">
        <v>143</v>
      </c>
      <c r="Z160" t="s">
        <v>143</v>
      </c>
    </row>
    <row r="161" spans="1:26" x14ac:dyDescent="0.3">
      <c r="B161" t="s">
        <v>88</v>
      </c>
      <c r="C161">
        <v>116</v>
      </c>
      <c r="D161">
        <v>20</v>
      </c>
      <c r="E161">
        <v>15</v>
      </c>
      <c r="F161">
        <v>150</v>
      </c>
      <c r="G161">
        <v>8.0258846809804734</v>
      </c>
      <c r="H161">
        <v>32</v>
      </c>
      <c r="I161">
        <v>0</v>
      </c>
      <c r="S161">
        <v>18.5</v>
      </c>
      <c r="T161">
        <v>0.3</v>
      </c>
      <c r="U161">
        <v>-2</v>
      </c>
      <c r="V161">
        <v>66.11</v>
      </c>
      <c r="X161" t="s">
        <v>143</v>
      </c>
      <c r="Z161" t="s">
        <v>143</v>
      </c>
    </row>
    <row r="162" spans="1:26" x14ac:dyDescent="0.3">
      <c r="B162" t="s">
        <v>88</v>
      </c>
      <c r="C162">
        <v>116</v>
      </c>
      <c r="D162">
        <v>20</v>
      </c>
      <c r="E162">
        <v>15</v>
      </c>
      <c r="F162">
        <v>150</v>
      </c>
      <c r="G162">
        <v>8.0258846809804734</v>
      </c>
      <c r="H162">
        <v>32</v>
      </c>
      <c r="I162">
        <v>0</v>
      </c>
      <c r="S162">
        <v>19.7</v>
      </c>
      <c r="T162">
        <v>0</v>
      </c>
      <c r="U162">
        <v>0</v>
      </c>
      <c r="V162">
        <v>66.11</v>
      </c>
      <c r="X162" t="s">
        <v>143</v>
      </c>
      <c r="Z162" t="s">
        <v>143</v>
      </c>
    </row>
    <row r="163" spans="1:26" x14ac:dyDescent="0.3">
      <c r="B163" t="s">
        <v>98</v>
      </c>
      <c r="C163">
        <v>0</v>
      </c>
      <c r="D163">
        <v>0</v>
      </c>
      <c r="E163">
        <v>0</v>
      </c>
      <c r="F163">
        <v>150</v>
      </c>
      <c r="G163">
        <v>0</v>
      </c>
      <c r="H163">
        <v>32</v>
      </c>
      <c r="I163">
        <v>0</v>
      </c>
      <c r="O163">
        <v>55.31</v>
      </c>
      <c r="P163">
        <v>7.3</v>
      </c>
      <c r="Q163">
        <v>48.47</v>
      </c>
      <c r="R163">
        <v>73.91</v>
      </c>
      <c r="S163">
        <v>18.8</v>
      </c>
      <c r="T163">
        <v>0.3</v>
      </c>
      <c r="U163">
        <v>-3</v>
      </c>
      <c r="X163" t="s">
        <v>143</v>
      </c>
      <c r="Z163" t="s">
        <v>143</v>
      </c>
    </row>
    <row r="164" spans="1:26" x14ac:dyDescent="0.3">
      <c r="B164" t="s">
        <v>98</v>
      </c>
      <c r="C164">
        <v>0</v>
      </c>
      <c r="D164">
        <v>0</v>
      </c>
      <c r="E164">
        <v>0</v>
      </c>
      <c r="F164">
        <v>150</v>
      </c>
      <c r="G164">
        <v>0</v>
      </c>
      <c r="H164">
        <v>32</v>
      </c>
      <c r="I164">
        <v>0</v>
      </c>
      <c r="O164">
        <v>55.28</v>
      </c>
      <c r="P164">
        <v>7.29</v>
      </c>
      <c r="Q164">
        <v>48.54</v>
      </c>
      <c r="R164">
        <v>73.930000000000007</v>
      </c>
      <c r="S164">
        <v>18.899999999999999</v>
      </c>
      <c r="T164">
        <v>0.2</v>
      </c>
      <c r="U164">
        <v>-2</v>
      </c>
      <c r="X164" t="s">
        <v>143</v>
      </c>
      <c r="Z164" t="s">
        <v>143</v>
      </c>
    </row>
    <row r="165" spans="1:26" x14ac:dyDescent="0.3">
      <c r="B165" t="s">
        <v>98</v>
      </c>
      <c r="C165">
        <v>0</v>
      </c>
      <c r="D165">
        <v>0</v>
      </c>
      <c r="E165">
        <v>0</v>
      </c>
      <c r="F165">
        <v>150</v>
      </c>
      <c r="G165">
        <v>0</v>
      </c>
      <c r="H165">
        <v>32</v>
      </c>
      <c r="I165">
        <v>0</v>
      </c>
      <c r="O165">
        <v>55.28</v>
      </c>
      <c r="P165">
        <v>7329</v>
      </c>
      <c r="Q165">
        <v>48.52</v>
      </c>
      <c r="R165">
        <v>73.91</v>
      </c>
      <c r="S165">
        <v>19</v>
      </c>
      <c r="T165">
        <v>0.2</v>
      </c>
      <c r="U165">
        <v>-2</v>
      </c>
      <c r="X165" t="s">
        <v>143</v>
      </c>
      <c r="Z165" t="s">
        <v>143</v>
      </c>
    </row>
    <row r="166" spans="1:26" x14ac:dyDescent="0.3">
      <c r="B166" t="s">
        <v>146</v>
      </c>
      <c r="C166">
        <v>116</v>
      </c>
      <c r="D166">
        <v>20</v>
      </c>
      <c r="E166">
        <v>15</v>
      </c>
      <c r="F166">
        <v>150</v>
      </c>
      <c r="G166">
        <v>8.0258846809804734</v>
      </c>
      <c r="H166">
        <v>32</v>
      </c>
      <c r="I166">
        <v>10</v>
      </c>
    </row>
    <row r="167" spans="1:26" x14ac:dyDescent="0.3">
      <c r="B167" t="s">
        <v>146</v>
      </c>
      <c r="C167">
        <v>116</v>
      </c>
      <c r="D167">
        <v>20</v>
      </c>
      <c r="E167">
        <v>15</v>
      </c>
      <c r="F167">
        <v>150</v>
      </c>
      <c r="G167">
        <v>8.0258846809804734</v>
      </c>
      <c r="H167">
        <v>32</v>
      </c>
      <c r="I167">
        <v>10</v>
      </c>
    </row>
    <row r="168" spans="1:26" x14ac:dyDescent="0.3">
      <c r="B168" t="s">
        <v>146</v>
      </c>
      <c r="C168">
        <v>116</v>
      </c>
      <c r="D168">
        <v>20</v>
      </c>
      <c r="E168">
        <v>15</v>
      </c>
      <c r="F168">
        <v>150</v>
      </c>
      <c r="G168">
        <v>8.0258846809804734</v>
      </c>
      <c r="H168">
        <v>32</v>
      </c>
      <c r="I168">
        <v>10</v>
      </c>
    </row>
    <row r="169" spans="1:26" x14ac:dyDescent="0.3">
      <c r="B169" t="s">
        <v>147</v>
      </c>
      <c r="C169">
        <v>0</v>
      </c>
      <c r="D169">
        <v>0</v>
      </c>
      <c r="E169">
        <v>0</v>
      </c>
      <c r="F169">
        <v>150</v>
      </c>
      <c r="G169">
        <v>0</v>
      </c>
      <c r="H169">
        <v>32</v>
      </c>
      <c r="I169">
        <v>10</v>
      </c>
    </row>
    <row r="170" spans="1:26" x14ac:dyDescent="0.3">
      <c r="B170" t="s">
        <v>147</v>
      </c>
      <c r="C170">
        <v>0</v>
      </c>
      <c r="D170">
        <v>0</v>
      </c>
      <c r="E170">
        <v>0</v>
      </c>
      <c r="F170">
        <v>150</v>
      </c>
      <c r="G170">
        <v>0</v>
      </c>
      <c r="H170">
        <v>32</v>
      </c>
      <c r="I170">
        <v>10</v>
      </c>
    </row>
    <row r="171" spans="1:26" x14ac:dyDescent="0.3">
      <c r="B171" t="s">
        <v>147</v>
      </c>
      <c r="C171">
        <v>0</v>
      </c>
      <c r="D171">
        <v>0</v>
      </c>
      <c r="E171">
        <v>0</v>
      </c>
      <c r="F171">
        <v>150</v>
      </c>
      <c r="G171">
        <v>0</v>
      </c>
      <c r="H171">
        <v>32</v>
      </c>
      <c r="I171">
        <v>10</v>
      </c>
    </row>
    <row r="173" spans="1:26" x14ac:dyDescent="0.3">
      <c r="A173" t="s">
        <v>89</v>
      </c>
      <c r="B173" t="s">
        <v>90</v>
      </c>
      <c r="C173">
        <v>116</v>
      </c>
      <c r="D173">
        <v>20</v>
      </c>
      <c r="E173">
        <v>25</v>
      </c>
      <c r="F173">
        <v>150</v>
      </c>
      <c r="G173">
        <v>11.344441230105227</v>
      </c>
      <c r="H173">
        <v>32</v>
      </c>
      <c r="I173">
        <v>0</v>
      </c>
      <c r="J173">
        <v>6.5359999999999996</v>
      </c>
      <c r="S173">
        <v>3.78</v>
      </c>
      <c r="T173">
        <v>5.3</v>
      </c>
      <c r="U173">
        <v>-7</v>
      </c>
      <c r="V173">
        <v>62.31</v>
      </c>
      <c r="X173" t="s">
        <v>143</v>
      </c>
      <c r="Z173" t="s">
        <v>143</v>
      </c>
    </row>
    <row r="174" spans="1:26" x14ac:dyDescent="0.3">
      <c r="B174" t="s">
        <v>90</v>
      </c>
      <c r="C174">
        <v>116</v>
      </c>
      <c r="D174">
        <v>20</v>
      </c>
      <c r="E174">
        <v>25</v>
      </c>
      <c r="F174">
        <v>150</v>
      </c>
      <c r="G174">
        <v>11.344441230105227</v>
      </c>
      <c r="H174">
        <v>32</v>
      </c>
      <c r="I174">
        <v>0</v>
      </c>
      <c r="J174">
        <v>6.4939999999999998</v>
      </c>
      <c r="S174">
        <v>3.71</v>
      </c>
      <c r="T174">
        <v>5.5</v>
      </c>
      <c r="U174">
        <v>-12</v>
      </c>
      <c r="V174">
        <v>62.31</v>
      </c>
      <c r="X174" t="s">
        <v>143</v>
      </c>
      <c r="Z174" t="s">
        <v>143</v>
      </c>
    </row>
    <row r="175" spans="1:26" x14ac:dyDescent="0.3">
      <c r="B175" t="s">
        <v>90</v>
      </c>
      <c r="C175">
        <v>116</v>
      </c>
      <c r="D175">
        <v>20</v>
      </c>
      <c r="E175">
        <v>25</v>
      </c>
      <c r="F175">
        <v>150</v>
      </c>
      <c r="G175">
        <v>11.344441230105227</v>
      </c>
      <c r="H175">
        <v>32</v>
      </c>
      <c r="I175">
        <v>0</v>
      </c>
      <c r="J175">
        <v>6.452</v>
      </c>
      <c r="S175">
        <v>3.7</v>
      </c>
      <c r="T175">
        <v>5.5</v>
      </c>
      <c r="U175">
        <v>-16</v>
      </c>
      <c r="V175">
        <v>62.31</v>
      </c>
      <c r="X175" t="s">
        <v>143</v>
      </c>
      <c r="Z175" t="s">
        <v>143</v>
      </c>
    </row>
    <row r="176" spans="1:26" x14ac:dyDescent="0.3">
      <c r="B176" t="s">
        <v>91</v>
      </c>
      <c r="C176">
        <v>116</v>
      </c>
      <c r="D176">
        <v>20</v>
      </c>
      <c r="E176">
        <v>25</v>
      </c>
      <c r="F176">
        <v>150</v>
      </c>
      <c r="G176">
        <v>11.344441230105227</v>
      </c>
      <c r="H176">
        <v>32</v>
      </c>
      <c r="I176">
        <v>0</v>
      </c>
      <c r="J176">
        <v>6.38</v>
      </c>
      <c r="S176">
        <v>2.87</v>
      </c>
      <c r="T176">
        <v>3.9</v>
      </c>
      <c r="U176">
        <v>-8</v>
      </c>
      <c r="V176">
        <v>60.29</v>
      </c>
      <c r="X176" t="s">
        <v>143</v>
      </c>
      <c r="Z176" t="s">
        <v>143</v>
      </c>
    </row>
    <row r="177" spans="1:26" x14ac:dyDescent="0.3">
      <c r="B177" t="s">
        <v>91</v>
      </c>
      <c r="C177">
        <v>116</v>
      </c>
      <c r="D177">
        <v>20</v>
      </c>
      <c r="E177">
        <v>25</v>
      </c>
      <c r="F177">
        <v>150</v>
      </c>
      <c r="G177">
        <v>11.344441230105227</v>
      </c>
      <c r="H177">
        <v>32</v>
      </c>
      <c r="I177">
        <v>0</v>
      </c>
      <c r="J177">
        <v>6.23</v>
      </c>
      <c r="S177">
        <v>2.2799999999999998</v>
      </c>
      <c r="T177">
        <v>4.2</v>
      </c>
      <c r="U177">
        <v>-13</v>
      </c>
      <c r="V177">
        <v>60.29</v>
      </c>
      <c r="X177" t="s">
        <v>143</v>
      </c>
      <c r="Z177" t="s">
        <v>143</v>
      </c>
    </row>
    <row r="178" spans="1:26" x14ac:dyDescent="0.3">
      <c r="B178" t="s">
        <v>91</v>
      </c>
      <c r="C178">
        <v>116</v>
      </c>
      <c r="D178">
        <v>20</v>
      </c>
      <c r="E178">
        <v>25</v>
      </c>
      <c r="F178">
        <v>150</v>
      </c>
      <c r="G178">
        <v>11.344441230105227</v>
      </c>
      <c r="H178">
        <v>32</v>
      </c>
      <c r="I178">
        <v>0</v>
      </c>
      <c r="J178">
        <v>6.15</v>
      </c>
      <c r="S178">
        <v>2.0699999999999998</v>
      </c>
      <c r="T178">
        <v>4.4000000000000004</v>
      </c>
      <c r="U178">
        <v>-18</v>
      </c>
      <c r="V178">
        <v>60.29</v>
      </c>
      <c r="X178" t="s">
        <v>143</v>
      </c>
      <c r="Z178" t="s">
        <v>143</v>
      </c>
    </row>
    <row r="179" spans="1:26" x14ac:dyDescent="0.3">
      <c r="B179" t="s">
        <v>92</v>
      </c>
      <c r="C179">
        <v>116</v>
      </c>
      <c r="D179">
        <v>20</v>
      </c>
      <c r="E179">
        <v>25</v>
      </c>
      <c r="F179">
        <v>150</v>
      </c>
      <c r="G179">
        <v>11.344441230105227</v>
      </c>
      <c r="H179">
        <v>32</v>
      </c>
      <c r="I179">
        <v>0</v>
      </c>
      <c r="J179">
        <v>6.97</v>
      </c>
      <c r="S179">
        <v>3.66</v>
      </c>
      <c r="T179">
        <v>5.55</v>
      </c>
      <c r="U179">
        <v>-14</v>
      </c>
      <c r="V179">
        <v>61.55</v>
      </c>
      <c r="X179" t="s">
        <v>143</v>
      </c>
      <c r="Z179" t="s">
        <v>143</v>
      </c>
    </row>
    <row r="180" spans="1:26" x14ac:dyDescent="0.3">
      <c r="B180" t="s">
        <v>92</v>
      </c>
      <c r="C180">
        <v>116</v>
      </c>
      <c r="D180">
        <v>20</v>
      </c>
      <c r="E180">
        <v>25</v>
      </c>
      <c r="F180">
        <v>150</v>
      </c>
      <c r="G180">
        <v>11.344441230105227</v>
      </c>
      <c r="H180">
        <v>32</v>
      </c>
      <c r="I180">
        <v>0</v>
      </c>
      <c r="J180">
        <v>6.1</v>
      </c>
      <c r="S180">
        <v>3.69</v>
      </c>
      <c r="T180">
        <v>5.5</v>
      </c>
      <c r="U180">
        <v>-14</v>
      </c>
      <c r="V180">
        <v>61.55</v>
      </c>
      <c r="X180" t="s">
        <v>143</v>
      </c>
      <c r="Z180" t="s">
        <v>143</v>
      </c>
    </row>
    <row r="181" spans="1:26" x14ac:dyDescent="0.3">
      <c r="B181" t="s">
        <v>92</v>
      </c>
      <c r="C181">
        <v>116</v>
      </c>
      <c r="D181">
        <v>20</v>
      </c>
      <c r="E181">
        <v>25</v>
      </c>
      <c r="F181">
        <v>150</v>
      </c>
      <c r="G181">
        <v>11.344441230105227</v>
      </c>
      <c r="H181">
        <v>32</v>
      </c>
      <c r="I181">
        <v>0</v>
      </c>
      <c r="J181">
        <v>6</v>
      </c>
      <c r="S181">
        <v>3.7</v>
      </c>
      <c r="T181">
        <v>5.5</v>
      </c>
      <c r="U181">
        <v>-6</v>
      </c>
      <c r="V181">
        <v>61.55</v>
      </c>
      <c r="X181" t="s">
        <v>143</v>
      </c>
      <c r="Z181" t="s">
        <v>143</v>
      </c>
    </row>
    <row r="182" spans="1:26" x14ac:dyDescent="0.3">
      <c r="B182" t="s">
        <v>99</v>
      </c>
      <c r="C182">
        <v>0</v>
      </c>
      <c r="D182">
        <v>0</v>
      </c>
      <c r="E182">
        <v>0</v>
      </c>
      <c r="F182">
        <v>150</v>
      </c>
      <c r="G182">
        <v>0</v>
      </c>
      <c r="H182">
        <v>32</v>
      </c>
      <c r="I182">
        <v>0</v>
      </c>
      <c r="J182">
        <v>6.4</v>
      </c>
      <c r="S182">
        <v>17.5</v>
      </c>
      <c r="T182">
        <v>0.5</v>
      </c>
      <c r="U182">
        <v>-6</v>
      </c>
      <c r="V182">
        <v>57.28</v>
      </c>
      <c r="X182" t="s">
        <v>143</v>
      </c>
      <c r="Z182" t="s">
        <v>143</v>
      </c>
    </row>
    <row r="183" spans="1:26" x14ac:dyDescent="0.3">
      <c r="B183" t="s">
        <v>99</v>
      </c>
      <c r="C183">
        <v>0</v>
      </c>
      <c r="D183">
        <v>0</v>
      </c>
      <c r="E183">
        <v>0</v>
      </c>
      <c r="F183">
        <v>150</v>
      </c>
      <c r="G183">
        <v>0</v>
      </c>
      <c r="H183">
        <v>32</v>
      </c>
      <c r="I183">
        <v>0</v>
      </c>
      <c r="J183">
        <v>6.28</v>
      </c>
      <c r="S183">
        <v>17.5</v>
      </c>
      <c r="T183">
        <v>0.4</v>
      </c>
      <c r="U183">
        <v>-12</v>
      </c>
      <c r="V183">
        <v>57.28</v>
      </c>
      <c r="X183" t="s">
        <v>143</v>
      </c>
      <c r="Z183" t="s">
        <v>143</v>
      </c>
    </row>
    <row r="184" spans="1:26" x14ac:dyDescent="0.3">
      <c r="B184" t="s">
        <v>99</v>
      </c>
      <c r="C184">
        <v>0</v>
      </c>
      <c r="D184">
        <v>0</v>
      </c>
      <c r="E184">
        <v>0</v>
      </c>
      <c r="F184">
        <v>150</v>
      </c>
      <c r="G184">
        <v>0</v>
      </c>
      <c r="H184">
        <v>32</v>
      </c>
      <c r="I184">
        <v>0</v>
      </c>
      <c r="J184">
        <v>6.21</v>
      </c>
      <c r="S184">
        <v>17.600000000000001</v>
      </c>
      <c r="T184">
        <v>0.4</v>
      </c>
      <c r="U184">
        <v>1</v>
      </c>
      <c r="V184">
        <v>57.28</v>
      </c>
      <c r="X184" t="s">
        <v>143</v>
      </c>
      <c r="Z184" t="s">
        <v>143</v>
      </c>
    </row>
    <row r="185" spans="1:26" x14ac:dyDescent="0.3">
      <c r="B185" t="s">
        <v>146</v>
      </c>
      <c r="C185">
        <v>116</v>
      </c>
      <c r="D185">
        <v>20</v>
      </c>
      <c r="E185">
        <v>25</v>
      </c>
      <c r="F185">
        <v>150</v>
      </c>
      <c r="G185">
        <v>11.344441230105227</v>
      </c>
      <c r="H185">
        <v>32</v>
      </c>
      <c r="I185">
        <v>10</v>
      </c>
      <c r="X185" t="s">
        <v>143</v>
      </c>
      <c r="Z185" t="s">
        <v>143</v>
      </c>
    </row>
    <row r="186" spans="1:26" x14ac:dyDescent="0.3">
      <c r="B186" t="s">
        <v>146</v>
      </c>
      <c r="C186">
        <v>116</v>
      </c>
      <c r="D186">
        <v>20</v>
      </c>
      <c r="E186">
        <v>25</v>
      </c>
      <c r="F186">
        <v>150</v>
      </c>
      <c r="G186">
        <v>11.344441230105227</v>
      </c>
      <c r="H186">
        <v>32</v>
      </c>
      <c r="I186">
        <v>10</v>
      </c>
    </row>
    <row r="187" spans="1:26" x14ac:dyDescent="0.3">
      <c r="B187" t="s">
        <v>146</v>
      </c>
      <c r="C187">
        <v>116</v>
      </c>
      <c r="D187">
        <v>20</v>
      </c>
      <c r="E187">
        <v>25</v>
      </c>
      <c r="F187">
        <v>150</v>
      </c>
      <c r="G187">
        <v>11.344441230105227</v>
      </c>
      <c r="H187">
        <v>32</v>
      </c>
      <c r="I187">
        <v>10</v>
      </c>
    </row>
    <row r="188" spans="1:26" x14ac:dyDescent="0.3">
      <c r="B188" t="s">
        <v>147</v>
      </c>
      <c r="C188">
        <v>0</v>
      </c>
      <c r="D188">
        <v>0</v>
      </c>
      <c r="E188">
        <v>0</v>
      </c>
      <c r="F188">
        <v>150</v>
      </c>
      <c r="G188">
        <v>0</v>
      </c>
      <c r="H188">
        <v>32</v>
      </c>
      <c r="I188">
        <v>10</v>
      </c>
    </row>
    <row r="189" spans="1:26" x14ac:dyDescent="0.3">
      <c r="B189" t="s">
        <v>147</v>
      </c>
      <c r="C189">
        <v>0</v>
      </c>
      <c r="D189">
        <v>0</v>
      </c>
      <c r="E189">
        <v>0</v>
      </c>
      <c r="F189">
        <v>150</v>
      </c>
      <c r="G189">
        <v>0</v>
      </c>
      <c r="H189">
        <v>32</v>
      </c>
      <c r="I189">
        <v>10</v>
      </c>
    </row>
    <row r="190" spans="1:26" x14ac:dyDescent="0.3">
      <c r="B190" t="s">
        <v>147</v>
      </c>
      <c r="C190">
        <v>0</v>
      </c>
      <c r="D190">
        <v>0</v>
      </c>
      <c r="E190">
        <v>0</v>
      </c>
      <c r="F190">
        <v>150</v>
      </c>
      <c r="G190">
        <v>0</v>
      </c>
      <c r="H190">
        <v>32</v>
      </c>
      <c r="I190">
        <v>10</v>
      </c>
    </row>
    <row r="192" spans="1:26" x14ac:dyDescent="0.3">
      <c r="A192" t="s">
        <v>93</v>
      </c>
      <c r="B192" t="s">
        <v>94</v>
      </c>
      <c r="C192">
        <v>116</v>
      </c>
      <c r="D192">
        <v>20</v>
      </c>
      <c r="E192">
        <v>35</v>
      </c>
      <c r="F192">
        <v>150</v>
      </c>
      <c r="G192">
        <v>16.684285583877863</v>
      </c>
      <c r="H192">
        <v>32</v>
      </c>
      <c r="I192">
        <v>0</v>
      </c>
      <c r="J192">
        <v>6.61</v>
      </c>
      <c r="O192">
        <v>48.93</v>
      </c>
      <c r="P192">
        <v>6.36</v>
      </c>
      <c r="Q192">
        <v>34.31</v>
      </c>
      <c r="R192">
        <v>60.31</v>
      </c>
      <c r="V192">
        <v>64.73</v>
      </c>
      <c r="X192" t="s">
        <v>143</v>
      </c>
      <c r="Z192" t="s">
        <v>143</v>
      </c>
    </row>
    <row r="193" spans="2:26" x14ac:dyDescent="0.3">
      <c r="B193" t="s">
        <v>94</v>
      </c>
      <c r="C193">
        <v>116</v>
      </c>
      <c r="D193">
        <v>20</v>
      </c>
      <c r="E193">
        <v>35</v>
      </c>
      <c r="F193">
        <v>150</v>
      </c>
      <c r="G193">
        <v>16.684285583877863</v>
      </c>
      <c r="H193">
        <v>32</v>
      </c>
      <c r="I193">
        <v>0</v>
      </c>
      <c r="J193">
        <v>6.59</v>
      </c>
      <c r="O193">
        <v>48.93</v>
      </c>
      <c r="P193">
        <v>6.36</v>
      </c>
      <c r="Q193">
        <v>34.31</v>
      </c>
      <c r="R193">
        <v>60.1</v>
      </c>
      <c r="X193" t="s">
        <v>143</v>
      </c>
      <c r="Z193" t="s">
        <v>143</v>
      </c>
    </row>
    <row r="194" spans="2:26" x14ac:dyDescent="0.3">
      <c r="B194" t="s">
        <v>94</v>
      </c>
      <c r="C194">
        <v>116</v>
      </c>
      <c r="D194">
        <v>20</v>
      </c>
      <c r="E194">
        <v>35</v>
      </c>
      <c r="F194">
        <v>150</v>
      </c>
      <c r="G194">
        <v>16.684285583877863</v>
      </c>
      <c r="H194">
        <v>32</v>
      </c>
      <c r="I194">
        <v>0</v>
      </c>
      <c r="J194">
        <v>6.61</v>
      </c>
      <c r="O194">
        <v>48.92</v>
      </c>
      <c r="P194">
        <v>6.37</v>
      </c>
      <c r="Q194">
        <v>34.409999999999997</v>
      </c>
      <c r="R194">
        <v>60.15</v>
      </c>
      <c r="X194" t="s">
        <v>143</v>
      </c>
      <c r="Z194" t="s">
        <v>143</v>
      </c>
    </row>
    <row r="195" spans="2:26" x14ac:dyDescent="0.3">
      <c r="B195" t="s">
        <v>94</v>
      </c>
      <c r="C195">
        <v>116</v>
      </c>
      <c r="D195">
        <v>20</v>
      </c>
      <c r="E195">
        <v>35</v>
      </c>
      <c r="F195">
        <v>150</v>
      </c>
      <c r="G195">
        <v>16.684285583877863</v>
      </c>
      <c r="H195">
        <v>32</v>
      </c>
      <c r="I195">
        <v>0</v>
      </c>
      <c r="J195">
        <v>6.6033333333333299</v>
      </c>
      <c r="O195">
        <v>48.92</v>
      </c>
      <c r="P195">
        <v>6.37</v>
      </c>
      <c r="Q195">
        <v>34.380000000000003</v>
      </c>
      <c r="R195">
        <v>60.13</v>
      </c>
      <c r="X195" t="s">
        <v>143</v>
      </c>
      <c r="Z195" t="s">
        <v>143</v>
      </c>
    </row>
    <row r="196" spans="2:26" x14ac:dyDescent="0.3">
      <c r="B196" t="s">
        <v>95</v>
      </c>
      <c r="C196">
        <v>116</v>
      </c>
      <c r="D196">
        <v>20</v>
      </c>
      <c r="E196">
        <v>35</v>
      </c>
      <c r="F196">
        <v>150</v>
      </c>
      <c r="G196">
        <v>16.684285583877863</v>
      </c>
      <c r="H196">
        <v>32</v>
      </c>
      <c r="I196">
        <v>0</v>
      </c>
      <c r="J196">
        <v>6.57</v>
      </c>
      <c r="O196">
        <v>48.31</v>
      </c>
      <c r="P196">
        <v>7.09</v>
      </c>
      <c r="Q196">
        <v>35.409999999999997</v>
      </c>
      <c r="R196">
        <v>60.31</v>
      </c>
      <c r="X196" t="s">
        <v>143</v>
      </c>
      <c r="Z196" t="s">
        <v>143</v>
      </c>
    </row>
    <row r="197" spans="2:26" x14ac:dyDescent="0.3">
      <c r="B197" t="s">
        <v>95</v>
      </c>
      <c r="C197">
        <v>116</v>
      </c>
      <c r="D197">
        <v>20</v>
      </c>
      <c r="E197">
        <v>35</v>
      </c>
      <c r="F197">
        <v>150</v>
      </c>
      <c r="G197">
        <v>16.684285583877863</v>
      </c>
      <c r="H197">
        <v>32</v>
      </c>
      <c r="I197">
        <v>0</v>
      </c>
      <c r="J197">
        <v>6.48</v>
      </c>
      <c r="O197">
        <v>48.31</v>
      </c>
      <c r="P197">
        <v>7.11</v>
      </c>
      <c r="Q197">
        <v>35.409999999999997</v>
      </c>
      <c r="R197">
        <v>60.31</v>
      </c>
      <c r="X197" t="s">
        <v>143</v>
      </c>
      <c r="Z197" t="s">
        <v>143</v>
      </c>
    </row>
    <row r="198" spans="2:26" x14ac:dyDescent="0.3">
      <c r="B198" t="s">
        <v>95</v>
      </c>
      <c r="C198">
        <v>116</v>
      </c>
      <c r="D198">
        <v>20</v>
      </c>
      <c r="E198">
        <v>35</v>
      </c>
      <c r="F198">
        <v>150</v>
      </c>
      <c r="G198">
        <v>16.684285583877863</v>
      </c>
      <c r="H198">
        <v>32</v>
      </c>
      <c r="I198">
        <v>0</v>
      </c>
      <c r="J198">
        <v>6.56</v>
      </c>
      <c r="O198">
        <v>48.3</v>
      </c>
      <c r="P198">
        <v>7.1</v>
      </c>
      <c r="Q198">
        <v>35.4</v>
      </c>
      <c r="R198">
        <v>60.3</v>
      </c>
      <c r="X198" t="s">
        <v>143</v>
      </c>
      <c r="Z198" t="s">
        <v>143</v>
      </c>
    </row>
    <row r="199" spans="2:26" x14ac:dyDescent="0.3">
      <c r="B199" t="s">
        <v>96</v>
      </c>
      <c r="C199">
        <v>116</v>
      </c>
      <c r="D199">
        <v>20</v>
      </c>
      <c r="E199">
        <v>35</v>
      </c>
      <c r="F199">
        <v>150</v>
      </c>
      <c r="G199">
        <v>16.684285583877863</v>
      </c>
      <c r="H199">
        <v>32</v>
      </c>
      <c r="I199">
        <v>0</v>
      </c>
      <c r="X199" t="s">
        <v>143</v>
      </c>
      <c r="Z199" t="s">
        <v>143</v>
      </c>
    </row>
    <row r="200" spans="2:26" x14ac:dyDescent="0.3">
      <c r="B200" t="s">
        <v>96</v>
      </c>
      <c r="C200">
        <v>116</v>
      </c>
      <c r="D200">
        <v>20</v>
      </c>
      <c r="E200">
        <v>35</v>
      </c>
      <c r="F200">
        <v>150</v>
      </c>
      <c r="G200">
        <v>16.684285583877863</v>
      </c>
      <c r="H200">
        <v>32</v>
      </c>
      <c r="I200">
        <v>0</v>
      </c>
      <c r="X200" t="s">
        <v>143</v>
      </c>
      <c r="Z200" t="s">
        <v>143</v>
      </c>
    </row>
    <row r="201" spans="2:26" x14ac:dyDescent="0.3">
      <c r="B201" t="s">
        <v>96</v>
      </c>
      <c r="C201">
        <v>116</v>
      </c>
      <c r="D201">
        <v>20</v>
      </c>
      <c r="E201">
        <v>35</v>
      </c>
      <c r="F201">
        <v>150</v>
      </c>
      <c r="G201">
        <v>16.684285583877863</v>
      </c>
      <c r="H201">
        <v>32</v>
      </c>
      <c r="I201">
        <v>0</v>
      </c>
      <c r="X201" t="s">
        <v>143</v>
      </c>
      <c r="Z201" t="s">
        <v>143</v>
      </c>
    </row>
    <row r="202" spans="2:26" x14ac:dyDescent="0.3">
      <c r="B202" t="s">
        <v>100</v>
      </c>
      <c r="C202">
        <v>0</v>
      </c>
      <c r="D202">
        <v>0</v>
      </c>
      <c r="E202">
        <v>0</v>
      </c>
      <c r="F202">
        <v>150</v>
      </c>
      <c r="G202">
        <v>0</v>
      </c>
      <c r="H202">
        <v>32</v>
      </c>
      <c r="I202">
        <v>0</v>
      </c>
      <c r="X202" t="s">
        <v>143</v>
      </c>
      <c r="Z202" t="s">
        <v>143</v>
      </c>
    </row>
    <row r="203" spans="2:26" x14ac:dyDescent="0.3">
      <c r="B203" t="s">
        <v>100</v>
      </c>
      <c r="C203">
        <v>0</v>
      </c>
      <c r="D203">
        <v>0</v>
      </c>
      <c r="E203">
        <v>0</v>
      </c>
      <c r="F203">
        <v>150</v>
      </c>
      <c r="G203">
        <v>0</v>
      </c>
      <c r="H203">
        <v>32</v>
      </c>
      <c r="I203">
        <v>0</v>
      </c>
      <c r="X203" t="s">
        <v>143</v>
      </c>
      <c r="Z203" t="s">
        <v>143</v>
      </c>
    </row>
    <row r="204" spans="2:26" x14ac:dyDescent="0.3">
      <c r="B204" t="s">
        <v>100</v>
      </c>
      <c r="C204">
        <v>0</v>
      </c>
      <c r="D204">
        <v>0</v>
      </c>
      <c r="E204">
        <v>0</v>
      </c>
      <c r="F204">
        <v>150</v>
      </c>
      <c r="G204">
        <v>0</v>
      </c>
      <c r="H204">
        <v>32</v>
      </c>
      <c r="I204">
        <v>0</v>
      </c>
      <c r="X204" t="s">
        <v>143</v>
      </c>
      <c r="Z204" t="s">
        <v>143</v>
      </c>
    </row>
    <row r="205" spans="2:26" x14ac:dyDescent="0.3">
      <c r="B205" t="s">
        <v>148</v>
      </c>
      <c r="C205">
        <v>116</v>
      </c>
      <c r="D205">
        <v>20</v>
      </c>
      <c r="E205">
        <v>35</v>
      </c>
      <c r="F205">
        <v>150</v>
      </c>
      <c r="G205">
        <v>16.684285583877863</v>
      </c>
      <c r="H205">
        <v>32</v>
      </c>
      <c r="I205">
        <v>10</v>
      </c>
    </row>
    <row r="206" spans="2:26" x14ac:dyDescent="0.3">
      <c r="B206" t="s">
        <v>148</v>
      </c>
      <c r="C206">
        <v>116</v>
      </c>
      <c r="D206">
        <v>20</v>
      </c>
      <c r="E206">
        <v>35</v>
      </c>
      <c r="F206">
        <v>150</v>
      </c>
      <c r="G206">
        <v>16.684285583877863</v>
      </c>
      <c r="H206">
        <v>32</v>
      </c>
      <c r="I206">
        <v>10</v>
      </c>
    </row>
    <row r="207" spans="2:26" x14ac:dyDescent="0.3">
      <c r="B207" t="s">
        <v>148</v>
      </c>
      <c r="C207">
        <v>116</v>
      </c>
      <c r="D207">
        <v>20</v>
      </c>
      <c r="E207">
        <v>35</v>
      </c>
      <c r="F207">
        <v>150</v>
      </c>
      <c r="G207">
        <v>16.684285583877863</v>
      </c>
      <c r="H207">
        <v>32</v>
      </c>
      <c r="I207">
        <v>10</v>
      </c>
    </row>
    <row r="208" spans="2:26" x14ac:dyDescent="0.3">
      <c r="B208" t="s">
        <v>149</v>
      </c>
      <c r="C208">
        <v>0</v>
      </c>
      <c r="D208">
        <v>0</v>
      </c>
      <c r="E208">
        <v>0</v>
      </c>
      <c r="F208">
        <v>150</v>
      </c>
      <c r="G208">
        <v>0</v>
      </c>
      <c r="H208">
        <v>32</v>
      </c>
      <c r="I208">
        <v>10</v>
      </c>
    </row>
    <row r="209" spans="1:26" x14ac:dyDescent="0.3">
      <c r="B209" t="s">
        <v>149</v>
      </c>
      <c r="C209">
        <v>0</v>
      </c>
      <c r="D209">
        <v>0</v>
      </c>
      <c r="E209">
        <v>0</v>
      </c>
      <c r="F209">
        <v>150</v>
      </c>
      <c r="G209">
        <v>0</v>
      </c>
      <c r="H209">
        <v>32</v>
      </c>
      <c r="I209">
        <v>10</v>
      </c>
    </row>
    <row r="210" spans="1:26" x14ac:dyDescent="0.3">
      <c r="B210" t="s">
        <v>149</v>
      </c>
      <c r="C210">
        <v>0</v>
      </c>
      <c r="D210">
        <v>0</v>
      </c>
      <c r="E210">
        <v>0</v>
      </c>
      <c r="F210">
        <v>150</v>
      </c>
      <c r="G210">
        <v>0</v>
      </c>
      <c r="H210">
        <v>32</v>
      </c>
      <c r="I210">
        <v>10</v>
      </c>
    </row>
    <row r="212" spans="1:26" x14ac:dyDescent="0.3">
      <c r="A212" s="2" t="s">
        <v>183</v>
      </c>
      <c r="B212" t="s">
        <v>115</v>
      </c>
      <c r="C212">
        <v>121</v>
      </c>
      <c r="D212">
        <v>20</v>
      </c>
      <c r="E212">
        <v>10</v>
      </c>
      <c r="F212">
        <v>150</v>
      </c>
      <c r="G212">
        <v>17.160660425863654</v>
      </c>
      <c r="H212">
        <v>32</v>
      </c>
      <c r="I212">
        <v>0</v>
      </c>
      <c r="J212">
        <v>6.48</v>
      </c>
      <c r="N212" t="s">
        <v>73</v>
      </c>
      <c r="O212">
        <v>51.14</v>
      </c>
      <c r="P212">
        <v>6.26</v>
      </c>
      <c r="Q212">
        <v>41.58</v>
      </c>
      <c r="R212">
        <v>66.209999999999994</v>
      </c>
      <c r="V212">
        <v>67.62</v>
      </c>
      <c r="X212" t="s">
        <v>143</v>
      </c>
      <c r="Z212" t="s">
        <v>143</v>
      </c>
    </row>
    <row r="213" spans="1:26" x14ac:dyDescent="0.3">
      <c r="B213" t="s">
        <v>115</v>
      </c>
      <c r="C213">
        <v>121</v>
      </c>
      <c r="D213">
        <v>20</v>
      </c>
      <c r="E213">
        <v>10</v>
      </c>
      <c r="F213">
        <v>150</v>
      </c>
      <c r="G213">
        <v>17.160660425863654</v>
      </c>
      <c r="H213">
        <v>32</v>
      </c>
      <c r="I213">
        <v>0</v>
      </c>
      <c r="J213">
        <v>6.5</v>
      </c>
      <c r="N213" t="s">
        <v>73</v>
      </c>
      <c r="O213">
        <v>51.17</v>
      </c>
      <c r="P213">
        <v>6.25</v>
      </c>
      <c r="Q213">
        <v>41.56</v>
      </c>
      <c r="R213">
        <v>66.209999999999994</v>
      </c>
      <c r="X213" t="s">
        <v>143</v>
      </c>
      <c r="Z213" t="s">
        <v>143</v>
      </c>
    </row>
    <row r="214" spans="1:26" x14ac:dyDescent="0.3">
      <c r="B214" t="s">
        <v>115</v>
      </c>
      <c r="C214">
        <v>121</v>
      </c>
      <c r="D214">
        <v>20</v>
      </c>
      <c r="E214">
        <v>10</v>
      </c>
      <c r="F214">
        <v>150</v>
      </c>
      <c r="G214">
        <v>17.160660425863654</v>
      </c>
      <c r="H214">
        <v>32</v>
      </c>
      <c r="I214">
        <v>0</v>
      </c>
      <c r="J214">
        <v>6.51</v>
      </c>
      <c r="N214" t="s">
        <v>73</v>
      </c>
      <c r="O214">
        <v>51.18</v>
      </c>
      <c r="P214">
        <v>6.25</v>
      </c>
      <c r="Q214">
        <v>41.55</v>
      </c>
      <c r="R214">
        <v>66.22</v>
      </c>
      <c r="X214" t="s">
        <v>143</v>
      </c>
      <c r="Z214" t="s">
        <v>143</v>
      </c>
    </row>
    <row r="215" spans="1:26" x14ac:dyDescent="0.3">
      <c r="B215" t="s">
        <v>116</v>
      </c>
      <c r="C215">
        <v>121</v>
      </c>
      <c r="D215">
        <v>20</v>
      </c>
      <c r="E215">
        <v>10</v>
      </c>
      <c r="F215">
        <v>150</v>
      </c>
      <c r="G215">
        <v>17.160660425863654</v>
      </c>
      <c r="H215">
        <v>32</v>
      </c>
      <c r="I215">
        <v>0</v>
      </c>
      <c r="J215">
        <v>7.19</v>
      </c>
      <c r="N215" t="s">
        <v>73</v>
      </c>
      <c r="O215">
        <v>52.48</v>
      </c>
      <c r="P215">
        <v>6.45</v>
      </c>
      <c r="Q215">
        <v>39.619999999999997</v>
      </c>
      <c r="R215">
        <v>66.069999999999993</v>
      </c>
      <c r="S215">
        <v>5.0000000000000001E-3</v>
      </c>
      <c r="T215">
        <v>15.9</v>
      </c>
      <c r="U215">
        <v>0</v>
      </c>
      <c r="V215">
        <v>65.61</v>
      </c>
      <c r="X215" t="s">
        <v>143</v>
      </c>
      <c r="Z215" t="s">
        <v>143</v>
      </c>
    </row>
    <row r="216" spans="1:26" x14ac:dyDescent="0.3">
      <c r="B216" t="s">
        <v>116</v>
      </c>
      <c r="C216">
        <v>121</v>
      </c>
      <c r="D216">
        <v>20</v>
      </c>
      <c r="E216">
        <v>10</v>
      </c>
      <c r="F216">
        <v>150</v>
      </c>
      <c r="G216">
        <v>17.160660425863654</v>
      </c>
      <c r="H216">
        <v>32</v>
      </c>
      <c r="I216">
        <v>0</v>
      </c>
      <c r="J216">
        <v>6.99</v>
      </c>
      <c r="N216" t="s">
        <v>73</v>
      </c>
      <c r="O216">
        <v>52.46</v>
      </c>
      <c r="P216">
        <v>6.44</v>
      </c>
      <c r="Q216">
        <v>39.64</v>
      </c>
      <c r="R216">
        <v>66.069999999999993</v>
      </c>
      <c r="S216">
        <v>5.0000000000000001E-3</v>
      </c>
      <c r="T216">
        <v>16.2</v>
      </c>
      <c r="U216">
        <v>-2</v>
      </c>
      <c r="X216" t="s">
        <v>143</v>
      </c>
      <c r="Z216" t="s">
        <v>143</v>
      </c>
    </row>
    <row r="217" spans="1:26" x14ac:dyDescent="0.3">
      <c r="B217" t="s">
        <v>116</v>
      </c>
      <c r="C217">
        <v>121</v>
      </c>
      <c r="D217">
        <v>20</v>
      </c>
      <c r="E217">
        <v>10</v>
      </c>
      <c r="F217">
        <v>150</v>
      </c>
      <c r="G217">
        <v>17.160660425863654</v>
      </c>
      <c r="H217">
        <v>32</v>
      </c>
      <c r="I217">
        <v>0</v>
      </c>
      <c r="J217">
        <v>6.97</v>
      </c>
      <c r="N217" t="s">
        <v>73</v>
      </c>
      <c r="O217">
        <v>52.45</v>
      </c>
      <c r="P217">
        <v>6.43</v>
      </c>
      <c r="Q217">
        <v>39.65</v>
      </c>
      <c r="R217">
        <v>66.06</v>
      </c>
      <c r="S217">
        <v>0.01</v>
      </c>
      <c r="T217">
        <v>16.2</v>
      </c>
      <c r="U217">
        <v>-2</v>
      </c>
      <c r="X217" t="s">
        <v>143</v>
      </c>
      <c r="Z217" t="s">
        <v>143</v>
      </c>
    </row>
    <row r="218" spans="1:26" x14ac:dyDescent="0.3">
      <c r="B218" t="s">
        <v>117</v>
      </c>
      <c r="C218">
        <v>121</v>
      </c>
      <c r="D218">
        <v>20</v>
      </c>
      <c r="E218">
        <v>10</v>
      </c>
      <c r="F218">
        <v>150</v>
      </c>
      <c r="G218">
        <v>17.160660425863654</v>
      </c>
      <c r="H218">
        <v>32</v>
      </c>
      <c r="I218">
        <v>0</v>
      </c>
      <c r="J218">
        <v>6.69</v>
      </c>
      <c r="N218" t="s">
        <v>73</v>
      </c>
      <c r="O218">
        <v>52.46</v>
      </c>
      <c r="P218">
        <v>6.5</v>
      </c>
      <c r="Q218">
        <v>42.11</v>
      </c>
      <c r="R218">
        <v>67.58</v>
      </c>
      <c r="S218">
        <v>0.747</v>
      </c>
      <c r="T218">
        <v>9.5</v>
      </c>
      <c r="U218">
        <v>-2</v>
      </c>
      <c r="X218" t="s">
        <v>143</v>
      </c>
      <c r="Z218" t="s">
        <v>143</v>
      </c>
    </row>
    <row r="219" spans="1:26" x14ac:dyDescent="0.3">
      <c r="B219" t="s">
        <v>117</v>
      </c>
      <c r="C219">
        <v>121</v>
      </c>
      <c r="D219">
        <v>20</v>
      </c>
      <c r="E219">
        <v>10</v>
      </c>
      <c r="F219">
        <v>150</v>
      </c>
      <c r="G219">
        <v>17.160660425863654</v>
      </c>
      <c r="H219">
        <v>32</v>
      </c>
      <c r="I219">
        <v>0</v>
      </c>
      <c r="J219">
        <v>6.45</v>
      </c>
      <c r="N219" t="s">
        <v>73</v>
      </c>
      <c r="O219">
        <v>52.46</v>
      </c>
      <c r="P219">
        <v>6.5</v>
      </c>
      <c r="Q219">
        <v>42.11</v>
      </c>
      <c r="R219">
        <v>67.58</v>
      </c>
      <c r="S219">
        <v>0.44900000000000001</v>
      </c>
      <c r="T219">
        <v>9.6</v>
      </c>
      <c r="U219">
        <v>-5</v>
      </c>
      <c r="X219" t="s">
        <v>143</v>
      </c>
      <c r="Z219" t="s">
        <v>143</v>
      </c>
    </row>
    <row r="220" spans="1:26" x14ac:dyDescent="0.3">
      <c r="B220" t="s">
        <v>117</v>
      </c>
      <c r="C220">
        <v>121</v>
      </c>
      <c r="D220">
        <v>20</v>
      </c>
      <c r="E220">
        <v>10</v>
      </c>
      <c r="F220">
        <v>150</v>
      </c>
      <c r="G220">
        <v>17.160660425863654</v>
      </c>
      <c r="H220">
        <v>32</v>
      </c>
      <c r="I220">
        <v>0</v>
      </c>
      <c r="J220">
        <v>6.47</v>
      </c>
      <c r="N220" t="s">
        <v>73</v>
      </c>
      <c r="O220">
        <v>52.45</v>
      </c>
      <c r="P220">
        <v>6.49</v>
      </c>
      <c r="Q220">
        <v>42.09</v>
      </c>
      <c r="R220">
        <v>57.56</v>
      </c>
      <c r="S220">
        <v>0.30399999999999999</v>
      </c>
      <c r="T220">
        <v>9.6</v>
      </c>
      <c r="U220">
        <v>-5</v>
      </c>
      <c r="X220" t="s">
        <v>143</v>
      </c>
      <c r="Z220" t="s">
        <v>143</v>
      </c>
    </row>
    <row r="221" spans="1:26" x14ac:dyDescent="0.3">
      <c r="B221" t="s">
        <v>118</v>
      </c>
      <c r="C221">
        <v>0</v>
      </c>
      <c r="D221">
        <v>0</v>
      </c>
      <c r="E221">
        <v>0</v>
      </c>
      <c r="F221">
        <v>150</v>
      </c>
      <c r="G221">
        <v>0</v>
      </c>
      <c r="H221">
        <v>32</v>
      </c>
      <c r="I221">
        <v>0</v>
      </c>
      <c r="J221">
        <v>6.17</v>
      </c>
      <c r="O221">
        <v>54.09</v>
      </c>
      <c r="P221">
        <v>7.56</v>
      </c>
      <c r="Q221">
        <v>51.12</v>
      </c>
      <c r="R221">
        <v>74.813999999999993</v>
      </c>
      <c r="V221">
        <v>68.260000000000005</v>
      </c>
      <c r="W221">
        <v>0.75449999999999995</v>
      </c>
      <c r="X221" t="s">
        <v>143</v>
      </c>
      <c r="Z221" t="s">
        <v>143</v>
      </c>
    </row>
    <row r="222" spans="1:26" x14ac:dyDescent="0.3">
      <c r="B222" t="s">
        <v>118</v>
      </c>
      <c r="C222">
        <v>0</v>
      </c>
      <c r="D222">
        <v>0</v>
      </c>
      <c r="E222">
        <v>0</v>
      </c>
      <c r="F222">
        <v>150</v>
      </c>
      <c r="G222">
        <v>0</v>
      </c>
      <c r="H222">
        <v>32</v>
      </c>
      <c r="I222">
        <v>0</v>
      </c>
      <c r="J222">
        <v>6.12</v>
      </c>
      <c r="O222">
        <v>54.07</v>
      </c>
      <c r="P222">
        <v>7.57</v>
      </c>
      <c r="Q222">
        <v>51.12</v>
      </c>
      <c r="R222">
        <v>74.790000000000006</v>
      </c>
      <c r="X222" t="s">
        <v>143</v>
      </c>
      <c r="Z222" t="s">
        <v>143</v>
      </c>
    </row>
    <row r="223" spans="1:26" x14ac:dyDescent="0.3">
      <c r="B223" t="s">
        <v>118</v>
      </c>
      <c r="C223">
        <v>0</v>
      </c>
      <c r="D223">
        <v>0</v>
      </c>
      <c r="E223">
        <v>0</v>
      </c>
      <c r="F223">
        <v>150</v>
      </c>
      <c r="G223">
        <v>0</v>
      </c>
      <c r="H223">
        <v>32</v>
      </c>
      <c r="I223">
        <v>0</v>
      </c>
      <c r="J223">
        <v>6.11</v>
      </c>
      <c r="O223">
        <v>54.08</v>
      </c>
      <c r="P223">
        <v>7.58</v>
      </c>
      <c r="Q223">
        <v>51.06</v>
      </c>
      <c r="R223">
        <v>74.760000000000005</v>
      </c>
      <c r="X223" t="s">
        <v>143</v>
      </c>
      <c r="Z223" t="s">
        <v>143</v>
      </c>
    </row>
    <row r="224" spans="1:26" x14ac:dyDescent="0.3">
      <c r="B224" t="s">
        <v>118</v>
      </c>
      <c r="C224">
        <v>0</v>
      </c>
      <c r="D224">
        <v>0</v>
      </c>
      <c r="E224">
        <v>0</v>
      </c>
      <c r="F224">
        <v>150</v>
      </c>
      <c r="G224">
        <v>0</v>
      </c>
      <c r="H224">
        <v>32</v>
      </c>
      <c r="I224">
        <v>0</v>
      </c>
      <c r="J224">
        <v>6.17</v>
      </c>
      <c r="O224">
        <v>55.78</v>
      </c>
      <c r="P224">
        <v>6.24</v>
      </c>
      <c r="Q224">
        <v>49.74</v>
      </c>
      <c r="R224">
        <v>75</v>
      </c>
      <c r="S224">
        <v>19.100000000000001</v>
      </c>
      <c r="T224">
        <v>0.5</v>
      </c>
      <c r="U224">
        <v>0</v>
      </c>
      <c r="V224">
        <v>62.99</v>
      </c>
      <c r="W224">
        <v>0.75449999999999995</v>
      </c>
      <c r="X224" t="s">
        <v>143</v>
      </c>
      <c r="Z224" t="s">
        <v>143</v>
      </c>
    </row>
    <row r="225" spans="2:26" x14ac:dyDescent="0.3">
      <c r="B225" t="s">
        <v>118</v>
      </c>
      <c r="C225">
        <v>0</v>
      </c>
      <c r="D225">
        <v>0</v>
      </c>
      <c r="E225">
        <v>0</v>
      </c>
      <c r="F225">
        <v>150</v>
      </c>
      <c r="G225">
        <v>0</v>
      </c>
      <c r="H225">
        <v>32</v>
      </c>
      <c r="I225">
        <v>0</v>
      </c>
      <c r="J225">
        <v>6.12</v>
      </c>
      <c r="O225">
        <v>55.78</v>
      </c>
      <c r="P225">
        <v>6.24</v>
      </c>
      <c r="Q225">
        <v>49.77</v>
      </c>
      <c r="R225">
        <v>75.010000000000005</v>
      </c>
      <c r="S225">
        <v>19</v>
      </c>
      <c r="T225">
        <v>0.3</v>
      </c>
      <c r="U225">
        <v>0</v>
      </c>
      <c r="X225" t="s">
        <v>143</v>
      </c>
      <c r="Z225" t="s">
        <v>143</v>
      </c>
    </row>
    <row r="226" spans="2:26" x14ac:dyDescent="0.3">
      <c r="B226" t="s">
        <v>118</v>
      </c>
      <c r="C226">
        <v>0</v>
      </c>
      <c r="D226">
        <v>0</v>
      </c>
      <c r="E226">
        <v>0</v>
      </c>
      <c r="F226">
        <v>150</v>
      </c>
      <c r="G226">
        <v>0</v>
      </c>
      <c r="H226">
        <v>32</v>
      </c>
      <c r="I226">
        <v>0</v>
      </c>
      <c r="J226">
        <v>6.11</v>
      </c>
      <c r="O226">
        <v>55.76</v>
      </c>
      <c r="P226">
        <v>6.24</v>
      </c>
      <c r="Q226">
        <v>49.77</v>
      </c>
      <c r="R226">
        <v>75</v>
      </c>
      <c r="S226">
        <v>19</v>
      </c>
      <c r="T226">
        <v>0.3</v>
      </c>
      <c r="U226">
        <v>-1</v>
      </c>
      <c r="X226" t="s">
        <v>143</v>
      </c>
      <c r="Z226" t="s">
        <v>143</v>
      </c>
    </row>
    <row r="227" spans="2:26" x14ac:dyDescent="0.3">
      <c r="B227" t="s">
        <v>150</v>
      </c>
      <c r="C227">
        <v>121</v>
      </c>
      <c r="D227">
        <v>20</v>
      </c>
      <c r="E227">
        <v>10</v>
      </c>
      <c r="F227">
        <v>150</v>
      </c>
      <c r="G227">
        <v>17.160660425863654</v>
      </c>
      <c r="H227">
        <v>32</v>
      </c>
      <c r="I227">
        <v>10</v>
      </c>
      <c r="N227" t="s">
        <v>73</v>
      </c>
    </row>
    <row r="228" spans="2:26" x14ac:dyDescent="0.3">
      <c r="B228" t="s">
        <v>150</v>
      </c>
      <c r="C228">
        <v>121</v>
      </c>
      <c r="D228">
        <v>20</v>
      </c>
      <c r="E228">
        <v>10</v>
      </c>
      <c r="F228">
        <v>150</v>
      </c>
      <c r="G228">
        <v>17.160660425863654</v>
      </c>
      <c r="H228">
        <v>32</v>
      </c>
      <c r="I228">
        <v>10</v>
      </c>
      <c r="N228" t="s">
        <v>73</v>
      </c>
    </row>
    <row r="229" spans="2:26" x14ac:dyDescent="0.3">
      <c r="B229" t="s">
        <v>150</v>
      </c>
      <c r="C229">
        <v>121</v>
      </c>
      <c r="D229">
        <v>20</v>
      </c>
      <c r="E229">
        <v>10</v>
      </c>
      <c r="F229">
        <v>150</v>
      </c>
      <c r="G229">
        <v>17.160660425863654</v>
      </c>
      <c r="H229">
        <v>32</v>
      </c>
      <c r="I229">
        <v>10</v>
      </c>
      <c r="N229" t="s">
        <v>73</v>
      </c>
    </row>
    <row r="230" spans="2:26" x14ac:dyDescent="0.3">
      <c r="B230" t="s">
        <v>154</v>
      </c>
      <c r="C230">
        <v>0</v>
      </c>
      <c r="D230">
        <v>0</v>
      </c>
      <c r="E230">
        <v>0</v>
      </c>
      <c r="F230">
        <v>150</v>
      </c>
      <c r="G230">
        <v>0</v>
      </c>
      <c r="H230">
        <v>32</v>
      </c>
      <c r="I230">
        <v>10</v>
      </c>
    </row>
    <row r="231" spans="2:26" x14ac:dyDescent="0.3">
      <c r="B231" t="s">
        <v>154</v>
      </c>
      <c r="C231">
        <v>0</v>
      </c>
      <c r="D231">
        <v>0</v>
      </c>
      <c r="E231">
        <v>0</v>
      </c>
      <c r="F231">
        <v>150</v>
      </c>
      <c r="G231">
        <v>0</v>
      </c>
      <c r="H231">
        <v>32</v>
      </c>
      <c r="I231">
        <v>10</v>
      </c>
    </row>
    <row r="232" spans="2:26" x14ac:dyDescent="0.3">
      <c r="B232" t="s">
        <v>154</v>
      </c>
      <c r="C232">
        <v>0</v>
      </c>
      <c r="D232">
        <v>0</v>
      </c>
      <c r="E232">
        <v>0</v>
      </c>
      <c r="F232">
        <v>150</v>
      </c>
      <c r="G232">
        <v>0</v>
      </c>
      <c r="H232">
        <v>32</v>
      </c>
      <c r="I232">
        <v>10</v>
      </c>
    </row>
    <row r="233" spans="2:26" x14ac:dyDescent="0.3">
      <c r="B233" t="s">
        <v>155</v>
      </c>
      <c r="C233">
        <v>121</v>
      </c>
      <c r="D233">
        <v>20</v>
      </c>
      <c r="E233">
        <v>10</v>
      </c>
      <c r="F233">
        <v>150</v>
      </c>
      <c r="G233">
        <v>17.160660425863654</v>
      </c>
      <c r="H233">
        <v>55</v>
      </c>
      <c r="I233">
        <v>3</v>
      </c>
    </row>
    <row r="234" spans="2:26" x14ac:dyDescent="0.3">
      <c r="B234" t="s">
        <v>155</v>
      </c>
      <c r="C234">
        <v>121</v>
      </c>
      <c r="D234">
        <v>20</v>
      </c>
      <c r="E234">
        <v>10</v>
      </c>
      <c r="F234">
        <v>150</v>
      </c>
      <c r="G234">
        <v>17.160660425863654</v>
      </c>
      <c r="H234">
        <v>55</v>
      </c>
      <c r="I234">
        <v>3</v>
      </c>
    </row>
    <row r="235" spans="2:26" x14ac:dyDescent="0.3">
      <c r="B235" t="s">
        <v>155</v>
      </c>
      <c r="C235">
        <v>121</v>
      </c>
      <c r="D235">
        <v>20</v>
      </c>
      <c r="E235">
        <v>10</v>
      </c>
      <c r="F235">
        <v>150</v>
      </c>
      <c r="G235">
        <v>17.160660425863654</v>
      </c>
      <c r="H235">
        <v>55</v>
      </c>
      <c r="I235">
        <v>3</v>
      </c>
    </row>
    <row r="236" spans="2:26" x14ac:dyDescent="0.3">
      <c r="B236" t="s">
        <v>160</v>
      </c>
      <c r="C236">
        <v>121</v>
      </c>
      <c r="D236">
        <v>20</v>
      </c>
      <c r="E236">
        <v>10</v>
      </c>
      <c r="F236">
        <v>150</v>
      </c>
      <c r="G236">
        <v>17.160660425863654</v>
      </c>
      <c r="H236">
        <v>45</v>
      </c>
      <c r="I236">
        <v>5</v>
      </c>
    </row>
    <row r="237" spans="2:26" x14ac:dyDescent="0.3">
      <c r="B237" t="s">
        <v>160</v>
      </c>
      <c r="C237">
        <v>121</v>
      </c>
      <c r="D237">
        <v>20</v>
      </c>
      <c r="E237">
        <v>10</v>
      </c>
      <c r="F237">
        <v>150</v>
      </c>
      <c r="G237">
        <v>17.160660425863654</v>
      </c>
      <c r="H237">
        <v>45</v>
      </c>
      <c r="I237">
        <v>5</v>
      </c>
    </row>
    <row r="238" spans="2:26" x14ac:dyDescent="0.3">
      <c r="B238" t="s">
        <v>160</v>
      </c>
      <c r="C238">
        <v>121</v>
      </c>
      <c r="D238">
        <v>20</v>
      </c>
      <c r="E238">
        <v>10</v>
      </c>
      <c r="F238">
        <v>150</v>
      </c>
      <c r="G238">
        <v>17.160660425863654</v>
      </c>
      <c r="H238">
        <v>45</v>
      </c>
      <c r="I238">
        <v>5</v>
      </c>
    </row>
    <row r="239" spans="2:26" x14ac:dyDescent="0.3">
      <c r="B239" t="s">
        <v>160</v>
      </c>
      <c r="C239">
        <v>121</v>
      </c>
      <c r="D239">
        <v>20</v>
      </c>
      <c r="E239">
        <v>10</v>
      </c>
      <c r="F239">
        <v>150</v>
      </c>
      <c r="G239">
        <v>17.160660425863654</v>
      </c>
      <c r="H239">
        <v>55</v>
      </c>
      <c r="I239">
        <v>6</v>
      </c>
    </row>
    <row r="240" spans="2:26" x14ac:dyDescent="0.3">
      <c r="B240" t="s">
        <v>160</v>
      </c>
      <c r="C240">
        <v>121</v>
      </c>
      <c r="D240">
        <v>20</v>
      </c>
      <c r="E240">
        <v>10</v>
      </c>
      <c r="F240">
        <v>150</v>
      </c>
      <c r="G240">
        <v>17.160660425863654</v>
      </c>
      <c r="H240">
        <v>55</v>
      </c>
      <c r="I240">
        <v>6</v>
      </c>
    </row>
    <row r="241" spans="2:26" x14ac:dyDescent="0.3">
      <c r="B241" t="s">
        <v>160</v>
      </c>
      <c r="C241">
        <v>121</v>
      </c>
      <c r="D241">
        <v>20</v>
      </c>
      <c r="E241">
        <v>10</v>
      </c>
      <c r="F241">
        <v>150</v>
      </c>
      <c r="G241">
        <v>17.160660425863654</v>
      </c>
      <c r="H241">
        <v>55</v>
      </c>
      <c r="I241">
        <v>6</v>
      </c>
    </row>
    <row r="242" spans="2:26" x14ac:dyDescent="0.3">
      <c r="B242" t="s">
        <v>161</v>
      </c>
      <c r="C242">
        <v>121</v>
      </c>
      <c r="D242">
        <v>20</v>
      </c>
      <c r="E242">
        <v>10</v>
      </c>
      <c r="F242">
        <v>150</v>
      </c>
      <c r="G242">
        <v>17.160660425863654</v>
      </c>
      <c r="H242">
        <v>32</v>
      </c>
      <c r="I242">
        <v>7</v>
      </c>
    </row>
    <row r="243" spans="2:26" x14ac:dyDescent="0.3">
      <c r="B243" t="s">
        <v>161</v>
      </c>
      <c r="C243">
        <v>121</v>
      </c>
      <c r="D243">
        <v>20</v>
      </c>
      <c r="E243">
        <v>10</v>
      </c>
      <c r="F243">
        <v>150</v>
      </c>
      <c r="G243">
        <v>17.160660425863654</v>
      </c>
      <c r="H243">
        <v>32</v>
      </c>
      <c r="I243">
        <v>7</v>
      </c>
    </row>
    <row r="244" spans="2:26" x14ac:dyDescent="0.3">
      <c r="B244" t="s">
        <v>161</v>
      </c>
      <c r="C244">
        <v>121</v>
      </c>
      <c r="D244">
        <v>20</v>
      </c>
      <c r="E244">
        <v>10</v>
      </c>
      <c r="F244">
        <v>150</v>
      </c>
      <c r="G244">
        <v>17.160660425863654</v>
      </c>
      <c r="H244">
        <v>32</v>
      </c>
      <c r="I244">
        <v>7</v>
      </c>
    </row>
    <row r="245" spans="2:26" x14ac:dyDescent="0.3">
      <c r="B245" t="s">
        <v>161</v>
      </c>
      <c r="C245">
        <v>121</v>
      </c>
      <c r="D245">
        <v>20</v>
      </c>
      <c r="E245">
        <v>10</v>
      </c>
      <c r="F245">
        <v>150</v>
      </c>
      <c r="G245">
        <v>17.160660425863654</v>
      </c>
      <c r="H245">
        <v>55</v>
      </c>
      <c r="I245">
        <v>9</v>
      </c>
    </row>
    <row r="246" spans="2:26" x14ac:dyDescent="0.3">
      <c r="B246" t="s">
        <v>161</v>
      </c>
      <c r="C246">
        <v>121</v>
      </c>
      <c r="D246">
        <v>20</v>
      </c>
      <c r="E246">
        <v>10</v>
      </c>
      <c r="F246">
        <v>150</v>
      </c>
      <c r="G246">
        <v>17.160660425863654</v>
      </c>
      <c r="H246">
        <v>55</v>
      </c>
      <c r="I246">
        <v>9</v>
      </c>
    </row>
    <row r="247" spans="2:26" x14ac:dyDescent="0.3">
      <c r="B247" t="s">
        <v>161</v>
      </c>
      <c r="C247">
        <v>121</v>
      </c>
      <c r="D247">
        <v>20</v>
      </c>
      <c r="E247">
        <v>10</v>
      </c>
      <c r="F247">
        <v>150</v>
      </c>
      <c r="G247">
        <v>17.160660425863654</v>
      </c>
      <c r="H247">
        <v>55</v>
      </c>
      <c r="I247">
        <v>9</v>
      </c>
    </row>
    <row r="248" spans="2:26" x14ac:dyDescent="0.3">
      <c r="B248" t="s">
        <v>162</v>
      </c>
      <c r="C248">
        <v>121</v>
      </c>
      <c r="D248">
        <v>20</v>
      </c>
      <c r="E248">
        <v>10</v>
      </c>
      <c r="F248">
        <v>150</v>
      </c>
      <c r="G248">
        <v>17.160660425863654</v>
      </c>
      <c r="H248">
        <v>45</v>
      </c>
      <c r="I248">
        <v>10</v>
      </c>
    </row>
    <row r="249" spans="2:26" x14ac:dyDescent="0.3">
      <c r="B249" t="s">
        <v>162</v>
      </c>
      <c r="C249">
        <v>121</v>
      </c>
      <c r="D249">
        <v>20</v>
      </c>
      <c r="E249">
        <v>10</v>
      </c>
      <c r="F249">
        <v>150</v>
      </c>
      <c r="G249">
        <v>17.160660425863654</v>
      </c>
      <c r="H249">
        <v>45</v>
      </c>
      <c r="I249">
        <v>10</v>
      </c>
    </row>
    <row r="250" spans="2:26" x14ac:dyDescent="0.3">
      <c r="B250" t="s">
        <v>162</v>
      </c>
      <c r="C250">
        <v>121</v>
      </c>
      <c r="D250">
        <v>20</v>
      </c>
      <c r="E250">
        <v>10</v>
      </c>
      <c r="F250">
        <v>150</v>
      </c>
      <c r="G250">
        <v>17.160660425863654</v>
      </c>
      <c r="H250">
        <v>45</v>
      </c>
      <c r="I250">
        <v>10</v>
      </c>
    </row>
    <row r="251" spans="2:26" x14ac:dyDescent="0.3">
      <c r="B251" t="s">
        <v>163</v>
      </c>
      <c r="C251">
        <v>121</v>
      </c>
      <c r="D251">
        <v>20</v>
      </c>
      <c r="E251">
        <v>10</v>
      </c>
      <c r="F251">
        <v>150</v>
      </c>
      <c r="G251">
        <v>17.160660425863654</v>
      </c>
      <c r="H251">
        <v>28</v>
      </c>
      <c r="I251">
        <v>13</v>
      </c>
      <c r="N251" t="s">
        <v>73</v>
      </c>
      <c r="S251">
        <v>0.10299999999999999</v>
      </c>
      <c r="T251">
        <v>17.399999999999999</v>
      </c>
      <c r="U251">
        <v>0</v>
      </c>
      <c r="X251" t="s">
        <v>143</v>
      </c>
      <c r="Y251" t="s">
        <v>142</v>
      </c>
      <c r="Z251" t="s">
        <v>143</v>
      </c>
    </row>
    <row r="252" spans="2:26" x14ac:dyDescent="0.3">
      <c r="B252" t="s">
        <v>163</v>
      </c>
      <c r="C252">
        <v>121</v>
      </c>
      <c r="D252">
        <v>20</v>
      </c>
      <c r="E252">
        <v>10</v>
      </c>
      <c r="F252">
        <v>150</v>
      </c>
      <c r="G252">
        <v>17.160660425863654</v>
      </c>
      <c r="H252">
        <v>28</v>
      </c>
      <c r="I252">
        <v>13</v>
      </c>
      <c r="N252" t="s">
        <v>73</v>
      </c>
      <c r="S252">
        <v>0.10299999999999999</v>
      </c>
      <c r="T252">
        <v>17.399999999999999</v>
      </c>
      <c r="U252">
        <v>0</v>
      </c>
      <c r="X252" t="s">
        <v>143</v>
      </c>
      <c r="Y252" t="s">
        <v>142</v>
      </c>
      <c r="Z252" t="s">
        <v>143</v>
      </c>
    </row>
    <row r="253" spans="2:26" x14ac:dyDescent="0.3">
      <c r="B253" t="s">
        <v>163</v>
      </c>
      <c r="C253">
        <v>121</v>
      </c>
      <c r="D253">
        <v>20</v>
      </c>
      <c r="E253">
        <v>10</v>
      </c>
      <c r="F253">
        <v>150</v>
      </c>
      <c r="G253">
        <v>17.160660425863654</v>
      </c>
      <c r="H253">
        <v>28</v>
      </c>
      <c r="I253">
        <v>13</v>
      </c>
      <c r="N253" t="s">
        <v>73</v>
      </c>
      <c r="S253">
        <v>2.1000000000000001E-2</v>
      </c>
      <c r="T253">
        <v>17.7</v>
      </c>
      <c r="U253">
        <v>0</v>
      </c>
      <c r="X253" t="s">
        <v>143</v>
      </c>
      <c r="Y253" t="s">
        <v>142</v>
      </c>
      <c r="Z253" t="s">
        <v>143</v>
      </c>
    </row>
    <row r="254" spans="2:26" x14ac:dyDescent="0.3">
      <c r="B254" t="s">
        <v>164</v>
      </c>
      <c r="C254">
        <v>121</v>
      </c>
      <c r="D254">
        <v>20</v>
      </c>
      <c r="E254">
        <v>10</v>
      </c>
      <c r="F254">
        <v>150</v>
      </c>
      <c r="G254">
        <v>17.1606604258637</v>
      </c>
      <c r="H254">
        <v>55</v>
      </c>
      <c r="I254">
        <v>12</v>
      </c>
    </row>
    <row r="255" spans="2:26" x14ac:dyDescent="0.3">
      <c r="B255" t="s">
        <v>164</v>
      </c>
      <c r="C255">
        <v>121</v>
      </c>
      <c r="D255">
        <v>20</v>
      </c>
      <c r="E255">
        <v>10</v>
      </c>
      <c r="F255">
        <v>150</v>
      </c>
      <c r="G255">
        <v>17.1606604258637</v>
      </c>
      <c r="H255">
        <v>55</v>
      </c>
      <c r="I255">
        <v>12</v>
      </c>
    </row>
    <row r="256" spans="2:26" x14ac:dyDescent="0.3">
      <c r="B256" t="s">
        <v>164</v>
      </c>
      <c r="C256">
        <v>121</v>
      </c>
      <c r="D256">
        <v>20</v>
      </c>
      <c r="E256">
        <v>10</v>
      </c>
      <c r="F256">
        <v>150</v>
      </c>
      <c r="G256">
        <v>17.1606604258637</v>
      </c>
      <c r="H256">
        <v>55</v>
      </c>
      <c r="I256">
        <v>12</v>
      </c>
    </row>
    <row r="257" spans="2:9" x14ac:dyDescent="0.3">
      <c r="B257" t="s">
        <v>165</v>
      </c>
      <c r="C257">
        <v>121</v>
      </c>
      <c r="D257">
        <v>20</v>
      </c>
      <c r="E257">
        <v>10</v>
      </c>
      <c r="F257">
        <v>150</v>
      </c>
      <c r="G257">
        <v>17.1606604258637</v>
      </c>
      <c r="H257">
        <v>32</v>
      </c>
      <c r="I257">
        <v>14</v>
      </c>
    </row>
    <row r="258" spans="2:9" x14ac:dyDescent="0.3">
      <c r="B258" t="s">
        <v>165</v>
      </c>
      <c r="C258">
        <v>121</v>
      </c>
      <c r="D258">
        <v>20</v>
      </c>
      <c r="E258">
        <v>10</v>
      </c>
      <c r="F258">
        <v>150</v>
      </c>
      <c r="G258">
        <v>17.1606604258637</v>
      </c>
      <c r="H258">
        <v>32</v>
      </c>
      <c r="I258">
        <v>14</v>
      </c>
    </row>
    <row r="259" spans="2:9" x14ac:dyDescent="0.3">
      <c r="B259" t="s">
        <v>165</v>
      </c>
      <c r="C259">
        <v>121</v>
      </c>
      <c r="D259">
        <v>20</v>
      </c>
      <c r="E259">
        <v>10</v>
      </c>
      <c r="F259">
        <v>150</v>
      </c>
      <c r="G259">
        <v>17.1606604258637</v>
      </c>
      <c r="H259">
        <v>32</v>
      </c>
      <c r="I259">
        <v>14</v>
      </c>
    </row>
    <row r="260" spans="2:9" x14ac:dyDescent="0.3">
      <c r="B260" t="s">
        <v>166</v>
      </c>
      <c r="C260">
        <v>121</v>
      </c>
      <c r="D260">
        <v>20</v>
      </c>
      <c r="E260">
        <v>10</v>
      </c>
      <c r="F260">
        <v>150</v>
      </c>
      <c r="G260">
        <v>17.1606604258637</v>
      </c>
      <c r="H260">
        <v>55</v>
      </c>
      <c r="I260">
        <v>15</v>
      </c>
    </row>
    <row r="261" spans="2:9" x14ac:dyDescent="0.3">
      <c r="B261" t="s">
        <v>166</v>
      </c>
      <c r="C261">
        <v>121</v>
      </c>
      <c r="D261">
        <v>20</v>
      </c>
      <c r="E261">
        <v>10</v>
      </c>
      <c r="F261">
        <v>150</v>
      </c>
      <c r="G261">
        <v>17.1606604258637</v>
      </c>
      <c r="H261">
        <v>55</v>
      </c>
      <c r="I261">
        <v>15</v>
      </c>
    </row>
    <row r="262" spans="2:9" x14ac:dyDescent="0.3">
      <c r="B262" t="s">
        <v>166</v>
      </c>
      <c r="C262">
        <v>121</v>
      </c>
      <c r="D262">
        <v>20</v>
      </c>
      <c r="E262">
        <v>10</v>
      </c>
      <c r="F262">
        <v>150</v>
      </c>
      <c r="G262">
        <v>17.1606604258637</v>
      </c>
      <c r="H262">
        <v>55</v>
      </c>
      <c r="I262">
        <v>15</v>
      </c>
    </row>
    <row r="263" spans="2:9" x14ac:dyDescent="0.3">
      <c r="B263" t="s">
        <v>167</v>
      </c>
      <c r="C263">
        <v>121</v>
      </c>
      <c r="D263">
        <v>20</v>
      </c>
      <c r="E263">
        <v>10</v>
      </c>
      <c r="F263">
        <v>150</v>
      </c>
      <c r="G263">
        <v>17.1606604258637</v>
      </c>
      <c r="H263">
        <v>45</v>
      </c>
      <c r="I263">
        <v>15</v>
      </c>
    </row>
    <row r="264" spans="2:9" x14ac:dyDescent="0.3">
      <c r="B264" t="s">
        <v>167</v>
      </c>
      <c r="C264">
        <v>121</v>
      </c>
      <c r="D264">
        <v>20</v>
      </c>
      <c r="E264">
        <v>10</v>
      </c>
      <c r="F264">
        <v>150</v>
      </c>
      <c r="G264">
        <v>17.1606604258637</v>
      </c>
      <c r="H264">
        <v>45</v>
      </c>
      <c r="I264">
        <v>15</v>
      </c>
    </row>
    <row r="265" spans="2:9" x14ac:dyDescent="0.3">
      <c r="B265" t="s">
        <v>167</v>
      </c>
      <c r="C265">
        <v>121</v>
      </c>
      <c r="D265">
        <v>20</v>
      </c>
      <c r="E265">
        <v>10</v>
      </c>
      <c r="F265">
        <v>150</v>
      </c>
      <c r="G265">
        <v>17.1606604258637</v>
      </c>
      <c r="H265">
        <v>45</v>
      </c>
      <c r="I265">
        <v>15</v>
      </c>
    </row>
    <row r="266" spans="2:9" x14ac:dyDescent="0.3">
      <c r="B266" t="s">
        <v>168</v>
      </c>
      <c r="C266">
        <v>121</v>
      </c>
      <c r="D266">
        <v>20</v>
      </c>
      <c r="E266">
        <v>10</v>
      </c>
      <c r="F266">
        <v>150</v>
      </c>
      <c r="G266">
        <v>17.1606604258637</v>
      </c>
      <c r="H266">
        <v>55</v>
      </c>
      <c r="I266">
        <v>18</v>
      </c>
    </row>
    <row r="267" spans="2:9" x14ac:dyDescent="0.3">
      <c r="B267" t="s">
        <v>168</v>
      </c>
      <c r="C267">
        <v>121</v>
      </c>
      <c r="D267">
        <v>20</v>
      </c>
      <c r="E267">
        <v>10</v>
      </c>
      <c r="F267">
        <v>150</v>
      </c>
      <c r="G267">
        <v>17.1606604258637</v>
      </c>
      <c r="H267">
        <v>55</v>
      </c>
      <c r="I267">
        <v>18</v>
      </c>
    </row>
    <row r="268" spans="2:9" x14ac:dyDescent="0.3">
      <c r="B268" t="s">
        <v>168</v>
      </c>
      <c r="C268">
        <v>121</v>
      </c>
      <c r="D268">
        <v>20</v>
      </c>
      <c r="E268">
        <v>10</v>
      </c>
      <c r="F268">
        <v>150</v>
      </c>
      <c r="G268">
        <v>17.1606604258637</v>
      </c>
      <c r="H268">
        <v>55</v>
      </c>
      <c r="I268">
        <v>18</v>
      </c>
    </row>
    <row r="269" spans="2:9" x14ac:dyDescent="0.3">
      <c r="B269" t="s">
        <v>169</v>
      </c>
      <c r="C269">
        <v>121</v>
      </c>
      <c r="D269">
        <v>20</v>
      </c>
      <c r="E269">
        <v>10</v>
      </c>
      <c r="F269">
        <v>150</v>
      </c>
      <c r="G269">
        <v>17.1606604258637</v>
      </c>
      <c r="H269">
        <v>45</v>
      </c>
      <c r="I269">
        <v>20</v>
      </c>
    </row>
    <row r="270" spans="2:9" x14ac:dyDescent="0.3">
      <c r="B270" t="s">
        <v>169</v>
      </c>
      <c r="C270">
        <v>121</v>
      </c>
      <c r="D270">
        <v>20</v>
      </c>
      <c r="E270">
        <v>10</v>
      </c>
      <c r="F270">
        <v>150</v>
      </c>
      <c r="G270">
        <v>17.1606604258637</v>
      </c>
      <c r="H270">
        <v>45</v>
      </c>
      <c r="I270">
        <v>20</v>
      </c>
    </row>
    <row r="271" spans="2:9" x14ac:dyDescent="0.3">
      <c r="B271" t="s">
        <v>169</v>
      </c>
      <c r="C271">
        <v>121</v>
      </c>
      <c r="D271">
        <v>20</v>
      </c>
      <c r="E271">
        <v>10</v>
      </c>
      <c r="F271">
        <v>150</v>
      </c>
      <c r="G271">
        <v>17.1606604258637</v>
      </c>
      <c r="H271">
        <v>45</v>
      </c>
      <c r="I271">
        <v>20</v>
      </c>
    </row>
    <row r="272" spans="2:9" x14ac:dyDescent="0.3">
      <c r="B272" t="s">
        <v>170</v>
      </c>
      <c r="C272">
        <v>121</v>
      </c>
      <c r="D272">
        <v>20</v>
      </c>
      <c r="E272">
        <v>10</v>
      </c>
      <c r="F272">
        <v>150</v>
      </c>
      <c r="G272">
        <v>17.1606604258637</v>
      </c>
      <c r="H272">
        <v>28</v>
      </c>
      <c r="I272">
        <v>20</v>
      </c>
    </row>
    <row r="273" spans="2:9" x14ac:dyDescent="0.3">
      <c r="B273" t="s">
        <v>170</v>
      </c>
      <c r="C273">
        <v>121</v>
      </c>
      <c r="D273">
        <v>20</v>
      </c>
      <c r="E273">
        <v>10</v>
      </c>
      <c r="F273">
        <v>150</v>
      </c>
      <c r="G273">
        <v>17.1606604258637</v>
      </c>
      <c r="H273">
        <v>28</v>
      </c>
      <c r="I273">
        <v>20</v>
      </c>
    </row>
    <row r="274" spans="2:9" x14ac:dyDescent="0.3">
      <c r="B274" t="s">
        <v>170</v>
      </c>
      <c r="C274">
        <v>121</v>
      </c>
      <c r="D274">
        <v>20</v>
      </c>
      <c r="E274">
        <v>10</v>
      </c>
      <c r="F274">
        <v>150</v>
      </c>
      <c r="G274">
        <v>17.1606604258637</v>
      </c>
      <c r="H274">
        <v>28</v>
      </c>
      <c r="I274">
        <v>20</v>
      </c>
    </row>
    <row r="275" spans="2:9" x14ac:dyDescent="0.3">
      <c r="B275" t="s">
        <v>171</v>
      </c>
      <c r="C275">
        <v>121</v>
      </c>
      <c r="D275">
        <v>20</v>
      </c>
      <c r="E275">
        <v>10</v>
      </c>
      <c r="F275">
        <v>150</v>
      </c>
      <c r="G275">
        <v>17.1606604258637</v>
      </c>
      <c r="H275">
        <v>55</v>
      </c>
      <c r="I275">
        <v>21</v>
      </c>
    </row>
    <row r="276" spans="2:9" x14ac:dyDescent="0.3">
      <c r="B276" t="s">
        <v>171</v>
      </c>
      <c r="C276">
        <v>121</v>
      </c>
      <c r="D276">
        <v>20</v>
      </c>
      <c r="E276">
        <v>10</v>
      </c>
      <c r="F276">
        <v>150</v>
      </c>
      <c r="G276">
        <v>17.1606604258637</v>
      </c>
      <c r="H276">
        <v>55</v>
      </c>
      <c r="I276">
        <v>21</v>
      </c>
    </row>
    <row r="277" spans="2:9" x14ac:dyDescent="0.3">
      <c r="B277" t="s">
        <v>171</v>
      </c>
      <c r="C277">
        <v>121</v>
      </c>
      <c r="D277">
        <v>20</v>
      </c>
      <c r="E277">
        <v>10</v>
      </c>
      <c r="F277">
        <v>150</v>
      </c>
      <c r="G277">
        <v>17.1606604258637</v>
      </c>
      <c r="H277">
        <v>55</v>
      </c>
      <c r="I277">
        <v>21</v>
      </c>
    </row>
    <row r="278" spans="2:9" x14ac:dyDescent="0.3">
      <c r="B278" t="s">
        <v>172</v>
      </c>
      <c r="C278">
        <v>121</v>
      </c>
      <c r="D278">
        <v>20</v>
      </c>
      <c r="E278">
        <v>10</v>
      </c>
      <c r="F278">
        <v>150</v>
      </c>
      <c r="G278">
        <v>17.1606604258637</v>
      </c>
      <c r="H278">
        <v>32</v>
      </c>
      <c r="I278">
        <v>21</v>
      </c>
    </row>
    <row r="279" spans="2:9" x14ac:dyDescent="0.3">
      <c r="B279" t="s">
        <v>172</v>
      </c>
      <c r="C279">
        <v>121</v>
      </c>
      <c r="D279">
        <v>20</v>
      </c>
      <c r="E279">
        <v>10</v>
      </c>
      <c r="F279">
        <v>150</v>
      </c>
      <c r="G279">
        <v>17.1606604258637</v>
      </c>
      <c r="H279">
        <v>32</v>
      </c>
      <c r="I279">
        <v>21</v>
      </c>
    </row>
    <row r="280" spans="2:9" x14ac:dyDescent="0.3">
      <c r="B280" t="s">
        <v>172</v>
      </c>
      <c r="C280">
        <v>121</v>
      </c>
      <c r="D280">
        <v>20</v>
      </c>
      <c r="E280">
        <v>10</v>
      </c>
      <c r="F280">
        <v>150</v>
      </c>
      <c r="G280">
        <v>17.1606604258637</v>
      </c>
      <c r="H280">
        <v>32</v>
      </c>
      <c r="I280">
        <v>21</v>
      </c>
    </row>
    <row r="281" spans="2:9" x14ac:dyDescent="0.3">
      <c r="B281" t="s">
        <v>173</v>
      </c>
      <c r="C281">
        <v>121</v>
      </c>
      <c r="D281">
        <v>20</v>
      </c>
      <c r="E281">
        <v>10</v>
      </c>
      <c r="F281">
        <v>150</v>
      </c>
      <c r="G281">
        <v>17.1606604258637</v>
      </c>
      <c r="H281">
        <v>55</v>
      </c>
      <c r="I281">
        <v>24</v>
      </c>
    </row>
    <row r="282" spans="2:9" x14ac:dyDescent="0.3">
      <c r="B282" t="s">
        <v>173</v>
      </c>
      <c r="C282">
        <v>121</v>
      </c>
      <c r="D282">
        <v>20</v>
      </c>
      <c r="E282">
        <v>10</v>
      </c>
      <c r="F282">
        <v>150</v>
      </c>
      <c r="G282">
        <v>17.1606604258637</v>
      </c>
      <c r="H282">
        <v>55</v>
      </c>
      <c r="I282">
        <v>24</v>
      </c>
    </row>
    <row r="283" spans="2:9" x14ac:dyDescent="0.3">
      <c r="B283" t="s">
        <v>173</v>
      </c>
      <c r="C283">
        <v>121</v>
      </c>
      <c r="D283">
        <v>20</v>
      </c>
      <c r="E283">
        <v>10</v>
      </c>
      <c r="F283">
        <v>150</v>
      </c>
      <c r="G283">
        <v>17.1606604258637</v>
      </c>
      <c r="H283">
        <v>55</v>
      </c>
      <c r="I283">
        <v>24</v>
      </c>
    </row>
    <row r="284" spans="2:9" x14ac:dyDescent="0.3">
      <c r="B284" t="s">
        <v>174</v>
      </c>
      <c r="C284">
        <v>121</v>
      </c>
      <c r="D284">
        <v>20</v>
      </c>
      <c r="E284">
        <v>10</v>
      </c>
      <c r="F284">
        <v>150</v>
      </c>
      <c r="G284">
        <v>17.1606604258637</v>
      </c>
      <c r="H284">
        <v>45</v>
      </c>
      <c r="I284">
        <v>25</v>
      </c>
    </row>
    <row r="285" spans="2:9" x14ac:dyDescent="0.3">
      <c r="B285" t="s">
        <v>174</v>
      </c>
      <c r="C285">
        <v>121</v>
      </c>
      <c r="D285">
        <v>20</v>
      </c>
      <c r="E285">
        <v>10</v>
      </c>
      <c r="F285">
        <v>150</v>
      </c>
      <c r="G285">
        <v>17.1606604258637</v>
      </c>
      <c r="H285">
        <v>45</v>
      </c>
      <c r="I285">
        <v>25</v>
      </c>
    </row>
    <row r="286" spans="2:9" x14ac:dyDescent="0.3">
      <c r="B286" t="s">
        <v>174</v>
      </c>
      <c r="C286">
        <v>121</v>
      </c>
      <c r="D286">
        <v>20</v>
      </c>
      <c r="E286">
        <v>10</v>
      </c>
      <c r="F286">
        <v>150</v>
      </c>
      <c r="G286">
        <v>17.1606604258637</v>
      </c>
      <c r="H286">
        <v>45</v>
      </c>
      <c r="I286">
        <v>25</v>
      </c>
    </row>
    <row r="287" spans="2:9" x14ac:dyDescent="0.3">
      <c r="B287" t="s">
        <v>175</v>
      </c>
      <c r="C287">
        <v>121</v>
      </c>
      <c r="D287">
        <v>20</v>
      </c>
      <c r="E287">
        <v>10</v>
      </c>
      <c r="F287">
        <v>150</v>
      </c>
      <c r="G287">
        <v>17.1606604258637</v>
      </c>
      <c r="H287">
        <v>55</v>
      </c>
      <c r="I287">
        <v>27</v>
      </c>
    </row>
    <row r="288" spans="2:9" x14ac:dyDescent="0.3">
      <c r="B288" t="s">
        <v>175</v>
      </c>
      <c r="C288">
        <v>121</v>
      </c>
      <c r="D288">
        <v>20</v>
      </c>
      <c r="E288">
        <v>10</v>
      </c>
      <c r="F288">
        <v>150</v>
      </c>
      <c r="G288">
        <v>17.1606604258637</v>
      </c>
      <c r="H288">
        <v>55</v>
      </c>
      <c r="I288">
        <v>27</v>
      </c>
    </row>
    <row r="289" spans="2:9" x14ac:dyDescent="0.3">
      <c r="B289" t="s">
        <v>175</v>
      </c>
      <c r="C289">
        <v>121</v>
      </c>
      <c r="D289">
        <v>20</v>
      </c>
      <c r="E289">
        <v>10</v>
      </c>
      <c r="F289">
        <v>150</v>
      </c>
      <c r="G289">
        <v>17.1606604258637</v>
      </c>
      <c r="H289">
        <v>55</v>
      </c>
      <c r="I289">
        <v>27</v>
      </c>
    </row>
    <row r="290" spans="2:9" x14ac:dyDescent="0.3">
      <c r="B290" t="s">
        <v>176</v>
      </c>
      <c r="C290">
        <v>121</v>
      </c>
      <c r="D290">
        <v>20</v>
      </c>
      <c r="E290">
        <v>10</v>
      </c>
      <c r="F290">
        <v>150</v>
      </c>
      <c r="G290">
        <v>17.1606604258637</v>
      </c>
      <c r="H290">
        <v>32</v>
      </c>
      <c r="I290">
        <v>28</v>
      </c>
    </row>
    <row r="291" spans="2:9" x14ac:dyDescent="0.3">
      <c r="B291" t="s">
        <v>176</v>
      </c>
      <c r="C291">
        <v>121</v>
      </c>
      <c r="D291">
        <v>20</v>
      </c>
      <c r="E291">
        <v>10</v>
      </c>
      <c r="F291">
        <v>150</v>
      </c>
      <c r="G291">
        <v>17.1606604258637</v>
      </c>
      <c r="H291">
        <v>32</v>
      </c>
      <c r="I291">
        <v>28</v>
      </c>
    </row>
    <row r="292" spans="2:9" x14ac:dyDescent="0.3">
      <c r="B292" t="s">
        <v>176</v>
      </c>
      <c r="C292">
        <v>121</v>
      </c>
      <c r="D292">
        <v>20</v>
      </c>
      <c r="E292">
        <v>10</v>
      </c>
      <c r="F292">
        <v>150</v>
      </c>
      <c r="G292">
        <v>17.1606604258637</v>
      </c>
      <c r="H292">
        <v>32</v>
      </c>
      <c r="I292">
        <v>28</v>
      </c>
    </row>
    <row r="293" spans="2:9" x14ac:dyDescent="0.3">
      <c r="B293" t="s">
        <v>177</v>
      </c>
      <c r="C293">
        <v>121</v>
      </c>
      <c r="D293">
        <v>20</v>
      </c>
      <c r="E293">
        <v>10</v>
      </c>
      <c r="F293">
        <v>150</v>
      </c>
      <c r="G293">
        <v>17.1606604258637</v>
      </c>
      <c r="H293">
        <v>55</v>
      </c>
      <c r="I293">
        <v>30</v>
      </c>
    </row>
    <row r="294" spans="2:9" x14ac:dyDescent="0.3">
      <c r="B294" t="s">
        <v>177</v>
      </c>
      <c r="C294">
        <v>121</v>
      </c>
      <c r="D294">
        <v>20</v>
      </c>
      <c r="E294">
        <v>10</v>
      </c>
      <c r="F294">
        <v>150</v>
      </c>
      <c r="G294">
        <v>17.1606604258637</v>
      </c>
      <c r="H294">
        <v>55</v>
      </c>
      <c r="I294">
        <v>30</v>
      </c>
    </row>
    <row r="295" spans="2:9" x14ac:dyDescent="0.3">
      <c r="B295" t="s">
        <v>177</v>
      </c>
      <c r="C295">
        <v>121</v>
      </c>
      <c r="D295">
        <v>20</v>
      </c>
      <c r="E295">
        <v>10</v>
      </c>
      <c r="F295">
        <v>150</v>
      </c>
      <c r="G295">
        <v>17.1606604258637</v>
      </c>
      <c r="H295">
        <v>55</v>
      </c>
      <c r="I295">
        <v>30</v>
      </c>
    </row>
    <row r="296" spans="2:9" x14ac:dyDescent="0.3">
      <c r="B296" t="s">
        <v>178</v>
      </c>
      <c r="C296">
        <v>121</v>
      </c>
      <c r="D296">
        <v>20</v>
      </c>
      <c r="E296">
        <v>10</v>
      </c>
      <c r="F296">
        <v>150</v>
      </c>
      <c r="G296">
        <v>17.1606604258637</v>
      </c>
      <c r="H296">
        <v>45</v>
      </c>
      <c r="I296">
        <v>30</v>
      </c>
    </row>
    <row r="297" spans="2:9" x14ac:dyDescent="0.3">
      <c r="B297" t="s">
        <v>178</v>
      </c>
      <c r="C297">
        <v>121</v>
      </c>
      <c r="D297">
        <v>20</v>
      </c>
      <c r="E297">
        <v>10</v>
      </c>
      <c r="F297">
        <v>150</v>
      </c>
      <c r="G297">
        <v>17.1606604258637</v>
      </c>
      <c r="H297">
        <v>45</v>
      </c>
      <c r="I297">
        <v>30</v>
      </c>
    </row>
    <row r="298" spans="2:9" x14ac:dyDescent="0.3">
      <c r="B298" t="s">
        <v>178</v>
      </c>
      <c r="C298">
        <v>121</v>
      </c>
      <c r="D298">
        <v>20</v>
      </c>
      <c r="E298">
        <v>10</v>
      </c>
      <c r="F298">
        <v>150</v>
      </c>
      <c r="G298">
        <v>17.1606604258637</v>
      </c>
      <c r="H298">
        <v>45</v>
      </c>
      <c r="I298">
        <v>30</v>
      </c>
    </row>
    <row r="299" spans="2:9" x14ac:dyDescent="0.3">
      <c r="B299" t="s">
        <v>179</v>
      </c>
      <c r="C299">
        <v>121</v>
      </c>
      <c r="D299">
        <v>20</v>
      </c>
      <c r="E299">
        <v>10</v>
      </c>
      <c r="F299">
        <v>150</v>
      </c>
      <c r="G299">
        <v>17.1606604258637</v>
      </c>
      <c r="H299">
        <v>55</v>
      </c>
      <c r="I299">
        <v>33</v>
      </c>
    </row>
    <row r="300" spans="2:9" x14ac:dyDescent="0.3">
      <c r="B300" t="s">
        <v>179</v>
      </c>
      <c r="C300">
        <v>121</v>
      </c>
      <c r="D300">
        <v>20</v>
      </c>
      <c r="E300">
        <v>10</v>
      </c>
      <c r="F300">
        <v>150</v>
      </c>
      <c r="G300">
        <v>17.1606604258637</v>
      </c>
      <c r="H300">
        <v>55</v>
      </c>
      <c r="I300">
        <v>33</v>
      </c>
    </row>
    <row r="301" spans="2:9" x14ac:dyDescent="0.3">
      <c r="B301" t="s">
        <v>179</v>
      </c>
      <c r="C301">
        <v>121</v>
      </c>
      <c r="D301">
        <v>20</v>
      </c>
      <c r="E301">
        <v>10</v>
      </c>
      <c r="F301">
        <v>150</v>
      </c>
      <c r="G301">
        <v>17.1606604258637</v>
      </c>
      <c r="H301">
        <v>55</v>
      </c>
      <c r="I301">
        <v>33</v>
      </c>
    </row>
    <row r="302" spans="2:9" x14ac:dyDescent="0.3">
      <c r="B302" t="s">
        <v>180</v>
      </c>
      <c r="C302">
        <v>121</v>
      </c>
      <c r="D302">
        <v>20</v>
      </c>
      <c r="E302">
        <v>10</v>
      </c>
      <c r="F302">
        <v>150</v>
      </c>
      <c r="G302">
        <v>17.1606604258637</v>
      </c>
      <c r="H302">
        <v>45</v>
      </c>
      <c r="I302">
        <v>35</v>
      </c>
    </row>
    <row r="303" spans="2:9" x14ac:dyDescent="0.3">
      <c r="B303" t="s">
        <v>180</v>
      </c>
      <c r="C303">
        <v>121</v>
      </c>
      <c r="D303">
        <v>20</v>
      </c>
      <c r="E303">
        <v>10</v>
      </c>
      <c r="F303">
        <v>150</v>
      </c>
      <c r="G303">
        <v>17.1606604258637</v>
      </c>
      <c r="H303">
        <v>45</v>
      </c>
      <c r="I303">
        <v>35</v>
      </c>
    </row>
    <row r="304" spans="2:9" x14ac:dyDescent="0.3">
      <c r="B304" t="s">
        <v>180</v>
      </c>
      <c r="C304">
        <v>121</v>
      </c>
      <c r="D304">
        <v>20</v>
      </c>
      <c r="E304">
        <v>10</v>
      </c>
      <c r="F304">
        <v>150</v>
      </c>
      <c r="G304">
        <v>17.1606604258637</v>
      </c>
      <c r="H304">
        <v>45</v>
      </c>
      <c r="I304">
        <v>35</v>
      </c>
    </row>
    <row r="305" spans="1:26" x14ac:dyDescent="0.3">
      <c r="B305" t="s">
        <v>181</v>
      </c>
      <c r="C305">
        <v>121</v>
      </c>
      <c r="D305">
        <v>20</v>
      </c>
      <c r="E305">
        <v>10</v>
      </c>
      <c r="F305">
        <v>150</v>
      </c>
      <c r="G305">
        <v>17.1606604258637</v>
      </c>
      <c r="H305">
        <v>32</v>
      </c>
      <c r="I305">
        <v>35</v>
      </c>
    </row>
    <row r="306" spans="1:26" x14ac:dyDescent="0.3">
      <c r="B306" t="s">
        <v>181</v>
      </c>
      <c r="C306">
        <v>121</v>
      </c>
      <c r="D306">
        <v>20</v>
      </c>
      <c r="E306">
        <v>10</v>
      </c>
      <c r="F306">
        <v>150</v>
      </c>
      <c r="G306">
        <v>17.1606604258637</v>
      </c>
      <c r="H306">
        <v>32</v>
      </c>
      <c r="I306">
        <v>35</v>
      </c>
    </row>
    <row r="307" spans="1:26" x14ac:dyDescent="0.3">
      <c r="B307" t="s">
        <v>181</v>
      </c>
      <c r="C307">
        <v>121</v>
      </c>
      <c r="D307">
        <v>20</v>
      </c>
      <c r="E307">
        <v>10</v>
      </c>
      <c r="F307">
        <v>150</v>
      </c>
      <c r="G307">
        <v>17.1606604258637</v>
      </c>
      <c r="H307">
        <v>32</v>
      </c>
      <c r="I307">
        <v>35</v>
      </c>
    </row>
    <row r="309" spans="1:26" x14ac:dyDescent="0.3">
      <c r="A309" s="2" t="s">
        <v>182</v>
      </c>
      <c r="B309" t="s">
        <v>119</v>
      </c>
      <c r="C309">
        <v>116</v>
      </c>
      <c r="D309">
        <v>20</v>
      </c>
      <c r="E309">
        <v>25</v>
      </c>
      <c r="F309">
        <v>150</v>
      </c>
      <c r="G309">
        <v>11.468648560757982</v>
      </c>
      <c r="H309">
        <v>32</v>
      </c>
      <c r="I309">
        <v>0</v>
      </c>
      <c r="J309">
        <v>6.48</v>
      </c>
      <c r="O309">
        <v>51.85</v>
      </c>
      <c r="P309">
        <v>6.22</v>
      </c>
      <c r="Q309">
        <v>41.54</v>
      </c>
      <c r="R309">
        <v>66.73</v>
      </c>
      <c r="V309">
        <v>67.98</v>
      </c>
      <c r="X309" t="s">
        <v>143</v>
      </c>
      <c r="Z309" t="s">
        <v>143</v>
      </c>
    </row>
    <row r="310" spans="1:26" x14ac:dyDescent="0.3">
      <c r="B310" t="s">
        <v>119</v>
      </c>
      <c r="C310">
        <v>116</v>
      </c>
      <c r="D310">
        <v>20</v>
      </c>
      <c r="E310">
        <v>25</v>
      </c>
      <c r="F310">
        <v>150</v>
      </c>
      <c r="G310">
        <v>11.468648560757982</v>
      </c>
      <c r="H310">
        <v>32</v>
      </c>
      <c r="I310">
        <v>0</v>
      </c>
      <c r="J310">
        <v>6.5</v>
      </c>
      <c r="O310">
        <v>51.83</v>
      </c>
      <c r="P310">
        <v>6.24</v>
      </c>
      <c r="Q310">
        <v>41.52</v>
      </c>
      <c r="R310">
        <v>66.7</v>
      </c>
      <c r="X310" t="s">
        <v>143</v>
      </c>
      <c r="Z310" t="s">
        <v>143</v>
      </c>
    </row>
    <row r="311" spans="1:26" x14ac:dyDescent="0.3">
      <c r="B311" t="s">
        <v>119</v>
      </c>
      <c r="C311">
        <v>116</v>
      </c>
      <c r="D311">
        <v>20</v>
      </c>
      <c r="E311">
        <v>25</v>
      </c>
      <c r="F311">
        <v>150</v>
      </c>
      <c r="G311">
        <v>11.468648560757982</v>
      </c>
      <c r="H311">
        <v>32</v>
      </c>
      <c r="I311">
        <v>0</v>
      </c>
      <c r="J311">
        <v>6.51</v>
      </c>
      <c r="O311">
        <v>51.83</v>
      </c>
      <c r="P311">
        <v>6.22</v>
      </c>
      <c r="Q311">
        <v>41.51</v>
      </c>
      <c r="R311">
        <v>66.7</v>
      </c>
      <c r="X311" t="s">
        <v>143</v>
      </c>
      <c r="Z311" t="s">
        <v>143</v>
      </c>
    </row>
    <row r="312" spans="1:26" x14ac:dyDescent="0.3">
      <c r="B312" t="s">
        <v>120</v>
      </c>
      <c r="C312">
        <v>116</v>
      </c>
      <c r="D312">
        <v>20</v>
      </c>
      <c r="E312">
        <v>25</v>
      </c>
      <c r="F312">
        <v>150</v>
      </c>
      <c r="G312">
        <v>11.468648560757982</v>
      </c>
      <c r="H312">
        <v>32</v>
      </c>
      <c r="I312">
        <v>0</v>
      </c>
      <c r="J312">
        <v>6.38</v>
      </c>
      <c r="O312">
        <v>50.39</v>
      </c>
      <c r="P312">
        <v>6.28</v>
      </c>
      <c r="Q312">
        <v>38.619999999999997</v>
      </c>
      <c r="R312">
        <v>63.8</v>
      </c>
      <c r="S312">
        <v>6.07</v>
      </c>
      <c r="T312">
        <v>13.8</v>
      </c>
      <c r="U312">
        <v>0</v>
      </c>
      <c r="V312">
        <v>68.69</v>
      </c>
      <c r="X312" t="s">
        <v>143</v>
      </c>
      <c r="Z312" t="s">
        <v>143</v>
      </c>
    </row>
    <row r="313" spans="1:26" x14ac:dyDescent="0.3">
      <c r="B313" t="s">
        <v>120</v>
      </c>
      <c r="C313">
        <v>116</v>
      </c>
      <c r="D313">
        <v>20</v>
      </c>
      <c r="E313">
        <v>25</v>
      </c>
      <c r="F313">
        <v>150</v>
      </c>
      <c r="G313">
        <v>11.468648560757982</v>
      </c>
      <c r="H313">
        <v>32</v>
      </c>
      <c r="I313">
        <v>0</v>
      </c>
      <c r="J313">
        <v>6.23</v>
      </c>
      <c r="O313">
        <v>50.37</v>
      </c>
      <c r="P313">
        <v>6.3</v>
      </c>
      <c r="Q313">
        <v>38.619999999999997</v>
      </c>
      <c r="R313">
        <v>63.78</v>
      </c>
      <c r="S313">
        <v>8.67</v>
      </c>
      <c r="T313">
        <v>10.5</v>
      </c>
      <c r="U313">
        <v>0</v>
      </c>
      <c r="X313" t="s">
        <v>143</v>
      </c>
      <c r="Z313" t="s">
        <v>143</v>
      </c>
    </row>
    <row r="314" spans="1:26" x14ac:dyDescent="0.3">
      <c r="B314" t="s">
        <v>120</v>
      </c>
      <c r="C314">
        <v>116</v>
      </c>
      <c r="D314">
        <v>20</v>
      </c>
      <c r="E314">
        <v>25</v>
      </c>
      <c r="F314">
        <v>150</v>
      </c>
      <c r="G314">
        <v>11.468648560757982</v>
      </c>
      <c r="H314">
        <v>32</v>
      </c>
      <c r="I314">
        <v>0</v>
      </c>
      <c r="J314">
        <v>6.15</v>
      </c>
      <c r="O314">
        <v>50.35</v>
      </c>
      <c r="P314">
        <v>6.31</v>
      </c>
      <c r="Q314">
        <v>38.659999999999997</v>
      </c>
      <c r="R314">
        <v>63.79</v>
      </c>
      <c r="S314">
        <v>9.6999999999999993</v>
      </c>
      <c r="T314">
        <v>9.5</v>
      </c>
      <c r="U314">
        <v>0</v>
      </c>
      <c r="X314" t="s">
        <v>143</v>
      </c>
      <c r="Z314" t="s">
        <v>143</v>
      </c>
    </row>
    <row r="315" spans="1:26" x14ac:dyDescent="0.3">
      <c r="B315" t="s">
        <v>121</v>
      </c>
      <c r="C315">
        <v>116</v>
      </c>
      <c r="D315">
        <v>20</v>
      </c>
      <c r="E315">
        <v>25</v>
      </c>
      <c r="F315">
        <v>150</v>
      </c>
      <c r="G315">
        <v>11.468648560757982</v>
      </c>
      <c r="H315">
        <v>32</v>
      </c>
      <c r="I315">
        <v>0</v>
      </c>
      <c r="J315">
        <v>6.97</v>
      </c>
      <c r="O315">
        <v>51.61</v>
      </c>
      <c r="P315">
        <v>6.2</v>
      </c>
      <c r="Q315">
        <v>42.35</v>
      </c>
      <c r="R315">
        <v>67.05</v>
      </c>
      <c r="S315">
        <v>0</v>
      </c>
      <c r="T315">
        <v>17.8</v>
      </c>
      <c r="U315">
        <v>0</v>
      </c>
      <c r="X315" t="s">
        <v>143</v>
      </c>
      <c r="Z315" t="s">
        <v>143</v>
      </c>
    </row>
    <row r="316" spans="1:26" x14ac:dyDescent="0.3">
      <c r="B316" t="s">
        <v>121</v>
      </c>
      <c r="C316">
        <v>116</v>
      </c>
      <c r="D316">
        <v>20</v>
      </c>
      <c r="E316">
        <v>25</v>
      </c>
      <c r="F316">
        <v>150</v>
      </c>
      <c r="G316">
        <v>11.468648560757982</v>
      </c>
      <c r="H316">
        <v>32</v>
      </c>
      <c r="I316">
        <v>0</v>
      </c>
      <c r="J316">
        <v>7.02</v>
      </c>
      <c r="O316">
        <v>51.6</v>
      </c>
      <c r="P316">
        <v>6.2</v>
      </c>
      <c r="Q316">
        <v>42.37</v>
      </c>
      <c r="R316">
        <v>67.05</v>
      </c>
      <c r="S316">
        <v>0</v>
      </c>
      <c r="T316">
        <v>18</v>
      </c>
      <c r="U316">
        <v>0</v>
      </c>
      <c r="X316" t="s">
        <v>143</v>
      </c>
      <c r="Z316" t="s">
        <v>143</v>
      </c>
    </row>
    <row r="317" spans="1:26" x14ac:dyDescent="0.3">
      <c r="B317" t="s">
        <v>121</v>
      </c>
      <c r="C317">
        <v>116</v>
      </c>
      <c r="D317">
        <v>20</v>
      </c>
      <c r="E317">
        <v>25</v>
      </c>
      <c r="F317">
        <v>150</v>
      </c>
      <c r="G317">
        <v>11.468648560757982</v>
      </c>
      <c r="H317">
        <v>32</v>
      </c>
      <c r="I317">
        <v>0</v>
      </c>
      <c r="J317">
        <v>7.18</v>
      </c>
      <c r="O317">
        <v>51.59</v>
      </c>
      <c r="P317">
        <v>6.21</v>
      </c>
      <c r="Q317">
        <v>42.33</v>
      </c>
      <c r="R317">
        <v>67.02</v>
      </c>
      <c r="S317">
        <v>0</v>
      </c>
      <c r="T317">
        <v>18</v>
      </c>
      <c r="U317">
        <v>0</v>
      </c>
      <c r="X317" t="s">
        <v>143</v>
      </c>
      <c r="Z317" t="s">
        <v>143</v>
      </c>
    </row>
    <row r="318" spans="1:26" x14ac:dyDescent="0.3">
      <c r="B318" t="s">
        <v>122</v>
      </c>
      <c r="C318">
        <v>0</v>
      </c>
      <c r="D318">
        <v>0</v>
      </c>
      <c r="E318">
        <v>0</v>
      </c>
      <c r="F318">
        <v>150</v>
      </c>
      <c r="G318">
        <v>0</v>
      </c>
      <c r="H318">
        <v>32</v>
      </c>
      <c r="I318">
        <v>0</v>
      </c>
      <c r="J318">
        <v>6.17</v>
      </c>
      <c r="O318">
        <v>55.78</v>
      </c>
      <c r="P318">
        <v>6.24</v>
      </c>
      <c r="Q318">
        <v>49.74</v>
      </c>
      <c r="R318">
        <v>75</v>
      </c>
      <c r="S318">
        <v>18.899999999999999</v>
      </c>
      <c r="T318">
        <v>0.8</v>
      </c>
      <c r="U318">
        <v>-2</v>
      </c>
      <c r="V318">
        <v>62.99</v>
      </c>
      <c r="W318">
        <v>0.75449999999999995</v>
      </c>
      <c r="X318" t="s">
        <v>143</v>
      </c>
      <c r="Z318" t="s">
        <v>143</v>
      </c>
    </row>
    <row r="319" spans="1:26" x14ac:dyDescent="0.3">
      <c r="B319" t="s">
        <v>122</v>
      </c>
      <c r="C319">
        <v>0</v>
      </c>
      <c r="D319">
        <v>0</v>
      </c>
      <c r="E319">
        <v>0</v>
      </c>
      <c r="F319">
        <v>150</v>
      </c>
      <c r="G319">
        <v>0</v>
      </c>
      <c r="H319">
        <v>32</v>
      </c>
      <c r="I319">
        <v>0</v>
      </c>
      <c r="J319">
        <v>6.12</v>
      </c>
      <c r="O319">
        <v>55.78</v>
      </c>
      <c r="P319">
        <v>6.24</v>
      </c>
      <c r="Q319">
        <v>49.77</v>
      </c>
      <c r="R319">
        <v>75.010000000000005</v>
      </c>
      <c r="S319">
        <v>18.8</v>
      </c>
      <c r="T319">
        <v>0.4</v>
      </c>
      <c r="U319">
        <v>-1</v>
      </c>
      <c r="X319" t="s">
        <v>143</v>
      </c>
      <c r="Z319" t="s">
        <v>143</v>
      </c>
    </row>
    <row r="320" spans="1:26" x14ac:dyDescent="0.3">
      <c r="B320" t="s">
        <v>122</v>
      </c>
      <c r="C320">
        <v>0</v>
      </c>
      <c r="D320">
        <v>0</v>
      </c>
      <c r="E320">
        <v>0</v>
      </c>
      <c r="F320">
        <v>150</v>
      </c>
      <c r="G320">
        <v>0</v>
      </c>
      <c r="H320">
        <v>32</v>
      </c>
      <c r="I320">
        <v>0</v>
      </c>
      <c r="J320">
        <v>6.11</v>
      </c>
      <c r="O320">
        <v>55.76</v>
      </c>
      <c r="P320">
        <v>6.24</v>
      </c>
      <c r="Q320">
        <v>49.77</v>
      </c>
      <c r="R320">
        <v>75</v>
      </c>
      <c r="S320">
        <v>18.8</v>
      </c>
      <c r="T320">
        <v>0.3</v>
      </c>
      <c r="U320">
        <v>-2</v>
      </c>
      <c r="X320" t="s">
        <v>143</v>
      </c>
      <c r="Z320" t="s">
        <v>143</v>
      </c>
    </row>
    <row r="321" spans="2:26" x14ac:dyDescent="0.3">
      <c r="B321" t="s">
        <v>122</v>
      </c>
      <c r="C321">
        <v>0</v>
      </c>
      <c r="D321">
        <v>0</v>
      </c>
      <c r="E321">
        <v>0</v>
      </c>
      <c r="F321">
        <v>150</v>
      </c>
      <c r="G321">
        <v>0</v>
      </c>
      <c r="H321">
        <v>32</v>
      </c>
      <c r="I321">
        <v>0</v>
      </c>
      <c r="J321">
        <v>6.0733333333333297</v>
      </c>
      <c r="O321">
        <v>55.4</v>
      </c>
      <c r="P321">
        <v>7.6</v>
      </c>
      <c r="Q321">
        <v>51.09</v>
      </c>
      <c r="R321">
        <v>75.739999999999995</v>
      </c>
      <c r="V321">
        <v>68.48</v>
      </c>
      <c r="W321">
        <v>0.75449999999999995</v>
      </c>
      <c r="X321" t="s">
        <v>143</v>
      </c>
      <c r="Z321" t="s">
        <v>143</v>
      </c>
    </row>
    <row r="322" spans="2:26" x14ac:dyDescent="0.3">
      <c r="B322" t="s">
        <v>122</v>
      </c>
      <c r="C322">
        <v>0</v>
      </c>
      <c r="D322">
        <v>0</v>
      </c>
      <c r="E322">
        <v>0</v>
      </c>
      <c r="F322">
        <v>150</v>
      </c>
      <c r="G322">
        <v>0</v>
      </c>
      <c r="H322">
        <v>32</v>
      </c>
      <c r="I322">
        <v>0</v>
      </c>
      <c r="J322">
        <v>6.0433333333333303</v>
      </c>
      <c r="O322">
        <v>55.4</v>
      </c>
      <c r="P322">
        <v>7.59</v>
      </c>
      <c r="Q322">
        <v>51.08</v>
      </c>
      <c r="R322">
        <v>75.739999999999995</v>
      </c>
      <c r="X322" t="s">
        <v>143</v>
      </c>
      <c r="Z322" t="s">
        <v>143</v>
      </c>
    </row>
    <row r="323" spans="2:26" x14ac:dyDescent="0.3">
      <c r="B323" t="s">
        <v>122</v>
      </c>
      <c r="C323">
        <v>0</v>
      </c>
      <c r="D323">
        <v>0</v>
      </c>
      <c r="E323">
        <v>0</v>
      </c>
      <c r="F323">
        <v>150</v>
      </c>
      <c r="G323">
        <v>0</v>
      </c>
      <c r="H323">
        <v>32</v>
      </c>
      <c r="I323">
        <v>0</v>
      </c>
      <c r="J323">
        <v>6.0133333333333301</v>
      </c>
      <c r="O323">
        <v>55.39</v>
      </c>
      <c r="P323">
        <v>7.61</v>
      </c>
      <c r="Q323">
        <v>51.13</v>
      </c>
      <c r="R323">
        <v>75.760000000000005</v>
      </c>
      <c r="X323" t="s">
        <v>143</v>
      </c>
      <c r="Z323" t="s">
        <v>143</v>
      </c>
    </row>
    <row r="324" spans="2:26" x14ac:dyDescent="0.3">
      <c r="B324" t="s">
        <v>156</v>
      </c>
      <c r="C324">
        <v>116</v>
      </c>
      <c r="D324">
        <v>20</v>
      </c>
      <c r="E324">
        <v>25</v>
      </c>
      <c r="F324">
        <v>150</v>
      </c>
      <c r="G324">
        <v>11.468648560757982</v>
      </c>
      <c r="H324">
        <v>32</v>
      </c>
      <c r="I324">
        <v>10</v>
      </c>
    </row>
    <row r="325" spans="2:26" x14ac:dyDescent="0.3">
      <c r="B325" t="s">
        <v>156</v>
      </c>
      <c r="C325">
        <v>116</v>
      </c>
      <c r="D325">
        <v>20</v>
      </c>
      <c r="E325">
        <v>25</v>
      </c>
      <c r="F325">
        <v>150</v>
      </c>
      <c r="G325">
        <v>11.468648560757982</v>
      </c>
      <c r="H325">
        <v>32</v>
      </c>
      <c r="I325">
        <v>10</v>
      </c>
    </row>
    <row r="326" spans="2:26" x14ac:dyDescent="0.3">
      <c r="B326" t="s">
        <v>156</v>
      </c>
      <c r="C326">
        <v>116</v>
      </c>
      <c r="D326">
        <v>20</v>
      </c>
      <c r="E326">
        <v>25</v>
      </c>
      <c r="F326">
        <v>150</v>
      </c>
      <c r="G326">
        <v>11.468648560757982</v>
      </c>
      <c r="H326">
        <v>32</v>
      </c>
      <c r="I326">
        <v>10</v>
      </c>
    </row>
    <row r="327" spans="2:26" x14ac:dyDescent="0.3">
      <c r="B327" t="s">
        <v>157</v>
      </c>
      <c r="C327">
        <v>0</v>
      </c>
      <c r="D327">
        <v>0</v>
      </c>
      <c r="E327">
        <v>0</v>
      </c>
      <c r="F327">
        <v>150</v>
      </c>
      <c r="G327">
        <v>0</v>
      </c>
      <c r="H327">
        <v>32</v>
      </c>
      <c r="I327">
        <v>10</v>
      </c>
      <c r="S327">
        <v>0</v>
      </c>
      <c r="T327">
        <v>36.299999999999997</v>
      </c>
      <c r="U327">
        <v>1</v>
      </c>
      <c r="X327" t="s">
        <v>158</v>
      </c>
      <c r="Y327" t="s">
        <v>74</v>
      </c>
      <c r="Z327" t="s">
        <v>159</v>
      </c>
    </row>
    <row r="328" spans="2:26" x14ac:dyDescent="0.3">
      <c r="B328" t="s">
        <v>157</v>
      </c>
      <c r="C328">
        <v>0</v>
      </c>
      <c r="D328">
        <v>0</v>
      </c>
      <c r="E328">
        <v>0</v>
      </c>
      <c r="F328">
        <v>150</v>
      </c>
      <c r="G328">
        <v>0</v>
      </c>
      <c r="H328">
        <v>32</v>
      </c>
      <c r="I328">
        <v>10</v>
      </c>
      <c r="S328">
        <v>0</v>
      </c>
      <c r="T328">
        <v>39.1</v>
      </c>
      <c r="U328">
        <v>1</v>
      </c>
      <c r="X328" t="s">
        <v>158</v>
      </c>
      <c r="Y328" t="s">
        <v>74</v>
      </c>
      <c r="Z328" t="s">
        <v>159</v>
      </c>
    </row>
    <row r="329" spans="2:26" x14ac:dyDescent="0.3">
      <c r="B329" t="s">
        <v>157</v>
      </c>
      <c r="C329">
        <v>0</v>
      </c>
      <c r="D329">
        <v>0</v>
      </c>
      <c r="E329">
        <v>0</v>
      </c>
      <c r="F329">
        <v>150</v>
      </c>
      <c r="G329">
        <v>0</v>
      </c>
      <c r="H329">
        <v>32</v>
      </c>
      <c r="I329">
        <v>10</v>
      </c>
      <c r="S329">
        <v>0</v>
      </c>
      <c r="T329">
        <v>39.9</v>
      </c>
      <c r="U329">
        <v>0</v>
      </c>
      <c r="X329" t="s">
        <v>158</v>
      </c>
      <c r="Y329" t="s">
        <v>74</v>
      </c>
      <c r="Z329" t="s">
        <v>159</v>
      </c>
    </row>
    <row r="330" spans="2:26" x14ac:dyDescent="0.3">
      <c r="B330" t="s">
        <v>186</v>
      </c>
      <c r="C330">
        <v>0</v>
      </c>
      <c r="D330">
        <v>0</v>
      </c>
      <c r="E330">
        <v>0</v>
      </c>
      <c r="F330">
        <v>150</v>
      </c>
      <c r="G330">
        <v>0</v>
      </c>
      <c r="H330">
        <v>32</v>
      </c>
      <c r="I330">
        <v>13</v>
      </c>
      <c r="S330">
        <v>0</v>
      </c>
      <c r="T330">
        <v>38.700000000000003</v>
      </c>
      <c r="U330">
        <v>1</v>
      </c>
      <c r="X330" t="s">
        <v>158</v>
      </c>
      <c r="Y330" t="s">
        <v>74</v>
      </c>
      <c r="Z330" t="s">
        <v>159</v>
      </c>
    </row>
    <row r="331" spans="2:26" x14ac:dyDescent="0.3">
      <c r="B331" t="s">
        <v>186</v>
      </c>
      <c r="C331">
        <v>0</v>
      </c>
      <c r="D331">
        <v>0</v>
      </c>
      <c r="E331">
        <v>0</v>
      </c>
      <c r="F331">
        <v>150</v>
      </c>
      <c r="G331">
        <v>0</v>
      </c>
      <c r="H331">
        <v>32</v>
      </c>
      <c r="I331">
        <v>13</v>
      </c>
      <c r="S331">
        <v>0</v>
      </c>
      <c r="T331">
        <v>39.1</v>
      </c>
      <c r="U331">
        <v>1</v>
      </c>
      <c r="X331" t="s">
        <v>158</v>
      </c>
      <c r="Y331" t="s">
        <v>74</v>
      </c>
      <c r="Z331" t="s">
        <v>159</v>
      </c>
    </row>
    <row r="332" spans="2:26" x14ac:dyDescent="0.3">
      <c r="B332" t="s">
        <v>186</v>
      </c>
      <c r="C332">
        <v>0</v>
      </c>
      <c r="D332">
        <v>0</v>
      </c>
      <c r="E332">
        <v>0</v>
      </c>
      <c r="F332">
        <v>150</v>
      </c>
      <c r="G332">
        <v>0</v>
      </c>
      <c r="H332">
        <v>32</v>
      </c>
      <c r="I332">
        <v>13</v>
      </c>
      <c r="S332">
        <v>0</v>
      </c>
      <c r="T332">
        <v>39</v>
      </c>
      <c r="U332">
        <v>0</v>
      </c>
      <c r="X332" t="s">
        <v>158</v>
      </c>
      <c r="Y332" t="s">
        <v>74</v>
      </c>
      <c r="Z332" t="s">
        <v>159</v>
      </c>
    </row>
    <row r="333" spans="2:26" x14ac:dyDescent="0.3">
      <c r="B333" t="s">
        <v>187</v>
      </c>
      <c r="C333">
        <v>116</v>
      </c>
      <c r="D333">
        <v>20</v>
      </c>
      <c r="E333">
        <v>25</v>
      </c>
      <c r="F333">
        <v>150</v>
      </c>
      <c r="G333">
        <v>11.468648560758</v>
      </c>
      <c r="H333">
        <v>55</v>
      </c>
      <c r="I333">
        <v>3</v>
      </c>
    </row>
    <row r="334" spans="2:26" x14ac:dyDescent="0.3">
      <c r="B334" t="s">
        <v>187</v>
      </c>
      <c r="C334">
        <v>116</v>
      </c>
      <c r="D334">
        <v>20</v>
      </c>
      <c r="E334">
        <v>25</v>
      </c>
      <c r="F334">
        <v>150</v>
      </c>
      <c r="G334">
        <v>11.468648560758</v>
      </c>
      <c r="H334">
        <v>55</v>
      </c>
      <c r="I334">
        <v>3</v>
      </c>
    </row>
    <row r="335" spans="2:26" x14ac:dyDescent="0.3">
      <c r="B335" t="s">
        <v>187</v>
      </c>
      <c r="C335">
        <v>116</v>
      </c>
      <c r="D335">
        <v>20</v>
      </c>
      <c r="E335">
        <v>25</v>
      </c>
      <c r="F335">
        <v>150</v>
      </c>
      <c r="G335">
        <v>11.468648560758</v>
      </c>
      <c r="H335">
        <v>55</v>
      </c>
      <c r="I335">
        <v>3</v>
      </c>
    </row>
    <row r="336" spans="2:26" x14ac:dyDescent="0.3">
      <c r="B336" t="s">
        <v>188</v>
      </c>
      <c r="C336">
        <v>116</v>
      </c>
      <c r="D336">
        <v>20</v>
      </c>
      <c r="E336">
        <v>25</v>
      </c>
      <c r="F336">
        <v>150</v>
      </c>
      <c r="G336">
        <v>11.468648560758</v>
      </c>
      <c r="H336">
        <v>45</v>
      </c>
      <c r="I336">
        <v>5</v>
      </c>
    </row>
    <row r="337" spans="2:21" x14ac:dyDescent="0.3">
      <c r="B337" t="s">
        <v>188</v>
      </c>
      <c r="C337">
        <v>116</v>
      </c>
      <c r="D337">
        <v>20</v>
      </c>
      <c r="E337">
        <v>25</v>
      </c>
      <c r="F337">
        <v>150</v>
      </c>
      <c r="G337">
        <v>11.468648560758</v>
      </c>
      <c r="H337">
        <v>45</v>
      </c>
      <c r="I337">
        <v>5</v>
      </c>
    </row>
    <row r="338" spans="2:21" x14ac:dyDescent="0.3">
      <c r="B338" t="s">
        <v>188</v>
      </c>
      <c r="C338">
        <v>116</v>
      </c>
      <c r="D338">
        <v>20</v>
      </c>
      <c r="E338">
        <v>25</v>
      </c>
      <c r="F338">
        <v>150</v>
      </c>
      <c r="G338">
        <v>11.468648560758</v>
      </c>
      <c r="H338">
        <v>45</v>
      </c>
      <c r="I338">
        <v>5</v>
      </c>
    </row>
    <row r="339" spans="2:21" x14ac:dyDescent="0.3">
      <c r="B339" t="s">
        <v>189</v>
      </c>
      <c r="C339">
        <v>116</v>
      </c>
      <c r="D339">
        <v>20</v>
      </c>
      <c r="E339">
        <v>25</v>
      </c>
      <c r="F339">
        <v>150</v>
      </c>
      <c r="G339">
        <v>11.468648560758</v>
      </c>
      <c r="H339">
        <v>55</v>
      </c>
      <c r="I339">
        <v>6</v>
      </c>
    </row>
    <row r="340" spans="2:21" x14ac:dyDescent="0.3">
      <c r="B340" t="s">
        <v>189</v>
      </c>
      <c r="C340">
        <v>116</v>
      </c>
      <c r="D340">
        <v>20</v>
      </c>
      <c r="E340">
        <v>25</v>
      </c>
      <c r="F340">
        <v>150</v>
      </c>
      <c r="G340">
        <v>11.468648560758</v>
      </c>
      <c r="H340">
        <v>55</v>
      </c>
      <c r="I340">
        <v>6</v>
      </c>
    </row>
    <row r="341" spans="2:21" x14ac:dyDescent="0.3">
      <c r="B341" t="s">
        <v>189</v>
      </c>
      <c r="C341">
        <v>116</v>
      </c>
      <c r="D341">
        <v>20</v>
      </c>
      <c r="E341">
        <v>25</v>
      </c>
      <c r="F341">
        <v>150</v>
      </c>
      <c r="G341">
        <v>11.468648560758</v>
      </c>
      <c r="H341">
        <v>55</v>
      </c>
      <c r="I341">
        <v>6</v>
      </c>
    </row>
    <row r="342" spans="2:21" x14ac:dyDescent="0.3">
      <c r="B342" t="s">
        <v>190</v>
      </c>
      <c r="C342">
        <v>116</v>
      </c>
      <c r="D342">
        <v>20</v>
      </c>
      <c r="E342">
        <v>25</v>
      </c>
      <c r="F342">
        <v>150</v>
      </c>
      <c r="G342">
        <v>11.468648560758</v>
      </c>
      <c r="H342">
        <v>32</v>
      </c>
      <c r="I342">
        <v>7</v>
      </c>
    </row>
    <row r="343" spans="2:21" x14ac:dyDescent="0.3">
      <c r="B343" t="s">
        <v>190</v>
      </c>
      <c r="C343">
        <v>116</v>
      </c>
      <c r="D343">
        <v>20</v>
      </c>
      <c r="E343">
        <v>25</v>
      </c>
      <c r="F343">
        <v>150</v>
      </c>
      <c r="G343">
        <v>11.468648560758</v>
      </c>
      <c r="H343">
        <v>32</v>
      </c>
      <c r="I343">
        <v>7</v>
      </c>
    </row>
    <row r="344" spans="2:21" x14ac:dyDescent="0.3">
      <c r="B344" t="s">
        <v>190</v>
      </c>
      <c r="C344">
        <v>116</v>
      </c>
      <c r="D344">
        <v>20</v>
      </c>
      <c r="E344">
        <v>25</v>
      </c>
      <c r="F344">
        <v>150</v>
      </c>
      <c r="G344">
        <v>11.468648560758</v>
      </c>
      <c r="H344">
        <v>32</v>
      </c>
      <c r="I344">
        <v>7</v>
      </c>
    </row>
    <row r="345" spans="2:21" x14ac:dyDescent="0.3">
      <c r="B345" t="s">
        <v>191</v>
      </c>
      <c r="C345">
        <v>116</v>
      </c>
      <c r="D345">
        <v>20</v>
      </c>
      <c r="E345">
        <v>25</v>
      </c>
      <c r="F345">
        <v>150</v>
      </c>
      <c r="G345">
        <v>11.468648560758</v>
      </c>
      <c r="H345">
        <v>55</v>
      </c>
      <c r="I345">
        <v>9</v>
      </c>
    </row>
    <row r="346" spans="2:21" x14ac:dyDescent="0.3">
      <c r="B346" t="s">
        <v>191</v>
      </c>
      <c r="C346">
        <v>116</v>
      </c>
      <c r="D346">
        <v>20</v>
      </c>
      <c r="E346">
        <v>25</v>
      </c>
      <c r="F346">
        <v>150</v>
      </c>
      <c r="G346">
        <v>11.468648560758</v>
      </c>
      <c r="H346">
        <v>55</v>
      </c>
      <c r="I346">
        <v>9</v>
      </c>
    </row>
    <row r="347" spans="2:21" x14ac:dyDescent="0.3">
      <c r="B347" t="s">
        <v>191</v>
      </c>
      <c r="C347">
        <v>116</v>
      </c>
      <c r="D347">
        <v>20</v>
      </c>
      <c r="E347">
        <v>25</v>
      </c>
      <c r="F347">
        <v>150</v>
      </c>
      <c r="G347">
        <v>11.468648560758</v>
      </c>
      <c r="H347">
        <v>55</v>
      </c>
      <c r="I347">
        <v>9</v>
      </c>
    </row>
    <row r="348" spans="2:21" x14ac:dyDescent="0.3">
      <c r="B348" t="s">
        <v>192</v>
      </c>
      <c r="C348">
        <v>116</v>
      </c>
      <c r="D348">
        <v>20</v>
      </c>
      <c r="E348">
        <v>25</v>
      </c>
      <c r="F348">
        <v>150</v>
      </c>
      <c r="G348">
        <v>11.468648560758</v>
      </c>
      <c r="H348">
        <v>45</v>
      </c>
      <c r="I348">
        <v>10</v>
      </c>
    </row>
    <row r="349" spans="2:21" x14ac:dyDescent="0.3">
      <c r="B349" t="s">
        <v>192</v>
      </c>
      <c r="C349">
        <v>116</v>
      </c>
      <c r="D349">
        <v>20</v>
      </c>
      <c r="E349">
        <v>25</v>
      </c>
      <c r="F349">
        <v>150</v>
      </c>
      <c r="G349">
        <v>11.468648560758</v>
      </c>
      <c r="H349">
        <v>45</v>
      </c>
      <c r="I349">
        <v>10</v>
      </c>
    </row>
    <row r="350" spans="2:21" x14ac:dyDescent="0.3">
      <c r="B350" t="s">
        <v>192</v>
      </c>
      <c r="C350">
        <v>116</v>
      </c>
      <c r="D350">
        <v>20</v>
      </c>
      <c r="E350">
        <v>25</v>
      </c>
      <c r="F350">
        <v>150</v>
      </c>
      <c r="G350">
        <v>11.468648560758</v>
      </c>
      <c r="H350">
        <v>45</v>
      </c>
      <c r="I350">
        <v>10</v>
      </c>
    </row>
    <row r="351" spans="2:21" x14ac:dyDescent="0.3">
      <c r="B351" t="s">
        <v>193</v>
      </c>
      <c r="C351">
        <v>116</v>
      </c>
      <c r="D351">
        <v>20</v>
      </c>
      <c r="E351">
        <v>25</v>
      </c>
      <c r="F351">
        <v>150</v>
      </c>
      <c r="G351">
        <v>11.468648560758</v>
      </c>
      <c r="H351">
        <v>28</v>
      </c>
      <c r="I351">
        <v>13</v>
      </c>
      <c r="S351">
        <v>0</v>
      </c>
      <c r="T351">
        <v>20</v>
      </c>
      <c r="U351">
        <v>1</v>
      </c>
    </row>
    <row r="352" spans="2:21" x14ac:dyDescent="0.3">
      <c r="B352" t="s">
        <v>193</v>
      </c>
      <c r="C352">
        <v>116</v>
      </c>
      <c r="D352">
        <v>20</v>
      </c>
      <c r="E352">
        <v>25</v>
      </c>
      <c r="F352">
        <v>150</v>
      </c>
      <c r="G352">
        <v>11.468648560758</v>
      </c>
      <c r="H352">
        <v>28</v>
      </c>
      <c r="I352">
        <v>13</v>
      </c>
      <c r="S352">
        <v>0</v>
      </c>
      <c r="T352">
        <v>20.100000000000001</v>
      </c>
      <c r="U352">
        <v>0</v>
      </c>
    </row>
    <row r="353" spans="2:21" x14ac:dyDescent="0.3">
      <c r="B353" t="s">
        <v>193</v>
      </c>
      <c r="C353">
        <v>116</v>
      </c>
      <c r="D353">
        <v>20</v>
      </c>
      <c r="E353">
        <v>25</v>
      </c>
      <c r="F353">
        <v>150</v>
      </c>
      <c r="G353">
        <v>11.468648560758</v>
      </c>
      <c r="H353">
        <v>28</v>
      </c>
      <c r="I353">
        <v>13</v>
      </c>
      <c r="S353">
        <v>0</v>
      </c>
      <c r="T353">
        <v>20.100000000000001</v>
      </c>
      <c r="U353">
        <v>0</v>
      </c>
    </row>
    <row r="354" spans="2:21" x14ac:dyDescent="0.3">
      <c r="B354" t="s">
        <v>194</v>
      </c>
      <c r="C354">
        <v>116</v>
      </c>
      <c r="D354">
        <v>20</v>
      </c>
      <c r="E354">
        <v>25</v>
      </c>
      <c r="F354">
        <v>150</v>
      </c>
      <c r="G354">
        <v>11.468648560758</v>
      </c>
      <c r="H354">
        <v>55</v>
      </c>
      <c r="I354">
        <v>12</v>
      </c>
    </row>
    <row r="355" spans="2:21" x14ac:dyDescent="0.3">
      <c r="B355" t="s">
        <v>194</v>
      </c>
      <c r="C355">
        <v>116</v>
      </c>
      <c r="D355">
        <v>20</v>
      </c>
      <c r="E355">
        <v>25</v>
      </c>
      <c r="F355">
        <v>150</v>
      </c>
      <c r="G355">
        <v>11.468648560758</v>
      </c>
      <c r="H355">
        <v>55</v>
      </c>
      <c r="I355">
        <v>12</v>
      </c>
    </row>
    <row r="356" spans="2:21" x14ac:dyDescent="0.3">
      <c r="B356" t="s">
        <v>194</v>
      </c>
      <c r="C356">
        <v>116</v>
      </c>
      <c r="D356">
        <v>20</v>
      </c>
      <c r="E356">
        <v>25</v>
      </c>
      <c r="F356">
        <v>150</v>
      </c>
      <c r="G356">
        <v>11.468648560758</v>
      </c>
      <c r="H356">
        <v>55</v>
      </c>
      <c r="I356">
        <v>12</v>
      </c>
    </row>
    <row r="357" spans="2:21" x14ac:dyDescent="0.3">
      <c r="B357" t="s">
        <v>195</v>
      </c>
      <c r="C357">
        <v>116</v>
      </c>
      <c r="D357">
        <v>20</v>
      </c>
      <c r="E357">
        <v>25</v>
      </c>
      <c r="F357">
        <v>150</v>
      </c>
      <c r="G357">
        <v>11.468648560758</v>
      </c>
      <c r="H357">
        <v>32</v>
      </c>
      <c r="I357">
        <v>14</v>
      </c>
    </row>
    <row r="358" spans="2:21" x14ac:dyDescent="0.3">
      <c r="B358" t="s">
        <v>195</v>
      </c>
      <c r="C358">
        <v>116</v>
      </c>
      <c r="D358">
        <v>20</v>
      </c>
      <c r="E358">
        <v>25</v>
      </c>
      <c r="F358">
        <v>150</v>
      </c>
      <c r="G358">
        <v>11.468648560758</v>
      </c>
      <c r="H358">
        <v>32</v>
      </c>
      <c r="I358">
        <v>14</v>
      </c>
    </row>
    <row r="359" spans="2:21" x14ac:dyDescent="0.3">
      <c r="B359" t="s">
        <v>195</v>
      </c>
      <c r="C359">
        <v>116</v>
      </c>
      <c r="D359">
        <v>20</v>
      </c>
      <c r="E359">
        <v>25</v>
      </c>
      <c r="F359">
        <v>150</v>
      </c>
      <c r="G359">
        <v>11.468648560758</v>
      </c>
      <c r="H359">
        <v>32</v>
      </c>
      <c r="I359">
        <v>14</v>
      </c>
    </row>
    <row r="360" spans="2:21" x14ac:dyDescent="0.3">
      <c r="B360" t="s">
        <v>196</v>
      </c>
      <c r="C360">
        <v>116</v>
      </c>
      <c r="D360">
        <v>20</v>
      </c>
      <c r="E360">
        <v>25</v>
      </c>
      <c r="F360">
        <v>150</v>
      </c>
      <c r="G360">
        <v>11.468648560758</v>
      </c>
      <c r="H360">
        <v>55</v>
      </c>
      <c r="I360">
        <v>15</v>
      </c>
    </row>
    <row r="361" spans="2:21" x14ac:dyDescent="0.3">
      <c r="B361" t="s">
        <v>196</v>
      </c>
      <c r="C361">
        <v>116</v>
      </c>
      <c r="D361">
        <v>20</v>
      </c>
      <c r="E361">
        <v>25</v>
      </c>
      <c r="F361">
        <v>150</v>
      </c>
      <c r="G361">
        <v>11.468648560758</v>
      </c>
      <c r="H361">
        <v>55</v>
      </c>
      <c r="I361">
        <v>15</v>
      </c>
    </row>
    <row r="362" spans="2:21" x14ac:dyDescent="0.3">
      <c r="B362" t="s">
        <v>196</v>
      </c>
      <c r="C362">
        <v>116</v>
      </c>
      <c r="D362">
        <v>20</v>
      </c>
      <c r="E362">
        <v>25</v>
      </c>
      <c r="F362">
        <v>150</v>
      </c>
      <c r="G362">
        <v>11.468648560757982</v>
      </c>
      <c r="H362">
        <v>55</v>
      </c>
      <c r="I362">
        <v>15</v>
      </c>
    </row>
    <row r="363" spans="2:21" x14ac:dyDescent="0.3">
      <c r="B363" t="s">
        <v>195</v>
      </c>
      <c r="C363">
        <v>116</v>
      </c>
      <c r="D363">
        <v>20</v>
      </c>
      <c r="E363">
        <v>25</v>
      </c>
      <c r="F363">
        <v>150</v>
      </c>
      <c r="G363">
        <v>11.468648560757982</v>
      </c>
      <c r="H363">
        <v>45</v>
      </c>
      <c r="I363">
        <v>15</v>
      </c>
    </row>
    <row r="364" spans="2:21" x14ac:dyDescent="0.3">
      <c r="B364" t="s">
        <v>195</v>
      </c>
      <c r="C364">
        <v>116</v>
      </c>
      <c r="D364">
        <v>20</v>
      </c>
      <c r="E364">
        <v>25</v>
      </c>
      <c r="F364">
        <v>150</v>
      </c>
      <c r="G364">
        <v>11.468648560757982</v>
      </c>
      <c r="H364">
        <v>45</v>
      </c>
      <c r="I364">
        <v>15</v>
      </c>
    </row>
    <row r="365" spans="2:21" x14ac:dyDescent="0.3">
      <c r="B365" t="s">
        <v>195</v>
      </c>
      <c r="C365">
        <v>116</v>
      </c>
      <c r="D365">
        <v>20</v>
      </c>
      <c r="E365">
        <v>25</v>
      </c>
      <c r="F365">
        <v>150</v>
      </c>
      <c r="G365">
        <v>11.468648560757982</v>
      </c>
      <c r="H365">
        <v>45</v>
      </c>
      <c r="I365">
        <v>15</v>
      </c>
    </row>
    <row r="366" spans="2:21" x14ac:dyDescent="0.3">
      <c r="B366" t="s">
        <v>197</v>
      </c>
      <c r="C366">
        <v>116</v>
      </c>
      <c r="D366">
        <v>20</v>
      </c>
      <c r="E366">
        <v>25</v>
      </c>
      <c r="F366">
        <v>150</v>
      </c>
      <c r="G366">
        <v>11.468648560757982</v>
      </c>
      <c r="H366">
        <v>55</v>
      </c>
      <c r="I366">
        <v>18</v>
      </c>
    </row>
    <row r="367" spans="2:21" x14ac:dyDescent="0.3">
      <c r="B367" t="s">
        <v>197</v>
      </c>
      <c r="C367">
        <v>116</v>
      </c>
      <c r="D367">
        <v>20</v>
      </c>
      <c r="E367">
        <v>25</v>
      </c>
      <c r="F367">
        <v>150</v>
      </c>
      <c r="G367">
        <v>11.468648560757982</v>
      </c>
      <c r="H367">
        <v>55</v>
      </c>
      <c r="I367">
        <v>18</v>
      </c>
    </row>
    <row r="368" spans="2:21" x14ac:dyDescent="0.3">
      <c r="B368" t="s">
        <v>197</v>
      </c>
      <c r="C368">
        <v>116</v>
      </c>
      <c r="D368">
        <v>20</v>
      </c>
      <c r="E368">
        <v>25</v>
      </c>
      <c r="F368">
        <v>150</v>
      </c>
      <c r="G368">
        <v>11.468648560757982</v>
      </c>
      <c r="H368">
        <v>55</v>
      </c>
      <c r="I368">
        <v>18</v>
      </c>
    </row>
    <row r="369" spans="2:9" x14ac:dyDescent="0.3">
      <c r="B369" t="s">
        <v>201</v>
      </c>
      <c r="C369">
        <v>116</v>
      </c>
      <c r="D369">
        <v>20</v>
      </c>
      <c r="E369">
        <v>25</v>
      </c>
      <c r="F369">
        <v>150</v>
      </c>
      <c r="G369">
        <v>11.468648560757982</v>
      </c>
      <c r="H369">
        <v>45</v>
      </c>
      <c r="I369">
        <v>20</v>
      </c>
    </row>
    <row r="370" spans="2:9" x14ac:dyDescent="0.3">
      <c r="B370" t="s">
        <v>201</v>
      </c>
      <c r="C370">
        <v>116</v>
      </c>
      <c r="D370">
        <v>20</v>
      </c>
      <c r="E370">
        <v>25</v>
      </c>
      <c r="F370">
        <v>150</v>
      </c>
      <c r="G370">
        <v>11.468648560757982</v>
      </c>
      <c r="H370">
        <v>45</v>
      </c>
      <c r="I370">
        <v>20</v>
      </c>
    </row>
    <row r="371" spans="2:9" x14ac:dyDescent="0.3">
      <c r="B371" t="s">
        <v>201</v>
      </c>
      <c r="C371">
        <v>116</v>
      </c>
      <c r="D371">
        <v>20</v>
      </c>
      <c r="E371">
        <v>25</v>
      </c>
      <c r="F371">
        <v>150</v>
      </c>
      <c r="G371">
        <v>11.468648560757982</v>
      </c>
      <c r="H371">
        <v>45</v>
      </c>
      <c r="I371">
        <v>20</v>
      </c>
    </row>
    <row r="372" spans="2:9" x14ac:dyDescent="0.3">
      <c r="B372" t="s">
        <v>198</v>
      </c>
      <c r="C372">
        <v>116</v>
      </c>
      <c r="D372">
        <v>20</v>
      </c>
      <c r="E372">
        <v>25</v>
      </c>
      <c r="F372">
        <v>150</v>
      </c>
      <c r="G372">
        <v>11.468648560757982</v>
      </c>
      <c r="H372">
        <v>28</v>
      </c>
      <c r="I372">
        <v>20</v>
      </c>
    </row>
    <row r="373" spans="2:9" x14ac:dyDescent="0.3">
      <c r="B373" t="s">
        <v>198</v>
      </c>
      <c r="C373">
        <v>116</v>
      </c>
      <c r="D373">
        <v>20</v>
      </c>
      <c r="E373">
        <v>25</v>
      </c>
      <c r="F373">
        <v>150</v>
      </c>
      <c r="G373">
        <v>11.468648560757982</v>
      </c>
      <c r="H373">
        <v>28</v>
      </c>
      <c r="I373">
        <v>20</v>
      </c>
    </row>
    <row r="374" spans="2:9" x14ac:dyDescent="0.3">
      <c r="B374" t="s">
        <v>198</v>
      </c>
      <c r="C374">
        <v>116</v>
      </c>
      <c r="D374">
        <v>20</v>
      </c>
      <c r="E374">
        <v>25</v>
      </c>
      <c r="F374">
        <v>150</v>
      </c>
      <c r="G374">
        <v>11.468648560757982</v>
      </c>
      <c r="H374">
        <v>28</v>
      </c>
      <c r="I374">
        <v>20</v>
      </c>
    </row>
    <row r="375" spans="2:9" x14ac:dyDescent="0.3">
      <c r="B375" t="s">
        <v>199</v>
      </c>
      <c r="C375">
        <v>116</v>
      </c>
      <c r="D375">
        <v>20</v>
      </c>
      <c r="E375">
        <v>25</v>
      </c>
      <c r="F375">
        <v>150</v>
      </c>
      <c r="G375">
        <v>11.468648560757982</v>
      </c>
      <c r="H375">
        <v>55</v>
      </c>
      <c r="I375">
        <v>21</v>
      </c>
    </row>
    <row r="376" spans="2:9" x14ac:dyDescent="0.3">
      <c r="B376" t="s">
        <v>199</v>
      </c>
      <c r="C376">
        <v>116</v>
      </c>
      <c r="D376">
        <v>20</v>
      </c>
      <c r="E376">
        <v>25</v>
      </c>
      <c r="F376">
        <v>150</v>
      </c>
      <c r="G376">
        <v>11.468648560757982</v>
      </c>
      <c r="H376">
        <v>55</v>
      </c>
      <c r="I376">
        <v>21</v>
      </c>
    </row>
    <row r="377" spans="2:9" x14ac:dyDescent="0.3">
      <c r="B377" t="s">
        <v>199</v>
      </c>
      <c r="C377">
        <v>116</v>
      </c>
      <c r="D377">
        <v>20</v>
      </c>
      <c r="E377">
        <v>25</v>
      </c>
      <c r="F377">
        <v>150</v>
      </c>
      <c r="G377">
        <v>11.468648560757982</v>
      </c>
      <c r="H377">
        <v>55</v>
      </c>
      <c r="I377">
        <v>21</v>
      </c>
    </row>
    <row r="378" spans="2:9" x14ac:dyDescent="0.3">
      <c r="B378" t="s">
        <v>202</v>
      </c>
      <c r="C378">
        <v>116</v>
      </c>
      <c r="D378">
        <v>20</v>
      </c>
      <c r="E378">
        <v>25</v>
      </c>
      <c r="F378">
        <v>150</v>
      </c>
      <c r="G378">
        <v>11.468648560757982</v>
      </c>
      <c r="H378">
        <v>32</v>
      </c>
      <c r="I378">
        <v>21</v>
      </c>
    </row>
    <row r="379" spans="2:9" x14ac:dyDescent="0.3">
      <c r="B379" t="s">
        <v>202</v>
      </c>
      <c r="C379">
        <v>116</v>
      </c>
      <c r="D379">
        <v>20</v>
      </c>
      <c r="E379">
        <v>25</v>
      </c>
      <c r="F379">
        <v>150</v>
      </c>
      <c r="G379">
        <v>11.468648560757982</v>
      </c>
      <c r="H379">
        <v>32</v>
      </c>
      <c r="I379">
        <v>21</v>
      </c>
    </row>
    <row r="380" spans="2:9" x14ac:dyDescent="0.3">
      <c r="B380" t="s">
        <v>202</v>
      </c>
      <c r="C380">
        <v>116</v>
      </c>
      <c r="D380">
        <v>20</v>
      </c>
      <c r="E380">
        <v>25</v>
      </c>
      <c r="F380">
        <v>150</v>
      </c>
      <c r="G380">
        <v>11.468648560757982</v>
      </c>
      <c r="H380">
        <v>32</v>
      </c>
      <c r="I380">
        <v>21</v>
      </c>
    </row>
    <row r="381" spans="2:9" x14ac:dyDescent="0.3">
      <c r="B381" t="s">
        <v>203</v>
      </c>
      <c r="C381">
        <v>116</v>
      </c>
      <c r="D381">
        <v>20</v>
      </c>
      <c r="E381">
        <v>25</v>
      </c>
      <c r="F381">
        <v>150</v>
      </c>
      <c r="G381">
        <v>11.468648560757982</v>
      </c>
      <c r="H381">
        <v>55</v>
      </c>
      <c r="I381">
        <v>24</v>
      </c>
    </row>
    <row r="382" spans="2:9" x14ac:dyDescent="0.3">
      <c r="B382" t="s">
        <v>203</v>
      </c>
      <c r="C382">
        <v>116</v>
      </c>
      <c r="D382">
        <v>20</v>
      </c>
      <c r="E382">
        <v>25</v>
      </c>
      <c r="F382">
        <v>150</v>
      </c>
      <c r="G382">
        <v>11.468648560757982</v>
      </c>
      <c r="H382">
        <v>55</v>
      </c>
      <c r="I382">
        <v>24</v>
      </c>
    </row>
    <row r="383" spans="2:9" x14ac:dyDescent="0.3">
      <c r="B383" t="s">
        <v>203</v>
      </c>
      <c r="C383">
        <v>116</v>
      </c>
      <c r="D383">
        <v>20</v>
      </c>
      <c r="E383">
        <v>25</v>
      </c>
      <c r="F383">
        <v>150</v>
      </c>
      <c r="G383">
        <v>11.468648560757982</v>
      </c>
      <c r="H383">
        <v>55</v>
      </c>
      <c r="I383">
        <v>24</v>
      </c>
    </row>
    <row r="384" spans="2:9" x14ac:dyDescent="0.3">
      <c r="B384" t="s">
        <v>200</v>
      </c>
      <c r="C384">
        <v>116</v>
      </c>
      <c r="D384">
        <v>20</v>
      </c>
      <c r="E384">
        <v>25</v>
      </c>
      <c r="F384">
        <v>150</v>
      </c>
      <c r="G384">
        <v>11.468648560757982</v>
      </c>
      <c r="H384">
        <v>45</v>
      </c>
      <c r="I384">
        <v>25</v>
      </c>
    </row>
    <row r="385" spans="2:9" x14ac:dyDescent="0.3">
      <c r="B385" t="s">
        <v>200</v>
      </c>
      <c r="C385">
        <v>116</v>
      </c>
      <c r="D385">
        <v>20</v>
      </c>
      <c r="E385">
        <v>25</v>
      </c>
      <c r="F385">
        <v>150</v>
      </c>
      <c r="G385">
        <v>11.468648560757982</v>
      </c>
      <c r="H385">
        <v>45</v>
      </c>
      <c r="I385">
        <v>25</v>
      </c>
    </row>
    <row r="386" spans="2:9" x14ac:dyDescent="0.3">
      <c r="B386" t="s">
        <v>200</v>
      </c>
      <c r="C386">
        <v>116</v>
      </c>
      <c r="D386">
        <v>20</v>
      </c>
      <c r="E386">
        <v>25</v>
      </c>
      <c r="F386">
        <v>150</v>
      </c>
      <c r="G386">
        <v>11.468648560757982</v>
      </c>
      <c r="H386">
        <v>45</v>
      </c>
      <c r="I386">
        <v>25</v>
      </c>
    </row>
    <row r="387" spans="2:9" x14ac:dyDescent="0.3">
      <c r="B387" t="s">
        <v>204</v>
      </c>
      <c r="C387">
        <v>116</v>
      </c>
      <c r="D387">
        <v>20</v>
      </c>
      <c r="E387">
        <v>25</v>
      </c>
      <c r="F387">
        <v>150</v>
      </c>
      <c r="G387">
        <v>11.468648560757982</v>
      </c>
      <c r="H387">
        <v>55</v>
      </c>
      <c r="I387">
        <v>27</v>
      </c>
    </row>
    <row r="388" spans="2:9" x14ac:dyDescent="0.3">
      <c r="B388" t="s">
        <v>204</v>
      </c>
      <c r="C388">
        <v>116</v>
      </c>
      <c r="D388">
        <v>20</v>
      </c>
      <c r="E388">
        <v>25</v>
      </c>
      <c r="F388">
        <v>150</v>
      </c>
      <c r="G388">
        <v>11.468648560757982</v>
      </c>
      <c r="H388">
        <v>55</v>
      </c>
      <c r="I388">
        <v>27</v>
      </c>
    </row>
    <row r="389" spans="2:9" x14ac:dyDescent="0.3">
      <c r="B389" t="s">
        <v>204</v>
      </c>
      <c r="C389">
        <v>116</v>
      </c>
      <c r="D389">
        <v>20</v>
      </c>
      <c r="E389">
        <v>25</v>
      </c>
      <c r="F389">
        <v>150</v>
      </c>
      <c r="G389">
        <v>11.468648560757982</v>
      </c>
      <c r="H389">
        <v>55</v>
      </c>
      <c r="I389">
        <v>27</v>
      </c>
    </row>
    <row r="390" spans="2:9" x14ac:dyDescent="0.3">
      <c r="B390" t="s">
        <v>205</v>
      </c>
      <c r="C390">
        <v>116</v>
      </c>
      <c r="D390">
        <v>20</v>
      </c>
      <c r="E390">
        <v>25</v>
      </c>
      <c r="F390">
        <v>150</v>
      </c>
      <c r="G390">
        <v>11.468648560757982</v>
      </c>
      <c r="H390">
        <v>32</v>
      </c>
      <c r="I390">
        <v>28</v>
      </c>
    </row>
    <row r="391" spans="2:9" x14ac:dyDescent="0.3">
      <c r="B391" t="s">
        <v>205</v>
      </c>
      <c r="C391">
        <v>116</v>
      </c>
      <c r="D391">
        <v>20</v>
      </c>
      <c r="E391">
        <v>25</v>
      </c>
      <c r="F391">
        <v>150</v>
      </c>
      <c r="G391">
        <v>11.468648560757982</v>
      </c>
      <c r="H391">
        <v>32</v>
      </c>
      <c r="I391">
        <v>28</v>
      </c>
    </row>
    <row r="392" spans="2:9" x14ac:dyDescent="0.3">
      <c r="B392" t="s">
        <v>205</v>
      </c>
      <c r="C392">
        <v>116</v>
      </c>
      <c r="D392">
        <v>20</v>
      </c>
      <c r="E392">
        <v>25</v>
      </c>
      <c r="F392">
        <v>150</v>
      </c>
      <c r="G392">
        <v>11.468648560757982</v>
      </c>
      <c r="H392">
        <v>32</v>
      </c>
      <c r="I392">
        <v>28</v>
      </c>
    </row>
    <row r="393" spans="2:9" x14ac:dyDescent="0.3">
      <c r="B393" t="s">
        <v>206</v>
      </c>
      <c r="C393">
        <v>116</v>
      </c>
      <c r="D393">
        <v>20</v>
      </c>
      <c r="E393">
        <v>25</v>
      </c>
      <c r="F393">
        <v>150</v>
      </c>
      <c r="G393">
        <v>11.468648560757982</v>
      </c>
      <c r="H393">
        <v>55</v>
      </c>
      <c r="I393">
        <v>30</v>
      </c>
    </row>
    <row r="394" spans="2:9" x14ac:dyDescent="0.3">
      <c r="B394" t="s">
        <v>206</v>
      </c>
      <c r="C394">
        <v>116</v>
      </c>
      <c r="D394">
        <v>20</v>
      </c>
      <c r="E394">
        <v>25</v>
      </c>
      <c r="F394">
        <v>150</v>
      </c>
      <c r="G394">
        <v>11.468648560757982</v>
      </c>
      <c r="H394">
        <v>55</v>
      </c>
      <c r="I394">
        <v>30</v>
      </c>
    </row>
    <row r="395" spans="2:9" x14ac:dyDescent="0.3">
      <c r="B395" t="s">
        <v>206</v>
      </c>
      <c r="C395">
        <v>116</v>
      </c>
      <c r="D395">
        <v>20</v>
      </c>
      <c r="E395">
        <v>25</v>
      </c>
      <c r="F395">
        <v>150</v>
      </c>
      <c r="G395">
        <v>11.468648560757982</v>
      </c>
      <c r="H395">
        <v>55</v>
      </c>
      <c r="I395">
        <v>30</v>
      </c>
    </row>
    <row r="396" spans="2:9" x14ac:dyDescent="0.3">
      <c r="B396" t="s">
        <v>207</v>
      </c>
      <c r="C396">
        <v>116</v>
      </c>
      <c r="D396">
        <v>20</v>
      </c>
      <c r="E396">
        <v>25</v>
      </c>
      <c r="F396">
        <v>150</v>
      </c>
      <c r="G396">
        <v>11.468648560757982</v>
      </c>
      <c r="H396">
        <v>45</v>
      </c>
      <c r="I396">
        <v>30</v>
      </c>
    </row>
    <row r="397" spans="2:9" x14ac:dyDescent="0.3">
      <c r="B397" t="s">
        <v>207</v>
      </c>
      <c r="C397">
        <v>116</v>
      </c>
      <c r="D397">
        <v>20</v>
      </c>
      <c r="E397">
        <v>25</v>
      </c>
      <c r="F397">
        <v>150</v>
      </c>
      <c r="G397">
        <v>11.468648560757982</v>
      </c>
      <c r="H397">
        <v>45</v>
      </c>
      <c r="I397">
        <v>30</v>
      </c>
    </row>
    <row r="398" spans="2:9" x14ac:dyDescent="0.3">
      <c r="B398" t="s">
        <v>207</v>
      </c>
      <c r="C398">
        <v>116</v>
      </c>
      <c r="D398">
        <v>20</v>
      </c>
      <c r="E398">
        <v>25</v>
      </c>
      <c r="F398">
        <v>150</v>
      </c>
      <c r="G398">
        <v>11.468648560757982</v>
      </c>
      <c r="H398">
        <v>45</v>
      </c>
      <c r="I398">
        <v>30</v>
      </c>
    </row>
    <row r="399" spans="2:9" x14ac:dyDescent="0.3">
      <c r="B399" t="s">
        <v>208</v>
      </c>
      <c r="C399">
        <v>116</v>
      </c>
      <c r="D399">
        <v>20</v>
      </c>
      <c r="E399">
        <v>25</v>
      </c>
      <c r="F399">
        <v>150</v>
      </c>
      <c r="G399">
        <v>11.468648560757982</v>
      </c>
      <c r="H399">
        <v>55</v>
      </c>
      <c r="I399">
        <v>33</v>
      </c>
    </row>
    <row r="400" spans="2:9" x14ac:dyDescent="0.3">
      <c r="B400" t="s">
        <v>208</v>
      </c>
      <c r="C400">
        <v>116</v>
      </c>
      <c r="D400">
        <v>20</v>
      </c>
      <c r="E400">
        <v>25</v>
      </c>
      <c r="F400">
        <v>150</v>
      </c>
      <c r="G400">
        <v>11.468648560757982</v>
      </c>
      <c r="H400">
        <v>55</v>
      </c>
      <c r="I400">
        <v>33</v>
      </c>
    </row>
    <row r="401" spans="1:26" x14ac:dyDescent="0.3">
      <c r="B401" t="s">
        <v>208</v>
      </c>
      <c r="C401">
        <v>116</v>
      </c>
      <c r="D401">
        <v>20</v>
      </c>
      <c r="E401">
        <v>25</v>
      </c>
      <c r="F401">
        <v>150</v>
      </c>
      <c r="G401">
        <v>11.468648560757982</v>
      </c>
      <c r="H401">
        <v>55</v>
      </c>
      <c r="I401">
        <v>33</v>
      </c>
    </row>
    <row r="402" spans="1:26" x14ac:dyDescent="0.3">
      <c r="B402" t="s">
        <v>209</v>
      </c>
      <c r="C402">
        <v>116</v>
      </c>
      <c r="D402">
        <v>20</v>
      </c>
      <c r="E402">
        <v>25</v>
      </c>
      <c r="F402">
        <v>150</v>
      </c>
      <c r="G402">
        <v>11.468648560757982</v>
      </c>
      <c r="H402">
        <v>45</v>
      </c>
      <c r="I402">
        <v>35</v>
      </c>
    </row>
    <row r="403" spans="1:26" x14ac:dyDescent="0.3">
      <c r="B403" t="s">
        <v>209</v>
      </c>
      <c r="C403">
        <v>116</v>
      </c>
      <c r="D403">
        <v>20</v>
      </c>
      <c r="E403">
        <v>25</v>
      </c>
      <c r="F403">
        <v>150</v>
      </c>
      <c r="G403">
        <v>11.468648560757982</v>
      </c>
      <c r="H403">
        <v>45</v>
      </c>
      <c r="I403">
        <v>35</v>
      </c>
    </row>
    <row r="404" spans="1:26" x14ac:dyDescent="0.3">
      <c r="B404" t="s">
        <v>209</v>
      </c>
      <c r="C404">
        <v>116</v>
      </c>
      <c r="D404">
        <v>20</v>
      </c>
      <c r="E404">
        <v>25</v>
      </c>
      <c r="F404">
        <v>150</v>
      </c>
      <c r="G404">
        <v>11.468648560757982</v>
      </c>
      <c r="H404">
        <v>45</v>
      </c>
      <c r="I404">
        <v>35</v>
      </c>
    </row>
    <row r="405" spans="1:26" x14ac:dyDescent="0.3">
      <c r="B405" t="s">
        <v>210</v>
      </c>
      <c r="C405">
        <v>116</v>
      </c>
      <c r="D405">
        <v>20</v>
      </c>
      <c r="E405">
        <v>25</v>
      </c>
      <c r="F405">
        <v>150</v>
      </c>
      <c r="G405">
        <v>11.468648560757982</v>
      </c>
      <c r="H405">
        <v>32</v>
      </c>
      <c r="I405">
        <v>35</v>
      </c>
    </row>
    <row r="406" spans="1:26" x14ac:dyDescent="0.3">
      <c r="B406" t="s">
        <v>210</v>
      </c>
      <c r="C406">
        <v>116</v>
      </c>
      <c r="D406">
        <v>20</v>
      </c>
      <c r="E406">
        <v>25</v>
      </c>
      <c r="F406">
        <v>150</v>
      </c>
      <c r="G406">
        <v>11.468648560757982</v>
      </c>
      <c r="H406">
        <v>32</v>
      </c>
      <c r="I406">
        <v>35</v>
      </c>
    </row>
    <row r="407" spans="1:26" x14ac:dyDescent="0.3">
      <c r="B407" t="s">
        <v>210</v>
      </c>
      <c r="C407">
        <v>116</v>
      </c>
      <c r="D407">
        <v>20</v>
      </c>
      <c r="E407">
        <v>25</v>
      </c>
      <c r="F407">
        <v>150</v>
      </c>
      <c r="G407">
        <v>11.468648560757982</v>
      </c>
      <c r="H407">
        <v>32</v>
      </c>
      <c r="I407">
        <v>35</v>
      </c>
    </row>
    <row r="409" spans="1:26" x14ac:dyDescent="0.3">
      <c r="A409" s="2" t="s">
        <v>184</v>
      </c>
      <c r="B409" t="s">
        <v>119</v>
      </c>
      <c r="C409">
        <v>116</v>
      </c>
      <c r="D409">
        <v>20</v>
      </c>
      <c r="E409">
        <v>25</v>
      </c>
      <c r="F409">
        <v>150</v>
      </c>
      <c r="G409">
        <v>11.410005023056907</v>
      </c>
      <c r="H409">
        <v>32</v>
      </c>
      <c r="I409">
        <v>0</v>
      </c>
      <c r="J409">
        <v>6.97</v>
      </c>
      <c r="O409">
        <v>51.47</v>
      </c>
      <c r="P409">
        <v>6.95</v>
      </c>
      <c r="Q409">
        <v>37.93</v>
      </c>
      <c r="R409">
        <v>64.31</v>
      </c>
      <c r="S409">
        <v>10.7</v>
      </c>
      <c r="T409">
        <v>2.4</v>
      </c>
      <c r="U409">
        <v>-1</v>
      </c>
      <c r="V409">
        <v>67.290000000000006</v>
      </c>
      <c r="X409" t="s">
        <v>143</v>
      </c>
      <c r="Z409" t="s">
        <v>143</v>
      </c>
    </row>
    <row r="410" spans="1:26" x14ac:dyDescent="0.3">
      <c r="B410" t="s">
        <v>119</v>
      </c>
      <c r="C410">
        <v>116</v>
      </c>
      <c r="D410">
        <v>20</v>
      </c>
      <c r="E410">
        <v>25</v>
      </c>
      <c r="F410">
        <v>150</v>
      </c>
      <c r="G410">
        <v>11.410005023056907</v>
      </c>
      <c r="H410">
        <v>32</v>
      </c>
      <c r="I410">
        <v>0</v>
      </c>
      <c r="J410">
        <v>6.98</v>
      </c>
      <c r="O410">
        <v>51.47</v>
      </c>
      <c r="P410">
        <v>6.93</v>
      </c>
      <c r="Q410">
        <v>38.01</v>
      </c>
      <c r="R410">
        <v>64.349999999999994</v>
      </c>
      <c r="S410">
        <v>10.6</v>
      </c>
      <c r="T410">
        <v>2.5</v>
      </c>
      <c r="U410">
        <v>-4</v>
      </c>
      <c r="X410" t="s">
        <v>143</v>
      </c>
      <c r="Z410" t="s">
        <v>143</v>
      </c>
    </row>
    <row r="411" spans="1:26" x14ac:dyDescent="0.3">
      <c r="B411" t="s">
        <v>119</v>
      </c>
      <c r="C411">
        <v>116</v>
      </c>
      <c r="D411">
        <v>20</v>
      </c>
      <c r="E411">
        <v>25</v>
      </c>
      <c r="F411">
        <v>150</v>
      </c>
      <c r="G411">
        <v>11.410005023056907</v>
      </c>
      <c r="H411">
        <v>32</v>
      </c>
      <c r="I411">
        <v>0</v>
      </c>
      <c r="J411">
        <v>7.13</v>
      </c>
      <c r="O411">
        <v>51.46</v>
      </c>
      <c r="P411">
        <v>6.95</v>
      </c>
      <c r="Q411">
        <v>37.99</v>
      </c>
      <c r="R411">
        <v>64.34</v>
      </c>
      <c r="S411">
        <v>10.6</v>
      </c>
      <c r="T411">
        <v>2.5</v>
      </c>
      <c r="U411">
        <v>-4</v>
      </c>
      <c r="X411" t="s">
        <v>143</v>
      </c>
      <c r="Z411" t="s">
        <v>143</v>
      </c>
    </row>
    <row r="412" spans="1:26" x14ac:dyDescent="0.3">
      <c r="B412" t="s">
        <v>120</v>
      </c>
      <c r="C412">
        <v>116</v>
      </c>
      <c r="D412">
        <v>20</v>
      </c>
      <c r="E412">
        <v>25</v>
      </c>
      <c r="F412">
        <v>150</v>
      </c>
      <c r="G412">
        <v>11.410005023056907</v>
      </c>
      <c r="H412">
        <v>32</v>
      </c>
      <c r="I412">
        <v>0</v>
      </c>
      <c r="X412" t="s">
        <v>143</v>
      </c>
      <c r="Z412" t="s">
        <v>143</v>
      </c>
    </row>
    <row r="413" spans="1:26" x14ac:dyDescent="0.3">
      <c r="B413" t="s">
        <v>120</v>
      </c>
      <c r="C413">
        <v>116</v>
      </c>
      <c r="D413">
        <v>20</v>
      </c>
      <c r="E413">
        <v>25</v>
      </c>
      <c r="F413">
        <v>150</v>
      </c>
      <c r="G413">
        <v>11.410005023056907</v>
      </c>
      <c r="H413">
        <v>32</v>
      </c>
      <c r="I413">
        <v>0</v>
      </c>
      <c r="X413" t="s">
        <v>143</v>
      </c>
      <c r="Z413" t="s">
        <v>143</v>
      </c>
    </row>
    <row r="414" spans="1:26" x14ac:dyDescent="0.3">
      <c r="B414" t="s">
        <v>120</v>
      </c>
      <c r="C414">
        <v>116</v>
      </c>
      <c r="D414">
        <v>20</v>
      </c>
      <c r="E414">
        <v>25</v>
      </c>
      <c r="F414">
        <v>150</v>
      </c>
      <c r="G414">
        <v>11.410005023056907</v>
      </c>
      <c r="H414">
        <v>32</v>
      </c>
      <c r="I414">
        <v>0</v>
      </c>
      <c r="X414" t="s">
        <v>143</v>
      </c>
      <c r="Z414" t="s">
        <v>143</v>
      </c>
    </row>
    <row r="415" spans="1:26" x14ac:dyDescent="0.3">
      <c r="B415" t="s">
        <v>121</v>
      </c>
      <c r="C415">
        <v>116</v>
      </c>
      <c r="D415">
        <v>20</v>
      </c>
      <c r="E415">
        <v>25</v>
      </c>
      <c r="F415">
        <v>150</v>
      </c>
      <c r="G415">
        <v>11.410005023056907</v>
      </c>
      <c r="H415">
        <v>32</v>
      </c>
      <c r="I415">
        <v>0</v>
      </c>
      <c r="X415" t="s">
        <v>143</v>
      </c>
      <c r="Z415" t="s">
        <v>143</v>
      </c>
    </row>
    <row r="416" spans="1:26" x14ac:dyDescent="0.3">
      <c r="B416" t="s">
        <v>121</v>
      </c>
      <c r="C416">
        <v>116</v>
      </c>
      <c r="D416">
        <v>20</v>
      </c>
      <c r="E416">
        <v>25</v>
      </c>
      <c r="F416">
        <v>150</v>
      </c>
      <c r="G416">
        <v>11.410005023056907</v>
      </c>
      <c r="H416">
        <v>32</v>
      </c>
      <c r="I416">
        <v>0</v>
      </c>
      <c r="X416" t="s">
        <v>143</v>
      </c>
      <c r="Z416" t="s">
        <v>143</v>
      </c>
    </row>
    <row r="417" spans="1:26" x14ac:dyDescent="0.3">
      <c r="B417" t="s">
        <v>121</v>
      </c>
      <c r="C417">
        <v>116</v>
      </c>
      <c r="D417">
        <v>20</v>
      </c>
      <c r="E417">
        <v>25</v>
      </c>
      <c r="F417">
        <v>150</v>
      </c>
      <c r="G417">
        <v>11.410005023056907</v>
      </c>
      <c r="H417">
        <v>32</v>
      </c>
      <c r="I417">
        <v>0</v>
      </c>
      <c r="X417" t="s">
        <v>143</v>
      </c>
      <c r="Z417" t="s">
        <v>143</v>
      </c>
    </row>
    <row r="418" spans="1:26" x14ac:dyDescent="0.3">
      <c r="B418" t="s">
        <v>122</v>
      </c>
      <c r="C418">
        <v>0</v>
      </c>
      <c r="D418">
        <v>0</v>
      </c>
      <c r="E418">
        <v>0</v>
      </c>
      <c r="F418">
        <v>150</v>
      </c>
      <c r="G418">
        <v>0</v>
      </c>
      <c r="H418">
        <v>32</v>
      </c>
      <c r="I418">
        <v>0</v>
      </c>
      <c r="V418">
        <v>68.45</v>
      </c>
      <c r="X418" t="s">
        <v>143</v>
      </c>
      <c r="Z418" t="s">
        <v>143</v>
      </c>
    </row>
    <row r="419" spans="1:26" x14ac:dyDescent="0.3">
      <c r="B419" t="s">
        <v>122</v>
      </c>
      <c r="C419">
        <v>0</v>
      </c>
      <c r="D419">
        <v>0</v>
      </c>
      <c r="E419">
        <v>0</v>
      </c>
      <c r="F419">
        <v>150</v>
      </c>
      <c r="G419">
        <v>0</v>
      </c>
      <c r="H419">
        <v>32</v>
      </c>
      <c r="I419">
        <v>0</v>
      </c>
      <c r="X419" t="s">
        <v>143</v>
      </c>
      <c r="Z419" t="s">
        <v>143</v>
      </c>
    </row>
    <row r="420" spans="1:26" x14ac:dyDescent="0.3">
      <c r="B420" t="s">
        <v>122</v>
      </c>
      <c r="C420">
        <v>0</v>
      </c>
      <c r="D420">
        <v>0</v>
      </c>
      <c r="E420">
        <v>0</v>
      </c>
      <c r="F420">
        <v>150</v>
      </c>
      <c r="G420">
        <v>0</v>
      </c>
      <c r="H420">
        <v>32</v>
      </c>
      <c r="I420">
        <v>0</v>
      </c>
      <c r="X420" t="s">
        <v>143</v>
      </c>
      <c r="Z420" t="s">
        <v>143</v>
      </c>
    </row>
    <row r="422" spans="1:26" x14ac:dyDescent="0.3">
      <c r="A422" s="2" t="s">
        <v>185</v>
      </c>
      <c r="B422" t="s">
        <v>115</v>
      </c>
      <c r="C422">
        <v>121</v>
      </c>
      <c r="D422">
        <v>20</v>
      </c>
      <c r="E422">
        <v>10</v>
      </c>
      <c r="F422">
        <v>150</v>
      </c>
      <c r="G422">
        <v>15.543519167316846</v>
      </c>
      <c r="H422">
        <v>32</v>
      </c>
      <c r="I422">
        <v>0</v>
      </c>
      <c r="J422">
        <v>7.08</v>
      </c>
      <c r="O422">
        <v>52.9</v>
      </c>
      <c r="P422">
        <v>6.17</v>
      </c>
      <c r="Q422">
        <v>40.54</v>
      </c>
      <c r="R422">
        <v>66.95</v>
      </c>
      <c r="X422" t="s">
        <v>143</v>
      </c>
      <c r="Z422" t="s">
        <v>143</v>
      </c>
    </row>
    <row r="423" spans="1:26" x14ac:dyDescent="0.3">
      <c r="B423" t="s">
        <v>115</v>
      </c>
      <c r="C423">
        <v>121</v>
      </c>
      <c r="D423">
        <v>20</v>
      </c>
      <c r="E423">
        <v>10</v>
      </c>
      <c r="F423">
        <v>150</v>
      </c>
      <c r="G423">
        <v>15.543519167316846</v>
      </c>
      <c r="H423">
        <v>32</v>
      </c>
      <c r="I423">
        <v>0</v>
      </c>
      <c r="J423">
        <v>6.74</v>
      </c>
      <c r="O423">
        <v>52.92</v>
      </c>
      <c r="P423">
        <v>6.16</v>
      </c>
      <c r="Q423">
        <v>40.54</v>
      </c>
      <c r="R423">
        <v>66.95</v>
      </c>
      <c r="X423" t="s">
        <v>143</v>
      </c>
      <c r="Z423" t="s">
        <v>143</v>
      </c>
    </row>
    <row r="424" spans="1:26" x14ac:dyDescent="0.3">
      <c r="B424" t="s">
        <v>115</v>
      </c>
      <c r="C424">
        <v>121</v>
      </c>
      <c r="D424">
        <v>20</v>
      </c>
      <c r="E424">
        <v>10</v>
      </c>
      <c r="F424">
        <v>150</v>
      </c>
      <c r="G424">
        <v>15.543519167316846</v>
      </c>
      <c r="H424">
        <v>32</v>
      </c>
      <c r="I424">
        <v>0</v>
      </c>
      <c r="J424">
        <v>6.86</v>
      </c>
      <c r="O424">
        <v>52.91</v>
      </c>
      <c r="P424">
        <v>6.17</v>
      </c>
      <c r="Q424">
        <v>40.53</v>
      </c>
      <c r="R424">
        <v>66.930000000000007</v>
      </c>
      <c r="X424" t="s">
        <v>143</v>
      </c>
      <c r="Z424" t="s">
        <v>143</v>
      </c>
    </row>
    <row r="425" spans="1:26" x14ac:dyDescent="0.3">
      <c r="B425" t="s">
        <v>116</v>
      </c>
      <c r="C425">
        <v>121</v>
      </c>
      <c r="D425">
        <v>20</v>
      </c>
      <c r="E425">
        <v>10</v>
      </c>
      <c r="F425">
        <v>150</v>
      </c>
      <c r="G425">
        <v>15.543519167316846</v>
      </c>
      <c r="H425">
        <v>32</v>
      </c>
      <c r="I425">
        <v>0</v>
      </c>
      <c r="J425">
        <v>6.9</v>
      </c>
      <c r="X425" t="s">
        <v>143</v>
      </c>
      <c r="Z425" t="s">
        <v>143</v>
      </c>
    </row>
    <row r="426" spans="1:26" x14ac:dyDescent="0.3">
      <c r="B426" t="s">
        <v>116</v>
      </c>
      <c r="C426">
        <v>121</v>
      </c>
      <c r="D426">
        <v>20</v>
      </c>
      <c r="E426">
        <v>10</v>
      </c>
      <c r="F426">
        <v>150</v>
      </c>
      <c r="G426">
        <v>15.543519167316846</v>
      </c>
      <c r="H426">
        <v>32</v>
      </c>
      <c r="I426">
        <v>0</v>
      </c>
      <c r="X426" t="s">
        <v>143</v>
      </c>
      <c r="Z426" t="s">
        <v>143</v>
      </c>
    </row>
    <row r="427" spans="1:26" x14ac:dyDescent="0.3">
      <c r="B427" t="s">
        <v>116</v>
      </c>
      <c r="C427">
        <v>121</v>
      </c>
      <c r="D427">
        <v>20</v>
      </c>
      <c r="E427">
        <v>10</v>
      </c>
      <c r="F427">
        <v>150</v>
      </c>
      <c r="G427">
        <v>15.543519167316846</v>
      </c>
      <c r="H427">
        <v>32</v>
      </c>
      <c r="I427">
        <v>0</v>
      </c>
      <c r="X427" t="s">
        <v>143</v>
      </c>
      <c r="Z427" t="s">
        <v>143</v>
      </c>
    </row>
    <row r="428" spans="1:26" x14ac:dyDescent="0.3">
      <c r="B428" t="s">
        <v>117</v>
      </c>
      <c r="C428">
        <v>121</v>
      </c>
      <c r="D428">
        <v>20</v>
      </c>
      <c r="E428">
        <v>10</v>
      </c>
      <c r="F428">
        <v>150</v>
      </c>
      <c r="G428">
        <v>15.543519167316846</v>
      </c>
      <c r="H428">
        <v>32</v>
      </c>
      <c r="I428">
        <v>0</v>
      </c>
      <c r="X428" t="s">
        <v>143</v>
      </c>
      <c r="Z428" t="s">
        <v>143</v>
      </c>
    </row>
    <row r="429" spans="1:26" x14ac:dyDescent="0.3">
      <c r="B429" t="s">
        <v>117</v>
      </c>
      <c r="C429">
        <v>121</v>
      </c>
      <c r="D429">
        <v>20</v>
      </c>
      <c r="E429">
        <v>10</v>
      </c>
      <c r="F429">
        <v>150</v>
      </c>
      <c r="G429">
        <v>15.543519167316846</v>
      </c>
      <c r="H429">
        <v>32</v>
      </c>
      <c r="I429">
        <v>0</v>
      </c>
      <c r="X429" t="s">
        <v>143</v>
      </c>
      <c r="Z429" t="s">
        <v>143</v>
      </c>
    </row>
    <row r="430" spans="1:26" x14ac:dyDescent="0.3">
      <c r="B430" t="s">
        <v>117</v>
      </c>
      <c r="C430">
        <v>121</v>
      </c>
      <c r="D430">
        <v>20</v>
      </c>
      <c r="E430">
        <v>10</v>
      </c>
      <c r="F430">
        <v>150</v>
      </c>
      <c r="G430">
        <v>15.543519167316846</v>
      </c>
      <c r="H430">
        <v>32</v>
      </c>
      <c r="I430">
        <v>0</v>
      </c>
      <c r="X430" t="s">
        <v>143</v>
      </c>
      <c r="Z430" t="s">
        <v>143</v>
      </c>
    </row>
    <row r="431" spans="1:26" x14ac:dyDescent="0.3">
      <c r="B431" t="s">
        <v>118</v>
      </c>
      <c r="C431">
        <v>0</v>
      </c>
      <c r="D431">
        <v>0</v>
      </c>
      <c r="E431">
        <v>0</v>
      </c>
      <c r="F431">
        <v>150</v>
      </c>
      <c r="G431">
        <v>0</v>
      </c>
      <c r="H431">
        <v>32</v>
      </c>
      <c r="I431">
        <v>0</v>
      </c>
      <c r="J431">
        <v>6.11</v>
      </c>
      <c r="V431">
        <v>68.260000000000005</v>
      </c>
    </row>
    <row r="432" spans="1:26" x14ac:dyDescent="0.3">
      <c r="B432" t="s">
        <v>118</v>
      </c>
      <c r="C432">
        <v>0</v>
      </c>
      <c r="D432">
        <v>0</v>
      </c>
      <c r="E432">
        <v>0</v>
      </c>
      <c r="F432">
        <v>150</v>
      </c>
      <c r="G432">
        <v>0</v>
      </c>
      <c r="H432">
        <v>32</v>
      </c>
      <c r="I432">
        <v>0</v>
      </c>
      <c r="J432">
        <v>6.05</v>
      </c>
    </row>
    <row r="433" spans="2:22" x14ac:dyDescent="0.3">
      <c r="B433" t="s">
        <v>118</v>
      </c>
      <c r="C433">
        <v>0</v>
      </c>
      <c r="D433">
        <v>0</v>
      </c>
      <c r="E433">
        <v>0</v>
      </c>
      <c r="F433">
        <v>150</v>
      </c>
      <c r="G433">
        <v>0</v>
      </c>
      <c r="H433">
        <v>32</v>
      </c>
      <c r="I433">
        <v>0</v>
      </c>
      <c r="J433">
        <v>5.93</v>
      </c>
    </row>
    <row r="434" spans="2:22" x14ac:dyDescent="0.3">
      <c r="B434" t="s">
        <v>118</v>
      </c>
      <c r="C434">
        <v>0</v>
      </c>
      <c r="D434">
        <v>0</v>
      </c>
      <c r="E434">
        <v>0</v>
      </c>
      <c r="F434">
        <v>150</v>
      </c>
      <c r="G434">
        <v>0</v>
      </c>
      <c r="H434">
        <v>32</v>
      </c>
      <c r="I434">
        <v>0</v>
      </c>
      <c r="J434">
        <v>6.14</v>
      </c>
      <c r="V434">
        <v>62.99</v>
      </c>
    </row>
    <row r="435" spans="2:22" x14ac:dyDescent="0.3">
      <c r="B435" t="s">
        <v>118</v>
      </c>
      <c r="C435">
        <v>0</v>
      </c>
      <c r="D435">
        <v>0</v>
      </c>
      <c r="E435">
        <v>0</v>
      </c>
      <c r="F435">
        <v>150</v>
      </c>
      <c r="G435">
        <v>0</v>
      </c>
      <c r="H435">
        <v>32</v>
      </c>
      <c r="I435">
        <v>0</v>
      </c>
      <c r="J435">
        <v>6.05</v>
      </c>
    </row>
    <row r="436" spans="2:22" x14ac:dyDescent="0.3">
      <c r="B436" t="s">
        <v>118</v>
      </c>
      <c r="C436">
        <v>0</v>
      </c>
      <c r="D436">
        <v>0</v>
      </c>
      <c r="E436">
        <v>0</v>
      </c>
      <c r="F436">
        <v>150</v>
      </c>
      <c r="G436">
        <v>0</v>
      </c>
      <c r="H436">
        <v>32</v>
      </c>
      <c r="I436">
        <v>0</v>
      </c>
      <c r="J436">
        <v>5.93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868B-DE32-4593-BA2F-B5E93B23B29F}">
  <dimension ref="B1:H7"/>
  <sheetViews>
    <sheetView workbookViewId="0">
      <selection activeCell="A3" sqref="A3"/>
    </sheetView>
  </sheetViews>
  <sheetFormatPr defaultRowHeight="14.4" x14ac:dyDescent="0.3"/>
  <sheetData>
    <row r="1" spans="2:8" ht="43.2" x14ac:dyDescent="0.3">
      <c r="B1" s="1" t="s">
        <v>112</v>
      </c>
    </row>
    <row r="2" spans="2:8" ht="43.2" x14ac:dyDescent="0.3">
      <c r="B2" s="3"/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</row>
    <row r="3" spans="2:8" x14ac:dyDescent="0.3">
      <c r="B3" s="3"/>
    </row>
    <row r="4" spans="2:8" x14ac:dyDescent="0.3">
      <c r="B4" s="3"/>
    </row>
    <row r="5" spans="2:8" x14ac:dyDescent="0.3">
      <c r="B5" s="3"/>
    </row>
    <row r="6" spans="2:8" x14ac:dyDescent="0.3">
      <c r="B6" s="3"/>
    </row>
    <row r="7" spans="2:8" x14ac:dyDescent="0.3">
      <c r="B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90F-89A8-4207-8361-0B5103C0C4D2}">
  <dimension ref="A1:C25"/>
  <sheetViews>
    <sheetView topLeftCell="A10" workbookViewId="0">
      <selection activeCell="C26" sqref="C26"/>
    </sheetView>
  </sheetViews>
  <sheetFormatPr defaultRowHeight="14.4" x14ac:dyDescent="0.3"/>
  <sheetData>
    <row r="1" spans="1:3" x14ac:dyDescent="0.3">
      <c r="A1" t="s">
        <v>103</v>
      </c>
    </row>
    <row r="2" spans="1:3" x14ac:dyDescent="0.3">
      <c r="A2" t="s">
        <v>108</v>
      </c>
      <c r="B2" t="s">
        <v>111</v>
      </c>
      <c r="C2" t="s">
        <v>110</v>
      </c>
    </row>
    <row r="3" spans="1:3" x14ac:dyDescent="0.3">
      <c r="A3" t="s">
        <v>105</v>
      </c>
      <c r="B3" t="s">
        <v>109</v>
      </c>
      <c r="C3">
        <v>1.1499999999999999</v>
      </c>
    </row>
    <row r="4" spans="1:3" x14ac:dyDescent="0.3">
      <c r="A4" t="s">
        <v>105</v>
      </c>
      <c r="B4" t="s">
        <v>109</v>
      </c>
      <c r="C4">
        <v>1.3</v>
      </c>
    </row>
    <row r="5" spans="1:3" x14ac:dyDescent="0.3">
      <c r="A5" t="s">
        <v>105</v>
      </c>
      <c r="B5" t="s">
        <v>109</v>
      </c>
      <c r="C5">
        <v>1.17</v>
      </c>
    </row>
    <row r="6" spans="1:3" x14ac:dyDescent="0.3">
      <c r="A6" t="s">
        <v>105</v>
      </c>
      <c r="B6" t="s">
        <v>109</v>
      </c>
      <c r="C6">
        <v>1.07</v>
      </c>
    </row>
    <row r="7" spans="1:3" x14ac:dyDescent="0.3">
      <c r="A7" t="s">
        <v>105</v>
      </c>
      <c r="B7" t="s">
        <v>109</v>
      </c>
      <c r="C7">
        <v>1.08</v>
      </c>
    </row>
    <row r="9" spans="1:3" x14ac:dyDescent="0.3">
      <c r="A9" t="s">
        <v>104</v>
      </c>
      <c r="B9" t="s">
        <v>109</v>
      </c>
      <c r="C9">
        <v>1.2</v>
      </c>
    </row>
    <row r="10" spans="1:3" x14ac:dyDescent="0.3">
      <c r="A10" t="s">
        <v>104</v>
      </c>
      <c r="B10" t="s">
        <v>109</v>
      </c>
      <c r="C10">
        <v>0.95</v>
      </c>
    </row>
    <row r="11" spans="1:3" x14ac:dyDescent="0.3">
      <c r="A11" t="s">
        <v>104</v>
      </c>
      <c r="B11" t="s">
        <v>109</v>
      </c>
      <c r="C11">
        <v>0.98</v>
      </c>
    </row>
    <row r="12" spans="1:3" x14ac:dyDescent="0.3">
      <c r="A12" t="s">
        <v>104</v>
      </c>
      <c r="B12" t="s">
        <v>109</v>
      </c>
      <c r="C12">
        <v>1.21</v>
      </c>
    </row>
    <row r="13" spans="1:3" x14ac:dyDescent="0.3">
      <c r="A13" t="s">
        <v>104</v>
      </c>
      <c r="B13" t="s">
        <v>109</v>
      </c>
      <c r="C13">
        <v>1.35</v>
      </c>
    </row>
    <row r="15" spans="1:3" x14ac:dyDescent="0.3">
      <c r="A15" t="s">
        <v>106</v>
      </c>
      <c r="B15" t="s">
        <v>109</v>
      </c>
      <c r="C15">
        <v>0.99</v>
      </c>
    </row>
    <row r="16" spans="1:3" x14ac:dyDescent="0.3">
      <c r="A16" t="s">
        <v>106</v>
      </c>
      <c r="B16" t="s">
        <v>109</v>
      </c>
      <c r="C16">
        <v>0.49</v>
      </c>
    </row>
    <row r="17" spans="1:3" x14ac:dyDescent="0.3">
      <c r="A17" t="s">
        <v>106</v>
      </c>
      <c r="B17" t="s">
        <v>109</v>
      </c>
      <c r="C17">
        <v>1</v>
      </c>
    </row>
    <row r="18" spans="1:3" x14ac:dyDescent="0.3">
      <c r="A18" t="s">
        <v>106</v>
      </c>
      <c r="B18" t="s">
        <v>109</v>
      </c>
      <c r="C18">
        <v>0.92</v>
      </c>
    </row>
    <row r="19" spans="1:3" x14ac:dyDescent="0.3">
      <c r="A19" t="s">
        <v>106</v>
      </c>
      <c r="B19" t="s">
        <v>109</v>
      </c>
      <c r="C19">
        <v>0.96</v>
      </c>
    </row>
    <row r="21" spans="1:3" x14ac:dyDescent="0.3">
      <c r="A21" t="s">
        <v>107</v>
      </c>
      <c r="B21" t="s">
        <v>109</v>
      </c>
      <c r="C21">
        <v>0.98</v>
      </c>
    </row>
    <row r="22" spans="1:3" x14ac:dyDescent="0.3">
      <c r="A22" t="s">
        <v>107</v>
      </c>
      <c r="B22" t="s">
        <v>109</v>
      </c>
      <c r="C22">
        <v>0.91</v>
      </c>
    </row>
    <row r="23" spans="1:3" x14ac:dyDescent="0.3">
      <c r="A23" t="s">
        <v>107</v>
      </c>
      <c r="B23" t="s">
        <v>109</v>
      </c>
      <c r="C23">
        <v>0.73</v>
      </c>
    </row>
    <row r="24" spans="1:3" x14ac:dyDescent="0.3">
      <c r="A24" t="s">
        <v>107</v>
      </c>
      <c r="B24" t="s">
        <v>109</v>
      </c>
      <c r="C24">
        <v>0.88</v>
      </c>
    </row>
    <row r="25" spans="1:3" x14ac:dyDescent="0.3">
      <c r="A25" t="s">
        <v>107</v>
      </c>
      <c r="B25" t="s">
        <v>109</v>
      </c>
      <c r="C25">
        <v>1.1299999999999999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CFF-6323-42BD-8110-F7814833A2D9}">
  <dimension ref="A1:C10"/>
  <sheetViews>
    <sheetView workbookViewId="0">
      <selection activeCell="D7" sqref="D7"/>
    </sheetView>
  </sheetViews>
  <sheetFormatPr defaultRowHeight="14.4" x14ac:dyDescent="0.3"/>
  <sheetData>
    <row r="1" spans="1:3" x14ac:dyDescent="0.3">
      <c r="A1" t="s">
        <v>124</v>
      </c>
    </row>
    <row r="2" spans="1:3" x14ac:dyDescent="0.3">
      <c r="A2" t="s">
        <v>125</v>
      </c>
    </row>
    <row r="3" spans="1:3" x14ac:dyDescent="0.3">
      <c r="A3" t="s">
        <v>126</v>
      </c>
    </row>
    <row r="5" spans="1:3" x14ac:dyDescent="0.3">
      <c r="A5" t="s">
        <v>127</v>
      </c>
    </row>
    <row r="7" spans="1:3" x14ac:dyDescent="0.3">
      <c r="A7" t="s">
        <v>128</v>
      </c>
      <c r="C7" t="s">
        <v>132</v>
      </c>
    </row>
    <row r="8" spans="1:3" x14ac:dyDescent="0.3">
      <c r="A8" t="s">
        <v>129</v>
      </c>
      <c r="C8" t="s">
        <v>133</v>
      </c>
    </row>
    <row r="9" spans="1:3" x14ac:dyDescent="0.3">
      <c r="A9" t="s">
        <v>130</v>
      </c>
      <c r="C9" t="s">
        <v>134</v>
      </c>
    </row>
    <row r="10" spans="1:3" x14ac:dyDescent="0.3">
      <c r="A10" t="s">
        <v>131</v>
      </c>
      <c r="C10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AC59-6658-4863-8A85-F50DDFE125A0}">
  <dimension ref="A1:C776"/>
  <sheetViews>
    <sheetView topLeftCell="A367" workbookViewId="0">
      <selection activeCell="W379" sqref="W379"/>
    </sheetView>
  </sheetViews>
  <sheetFormatPr defaultRowHeight="14.4" x14ac:dyDescent="0.3"/>
  <sheetData>
    <row r="1" spans="1:3" x14ac:dyDescent="0.3">
      <c r="A1" s="2" t="s">
        <v>62</v>
      </c>
    </row>
    <row r="2" spans="1:3" x14ac:dyDescent="0.3">
      <c r="A2" s="2" t="s">
        <v>63</v>
      </c>
      <c r="B2" s="2" t="s">
        <v>64</v>
      </c>
      <c r="C2" s="2" t="s">
        <v>65</v>
      </c>
    </row>
    <row r="3" spans="1:3" x14ac:dyDescent="0.3">
      <c r="A3" s="5">
        <v>0.61032407407407407</v>
      </c>
      <c r="B3">
        <v>34.299999999999997</v>
      </c>
      <c r="C3">
        <f>10^((B3-121.1)/10)</f>
        <v>2.0892961308540348E-9</v>
      </c>
    </row>
    <row r="4" spans="1:3" x14ac:dyDescent="0.3">
      <c r="A4" s="5">
        <v>0.61067129629629635</v>
      </c>
      <c r="B4">
        <v>34.299999999999997</v>
      </c>
      <c r="C4">
        <f t="shared" ref="C4:C67" si="0">10^((B4-121.1)/10)</f>
        <v>2.0892961308540348E-9</v>
      </c>
    </row>
    <row r="5" spans="1:3" x14ac:dyDescent="0.3">
      <c r="A5" s="5">
        <v>0.61103009259259256</v>
      </c>
      <c r="B5">
        <v>34.299999999999997</v>
      </c>
      <c r="C5">
        <f t="shared" si="0"/>
        <v>2.0892961308540348E-9</v>
      </c>
    </row>
    <row r="6" spans="1:3" x14ac:dyDescent="0.3">
      <c r="A6" s="5">
        <v>0.61136574074074079</v>
      </c>
      <c r="B6">
        <v>34.6</v>
      </c>
      <c r="C6">
        <f t="shared" si="0"/>
        <v>2.2387211385683336E-9</v>
      </c>
    </row>
    <row r="7" spans="1:3" x14ac:dyDescent="0.3">
      <c r="A7" s="5">
        <v>0.61171296296296296</v>
      </c>
      <c r="B7">
        <v>35</v>
      </c>
      <c r="C7">
        <f t="shared" si="0"/>
        <v>2.4547089156850316E-9</v>
      </c>
    </row>
    <row r="8" spans="1:3" x14ac:dyDescent="0.3">
      <c r="A8" s="5">
        <v>0.61207175925925927</v>
      </c>
      <c r="B8">
        <v>37.4</v>
      </c>
      <c r="C8">
        <f t="shared" si="0"/>
        <v>4.265795188015919E-9</v>
      </c>
    </row>
    <row r="9" spans="1:3" x14ac:dyDescent="0.3">
      <c r="A9" s="5">
        <v>0.61241898148148144</v>
      </c>
      <c r="B9">
        <v>43</v>
      </c>
      <c r="C9">
        <f t="shared" si="0"/>
        <v>1.5488166189124814E-8</v>
      </c>
    </row>
    <row r="10" spans="1:3" x14ac:dyDescent="0.3">
      <c r="A10" s="5">
        <v>0.61275462962962968</v>
      </c>
      <c r="B10">
        <v>49.5</v>
      </c>
      <c r="C10">
        <f t="shared" si="0"/>
        <v>6.9183097091893717E-8</v>
      </c>
    </row>
    <row r="11" spans="1:3" x14ac:dyDescent="0.3">
      <c r="A11" s="5">
        <v>0.61310185185185184</v>
      </c>
      <c r="B11">
        <v>54.7</v>
      </c>
      <c r="C11">
        <f t="shared" si="0"/>
        <v>2.2908676527677761E-7</v>
      </c>
    </row>
    <row r="12" spans="1:3" x14ac:dyDescent="0.3">
      <c r="A12" s="5">
        <v>0.61346064814814816</v>
      </c>
      <c r="B12">
        <v>59.5</v>
      </c>
      <c r="C12">
        <f t="shared" si="0"/>
        <v>6.9183097091893661E-7</v>
      </c>
    </row>
    <row r="13" spans="1:3" x14ac:dyDescent="0.3">
      <c r="A13" s="5">
        <v>0.61379629629629628</v>
      </c>
      <c r="B13">
        <v>63.1</v>
      </c>
      <c r="C13">
        <f t="shared" si="0"/>
        <v>1.5848931924611141E-6</v>
      </c>
    </row>
    <row r="14" spans="1:3" x14ac:dyDescent="0.3">
      <c r="A14" s="5">
        <v>0.6141550925925926</v>
      </c>
      <c r="B14">
        <v>67.099999999999994</v>
      </c>
      <c r="C14">
        <f t="shared" si="0"/>
        <v>3.9810717055349657E-6</v>
      </c>
    </row>
    <row r="15" spans="1:3" x14ac:dyDescent="0.3">
      <c r="A15" s="5">
        <v>0.61450231481481477</v>
      </c>
      <c r="B15">
        <v>72.400000000000006</v>
      </c>
      <c r="C15">
        <f t="shared" si="0"/>
        <v>1.3489628825916542E-5</v>
      </c>
    </row>
    <row r="16" spans="1:3" x14ac:dyDescent="0.3">
      <c r="A16" s="5">
        <v>0.614837962962963</v>
      </c>
      <c r="B16">
        <v>76.3</v>
      </c>
      <c r="C16">
        <f t="shared" si="0"/>
        <v>3.3113112148259117E-5</v>
      </c>
    </row>
    <row r="17" spans="1:3" x14ac:dyDescent="0.3">
      <c r="A17" s="5">
        <v>0.61519675925925921</v>
      </c>
      <c r="B17">
        <v>78.900000000000006</v>
      </c>
      <c r="C17">
        <f t="shared" si="0"/>
        <v>6.0255958607435847E-5</v>
      </c>
    </row>
    <row r="18" spans="1:3" x14ac:dyDescent="0.3">
      <c r="A18" s="5">
        <v>0.61553240740740744</v>
      </c>
      <c r="B18">
        <v>80.8</v>
      </c>
      <c r="C18">
        <f t="shared" si="0"/>
        <v>9.3325430079699222E-5</v>
      </c>
    </row>
    <row r="19" spans="1:3" x14ac:dyDescent="0.3">
      <c r="A19" s="5">
        <v>0.61589120370370365</v>
      </c>
      <c r="B19">
        <v>82.5</v>
      </c>
      <c r="C19">
        <f t="shared" si="0"/>
        <v>1.3803842646028868E-4</v>
      </c>
    </row>
    <row r="20" spans="1:3" x14ac:dyDescent="0.3">
      <c r="A20" s="5">
        <v>0.61622685185185189</v>
      </c>
      <c r="B20">
        <v>83.8</v>
      </c>
      <c r="C20">
        <f t="shared" si="0"/>
        <v>1.8620871366628676E-4</v>
      </c>
    </row>
    <row r="21" spans="1:3" x14ac:dyDescent="0.3">
      <c r="A21" s="5">
        <v>0.6165856481481482</v>
      </c>
      <c r="B21">
        <v>85.9</v>
      </c>
      <c r="C21">
        <f t="shared" si="0"/>
        <v>3.0199517204020212E-4</v>
      </c>
    </row>
    <row r="22" spans="1:3" x14ac:dyDescent="0.3">
      <c r="A22" s="5">
        <v>0.61692129629629633</v>
      </c>
      <c r="B22">
        <v>87</v>
      </c>
      <c r="C22">
        <f t="shared" si="0"/>
        <v>3.8904514499428082E-4</v>
      </c>
    </row>
    <row r="23" spans="1:3" x14ac:dyDescent="0.3">
      <c r="A23" s="5">
        <v>0.61726851851851849</v>
      </c>
      <c r="B23">
        <v>87.9</v>
      </c>
      <c r="C23">
        <f t="shared" si="0"/>
        <v>4.7863009232263908E-4</v>
      </c>
    </row>
    <row r="24" spans="1:3" x14ac:dyDescent="0.3">
      <c r="A24" s="5">
        <v>0.61761574074074077</v>
      </c>
      <c r="B24">
        <v>88.5</v>
      </c>
      <c r="C24">
        <f t="shared" si="0"/>
        <v>5.495408738576251E-4</v>
      </c>
    </row>
    <row r="25" spans="1:3" x14ac:dyDescent="0.3">
      <c r="A25" s="5">
        <v>0.61797453703703709</v>
      </c>
      <c r="B25">
        <v>88.7</v>
      </c>
      <c r="C25">
        <f t="shared" si="0"/>
        <v>5.754399373371574E-4</v>
      </c>
    </row>
    <row r="26" spans="1:3" x14ac:dyDescent="0.3">
      <c r="A26" s="5">
        <v>0.61832175925925925</v>
      </c>
      <c r="B26">
        <v>90.2</v>
      </c>
      <c r="C26">
        <f t="shared" si="0"/>
        <v>8.1283051616410089E-4</v>
      </c>
    </row>
    <row r="27" spans="1:3" x14ac:dyDescent="0.3">
      <c r="A27" s="5">
        <v>0.61865740740740738</v>
      </c>
      <c r="B27">
        <v>90.8</v>
      </c>
      <c r="C27">
        <f t="shared" si="0"/>
        <v>9.3325430079699062E-4</v>
      </c>
    </row>
    <row r="28" spans="1:3" x14ac:dyDescent="0.3">
      <c r="A28" s="5">
        <v>0.61900462962962965</v>
      </c>
      <c r="B28">
        <v>91.5</v>
      </c>
      <c r="C28">
        <f t="shared" si="0"/>
        <v>1.0964781961431858E-3</v>
      </c>
    </row>
    <row r="29" spans="1:3" x14ac:dyDescent="0.3">
      <c r="A29" s="5">
        <v>0.61936342592592597</v>
      </c>
      <c r="B29">
        <v>92.2</v>
      </c>
      <c r="C29">
        <f t="shared" si="0"/>
        <v>1.2882495516931352E-3</v>
      </c>
    </row>
    <row r="30" spans="1:3" x14ac:dyDescent="0.3">
      <c r="A30" s="5">
        <v>0.61971064814814814</v>
      </c>
      <c r="B30">
        <v>94.2</v>
      </c>
      <c r="C30">
        <f t="shared" si="0"/>
        <v>2.0417379446695328E-3</v>
      </c>
    </row>
    <row r="31" spans="1:3" x14ac:dyDescent="0.3">
      <c r="A31" s="5">
        <v>0.62004629629629626</v>
      </c>
      <c r="B31">
        <v>96.1</v>
      </c>
      <c r="C31">
        <f t="shared" si="0"/>
        <v>3.1622776601683764E-3</v>
      </c>
    </row>
    <row r="32" spans="1:3" x14ac:dyDescent="0.3">
      <c r="A32" s="5">
        <v>0.62040509259259258</v>
      </c>
      <c r="B32">
        <v>97.7</v>
      </c>
      <c r="C32">
        <f t="shared" si="0"/>
        <v>4.5708818961487591E-3</v>
      </c>
    </row>
    <row r="33" spans="1:3" x14ac:dyDescent="0.3">
      <c r="A33" s="5">
        <v>0.6207407407407407</v>
      </c>
      <c r="B33">
        <v>99.3</v>
      </c>
      <c r="C33">
        <f t="shared" si="0"/>
        <v>6.6069344800759626E-3</v>
      </c>
    </row>
    <row r="34" spans="1:3" x14ac:dyDescent="0.3">
      <c r="A34" s="5">
        <v>0.62109953703703702</v>
      </c>
      <c r="B34">
        <v>100.9</v>
      </c>
      <c r="C34">
        <f t="shared" si="0"/>
        <v>9.5499258602143814E-3</v>
      </c>
    </row>
    <row r="35" spans="1:3" x14ac:dyDescent="0.3">
      <c r="A35" s="5">
        <v>0.62143518518518515</v>
      </c>
      <c r="B35">
        <v>102.9</v>
      </c>
      <c r="C35">
        <f t="shared" si="0"/>
        <v>1.5135612484362116E-2</v>
      </c>
    </row>
    <row r="36" spans="1:3" x14ac:dyDescent="0.3">
      <c r="A36" s="5">
        <v>0.62179398148148146</v>
      </c>
      <c r="B36">
        <v>106.7</v>
      </c>
      <c r="C36">
        <f t="shared" si="0"/>
        <v>3.6307805477010201E-2</v>
      </c>
    </row>
    <row r="37" spans="1:3" x14ac:dyDescent="0.3">
      <c r="A37" s="5">
        <v>0.62214120370370374</v>
      </c>
      <c r="B37">
        <v>109.7</v>
      </c>
      <c r="C37">
        <f t="shared" si="0"/>
        <v>7.2443596007499125E-2</v>
      </c>
    </row>
    <row r="38" spans="1:3" x14ac:dyDescent="0.3">
      <c r="A38" s="5">
        <v>0.6224884259259259</v>
      </c>
      <c r="B38">
        <v>111.2</v>
      </c>
      <c r="C38">
        <f t="shared" si="0"/>
        <v>0.1023292992280756</v>
      </c>
    </row>
    <row r="39" spans="1:3" x14ac:dyDescent="0.3">
      <c r="A39" s="5">
        <v>0.62282407407407403</v>
      </c>
      <c r="B39">
        <v>113.1</v>
      </c>
      <c r="C39">
        <f t="shared" si="0"/>
        <v>0.15848931924611132</v>
      </c>
    </row>
    <row r="40" spans="1:3" x14ac:dyDescent="0.3">
      <c r="A40" s="5">
        <v>0.62318287037037035</v>
      </c>
      <c r="B40">
        <v>114.3</v>
      </c>
      <c r="C40">
        <f t="shared" si="0"/>
        <v>0.20892961308540403</v>
      </c>
    </row>
    <row r="41" spans="1:3" x14ac:dyDescent="0.3">
      <c r="A41" s="5">
        <v>0.62353009259259262</v>
      </c>
      <c r="B41">
        <v>115.3</v>
      </c>
      <c r="C41">
        <f t="shared" si="0"/>
        <v>0.26302679918953831</v>
      </c>
    </row>
    <row r="42" spans="1:3" x14ac:dyDescent="0.3">
      <c r="A42" s="5">
        <v>0.62386574074074075</v>
      </c>
      <c r="B42">
        <v>116.8</v>
      </c>
      <c r="C42">
        <f t="shared" si="0"/>
        <v>0.37153522909717274</v>
      </c>
    </row>
    <row r="43" spans="1:3" x14ac:dyDescent="0.3">
      <c r="A43" s="5">
        <v>0.62422453703703706</v>
      </c>
      <c r="B43">
        <v>118</v>
      </c>
      <c r="C43">
        <f t="shared" si="0"/>
        <v>0.48977881936844675</v>
      </c>
    </row>
    <row r="44" spans="1:3" x14ac:dyDescent="0.3">
      <c r="A44" s="5">
        <v>0.62456018518518519</v>
      </c>
      <c r="B44">
        <v>118.9</v>
      </c>
      <c r="C44">
        <f t="shared" si="0"/>
        <v>0.60255958607435922</v>
      </c>
    </row>
    <row r="45" spans="1:3" x14ac:dyDescent="0.3">
      <c r="A45" s="5">
        <v>0.62490740740740736</v>
      </c>
      <c r="B45">
        <v>119.8</v>
      </c>
      <c r="C45">
        <f t="shared" si="0"/>
        <v>0.74131024130091794</v>
      </c>
    </row>
    <row r="46" spans="1:3" x14ac:dyDescent="0.3">
      <c r="A46" s="5">
        <v>0.62526620370370367</v>
      </c>
      <c r="B46">
        <v>120.6</v>
      </c>
      <c r="C46">
        <f t="shared" si="0"/>
        <v>0.89125093813374545</v>
      </c>
    </row>
    <row r="47" spans="1:3" x14ac:dyDescent="0.3">
      <c r="A47" s="6">
        <v>0.62561342592592595</v>
      </c>
      <c r="B47" s="7">
        <v>121</v>
      </c>
      <c r="C47" s="7">
        <f t="shared" si="0"/>
        <v>0.977237220955812</v>
      </c>
    </row>
    <row r="48" spans="1:3" x14ac:dyDescent="0.3">
      <c r="A48" s="6">
        <v>0.62596064814814811</v>
      </c>
      <c r="B48" s="7">
        <v>121.4</v>
      </c>
      <c r="C48" s="7">
        <f t="shared" si="0"/>
        <v>1.0715193052376093</v>
      </c>
    </row>
    <row r="49" spans="1:3" x14ac:dyDescent="0.3">
      <c r="A49" s="6">
        <v>0.62630787037037039</v>
      </c>
      <c r="B49" s="7">
        <v>120.8</v>
      </c>
      <c r="C49" s="7">
        <f t="shared" si="0"/>
        <v>0.93325430079699168</v>
      </c>
    </row>
    <row r="50" spans="1:3" x14ac:dyDescent="0.3">
      <c r="A50" s="6">
        <v>0.62664351851851852</v>
      </c>
      <c r="B50" s="7">
        <v>119.9</v>
      </c>
      <c r="C50" s="7">
        <f t="shared" si="0"/>
        <v>0.75857757502918577</v>
      </c>
    </row>
    <row r="51" spans="1:3" x14ac:dyDescent="0.3">
      <c r="A51" s="6">
        <v>0.62700231481481483</v>
      </c>
      <c r="B51" s="7">
        <v>122.5</v>
      </c>
      <c r="C51" s="7">
        <f t="shared" si="0"/>
        <v>1.3803842646028868</v>
      </c>
    </row>
    <row r="52" spans="1:3" x14ac:dyDescent="0.3">
      <c r="A52" s="6">
        <v>0.627349537037037</v>
      </c>
      <c r="B52" s="7">
        <v>121.2</v>
      </c>
      <c r="C52" s="7">
        <f t="shared" si="0"/>
        <v>1.0232929922807561</v>
      </c>
    </row>
    <row r="53" spans="1:3" x14ac:dyDescent="0.3">
      <c r="A53" s="6">
        <v>0.62768518518518523</v>
      </c>
      <c r="B53" s="7">
        <v>121.8</v>
      </c>
      <c r="C53" s="7">
        <f t="shared" si="0"/>
        <v>1.1748975549395304</v>
      </c>
    </row>
    <row r="54" spans="1:3" x14ac:dyDescent="0.3">
      <c r="A54" s="6">
        <v>0.62804398148148144</v>
      </c>
      <c r="B54" s="7">
        <v>122.5</v>
      </c>
      <c r="C54" s="7">
        <f t="shared" si="0"/>
        <v>1.3803842646028868</v>
      </c>
    </row>
    <row r="55" spans="1:3" x14ac:dyDescent="0.3">
      <c r="A55" s="6">
        <v>0.62837962962962968</v>
      </c>
      <c r="B55" s="7">
        <v>122.2</v>
      </c>
      <c r="C55" s="7">
        <f t="shared" si="0"/>
        <v>1.2882495516931365</v>
      </c>
    </row>
    <row r="56" spans="1:3" x14ac:dyDescent="0.3">
      <c r="A56" s="6">
        <v>0.62873842592592588</v>
      </c>
      <c r="B56" s="7">
        <v>121.6</v>
      </c>
      <c r="C56" s="7">
        <f t="shared" si="0"/>
        <v>1.1220184543019636</v>
      </c>
    </row>
    <row r="57" spans="1:3" x14ac:dyDescent="0.3">
      <c r="A57" s="6">
        <v>0.62908564814814816</v>
      </c>
      <c r="B57" s="7">
        <v>122.7</v>
      </c>
      <c r="C57" s="7">
        <f t="shared" si="0"/>
        <v>1.4454397707459303</v>
      </c>
    </row>
    <row r="58" spans="1:3" x14ac:dyDescent="0.3">
      <c r="A58" s="6">
        <v>0.62943287037037032</v>
      </c>
      <c r="B58" s="7">
        <v>120.9</v>
      </c>
      <c r="C58" s="7">
        <f t="shared" si="0"/>
        <v>0.95499258602143855</v>
      </c>
    </row>
    <row r="59" spans="1:3" x14ac:dyDescent="0.3">
      <c r="A59" s="6">
        <v>0.6297800925925926</v>
      </c>
      <c r="B59" s="7">
        <v>123.2</v>
      </c>
      <c r="C59" s="7">
        <f t="shared" si="0"/>
        <v>1.6218100973589331</v>
      </c>
    </row>
    <row r="60" spans="1:3" x14ac:dyDescent="0.3">
      <c r="A60" s="6">
        <v>0.63012731481481477</v>
      </c>
      <c r="B60" s="7">
        <v>121</v>
      </c>
      <c r="C60" s="7">
        <f t="shared" si="0"/>
        <v>0.977237220955812</v>
      </c>
    </row>
    <row r="61" spans="1:3" x14ac:dyDescent="0.3">
      <c r="A61" s="6">
        <v>0.63047453703703704</v>
      </c>
      <c r="B61" s="7">
        <v>123.4</v>
      </c>
      <c r="C61" s="7">
        <f t="shared" si="0"/>
        <v>1.698243652461749</v>
      </c>
    </row>
    <row r="62" spans="1:3" x14ac:dyDescent="0.3">
      <c r="A62" s="6">
        <v>0.63082175925925921</v>
      </c>
      <c r="B62" s="7">
        <v>122</v>
      </c>
      <c r="C62" s="7">
        <f t="shared" si="0"/>
        <v>1.2302687708123832</v>
      </c>
    </row>
    <row r="63" spans="1:3" x14ac:dyDescent="0.3">
      <c r="A63" s="6">
        <v>0.63116898148148148</v>
      </c>
      <c r="B63" s="7">
        <v>121.9</v>
      </c>
      <c r="C63" s="7">
        <f t="shared" si="0"/>
        <v>1.2022644346174161</v>
      </c>
    </row>
    <row r="64" spans="1:3" x14ac:dyDescent="0.3">
      <c r="A64" s="6">
        <v>0.63151620370370365</v>
      </c>
      <c r="B64" s="7">
        <v>122.1</v>
      </c>
      <c r="C64" s="7">
        <f t="shared" si="0"/>
        <v>1.2589254117941673</v>
      </c>
    </row>
    <row r="65" spans="1:3" x14ac:dyDescent="0.3">
      <c r="A65" s="6">
        <v>0.63186342592592593</v>
      </c>
      <c r="B65" s="7">
        <v>120.9</v>
      </c>
      <c r="C65" s="7">
        <f t="shared" si="0"/>
        <v>0.95499258602143855</v>
      </c>
    </row>
    <row r="66" spans="1:3" x14ac:dyDescent="0.3">
      <c r="A66" s="6">
        <v>0.6322106481481482</v>
      </c>
      <c r="B66" s="7">
        <v>123</v>
      </c>
      <c r="C66" s="7">
        <f t="shared" si="0"/>
        <v>1.5488166189124835</v>
      </c>
    </row>
    <row r="67" spans="1:3" x14ac:dyDescent="0.3">
      <c r="A67" s="6">
        <v>0.63254629629629633</v>
      </c>
      <c r="B67" s="7">
        <v>120.9</v>
      </c>
      <c r="C67" s="7">
        <f t="shared" si="0"/>
        <v>0.95499258602143855</v>
      </c>
    </row>
    <row r="68" spans="1:3" x14ac:dyDescent="0.3">
      <c r="A68" s="6">
        <v>0.63290509259259264</v>
      </c>
      <c r="B68" s="7">
        <v>123.6</v>
      </c>
      <c r="C68" s="7">
        <f t="shared" ref="C68:C122" si="1">10^((B68-121.1)/10)</f>
        <v>1.778279410038923</v>
      </c>
    </row>
    <row r="69" spans="1:3" x14ac:dyDescent="0.3">
      <c r="A69" s="6">
        <v>0.63325231481481481</v>
      </c>
      <c r="B69" s="7">
        <v>122</v>
      </c>
      <c r="C69" s="7">
        <f t="shared" si="1"/>
        <v>1.2302687708123832</v>
      </c>
    </row>
    <row r="70" spans="1:3" x14ac:dyDescent="0.3">
      <c r="A70" s="6">
        <v>0.63359953703703709</v>
      </c>
      <c r="B70" s="7">
        <v>121.6</v>
      </c>
      <c r="C70" s="7">
        <f t="shared" si="1"/>
        <v>1.1220184543019636</v>
      </c>
    </row>
    <row r="71" spans="1:3" x14ac:dyDescent="0.3">
      <c r="A71" s="6">
        <v>0.63394675925925925</v>
      </c>
      <c r="B71" s="7">
        <v>122.6</v>
      </c>
      <c r="C71" s="7">
        <f t="shared" si="1"/>
        <v>1.4125375446227544</v>
      </c>
    </row>
    <row r="72" spans="1:3" x14ac:dyDescent="0.3">
      <c r="A72" s="6">
        <v>0.63429398148148153</v>
      </c>
      <c r="B72" s="7">
        <v>121.2</v>
      </c>
      <c r="C72" s="7">
        <f t="shared" si="1"/>
        <v>1.0232929922807561</v>
      </c>
    </row>
    <row r="73" spans="1:3" x14ac:dyDescent="0.3">
      <c r="A73" s="6">
        <v>0.63464120370370369</v>
      </c>
      <c r="B73" s="7">
        <v>123.4</v>
      </c>
      <c r="C73" s="7">
        <f t="shared" si="1"/>
        <v>1.698243652461749</v>
      </c>
    </row>
    <row r="74" spans="1:3" x14ac:dyDescent="0.3">
      <c r="A74" s="6">
        <v>0.63498842592592597</v>
      </c>
      <c r="B74" s="7">
        <v>122.3</v>
      </c>
      <c r="C74" s="7">
        <f t="shared" si="1"/>
        <v>1.3182567385564079</v>
      </c>
    </row>
    <row r="75" spans="1:3" x14ac:dyDescent="0.3">
      <c r="A75" s="6">
        <v>0.63533564814814814</v>
      </c>
      <c r="B75" s="7">
        <v>120.7</v>
      </c>
      <c r="C75" s="7">
        <f t="shared" si="1"/>
        <v>0.91201083935591154</v>
      </c>
    </row>
    <row r="76" spans="1:3" x14ac:dyDescent="0.3">
      <c r="A76" s="6">
        <v>0.63568287037037041</v>
      </c>
      <c r="B76" s="7">
        <v>123.8</v>
      </c>
      <c r="C76" s="7">
        <f t="shared" si="1"/>
        <v>1.8620871366628688</v>
      </c>
    </row>
    <row r="77" spans="1:3" x14ac:dyDescent="0.3">
      <c r="A77" s="6">
        <v>0.63603009259259258</v>
      </c>
      <c r="B77" s="7">
        <v>122.3</v>
      </c>
      <c r="C77" s="7">
        <f t="shared" si="1"/>
        <v>1.3182567385564079</v>
      </c>
    </row>
    <row r="78" spans="1:3" x14ac:dyDescent="0.3">
      <c r="A78" s="6">
        <v>0.63637731481481485</v>
      </c>
      <c r="B78" s="7">
        <v>120.9</v>
      </c>
      <c r="C78" s="7">
        <f t="shared" si="1"/>
        <v>0.95499258602143855</v>
      </c>
    </row>
    <row r="79" spans="1:3" x14ac:dyDescent="0.3">
      <c r="A79" s="6">
        <v>0.63672453703703702</v>
      </c>
      <c r="B79" s="7">
        <v>123.3</v>
      </c>
      <c r="C79" s="7">
        <f t="shared" si="1"/>
        <v>1.6595869074375618</v>
      </c>
    </row>
    <row r="80" spans="1:3" x14ac:dyDescent="0.3">
      <c r="A80" s="6">
        <v>0.6370717592592593</v>
      </c>
      <c r="B80" s="7">
        <v>121.9</v>
      </c>
      <c r="C80" s="7">
        <f t="shared" si="1"/>
        <v>1.2022644346174161</v>
      </c>
    </row>
    <row r="81" spans="1:3" x14ac:dyDescent="0.3">
      <c r="A81" s="6">
        <v>0.63741898148148146</v>
      </c>
      <c r="B81" s="7">
        <v>121.3</v>
      </c>
      <c r="C81" s="7">
        <f t="shared" si="1"/>
        <v>1.0471285480509003</v>
      </c>
    </row>
    <row r="82" spans="1:3" x14ac:dyDescent="0.3">
      <c r="A82" s="6">
        <v>0.63776620370370374</v>
      </c>
      <c r="B82" s="7">
        <v>123</v>
      </c>
      <c r="C82" s="7">
        <f t="shared" si="1"/>
        <v>1.5488166189124835</v>
      </c>
    </row>
    <row r="83" spans="1:3" x14ac:dyDescent="0.3">
      <c r="A83" s="6">
        <v>0.6381134259259259</v>
      </c>
      <c r="B83" s="7">
        <v>121.8</v>
      </c>
      <c r="C83" s="7">
        <f t="shared" si="1"/>
        <v>1.1748975549395304</v>
      </c>
    </row>
    <row r="84" spans="1:3" x14ac:dyDescent="0.3">
      <c r="A84" s="6">
        <v>0.63846064814814818</v>
      </c>
      <c r="B84" s="7">
        <v>121.6</v>
      </c>
      <c r="C84" s="7">
        <f t="shared" si="1"/>
        <v>1.1220184543019636</v>
      </c>
    </row>
    <row r="85" spans="1:3" x14ac:dyDescent="0.3">
      <c r="A85" s="6">
        <v>0.63880787037037035</v>
      </c>
      <c r="B85" s="7">
        <v>122.8</v>
      </c>
      <c r="C85" s="7">
        <f t="shared" si="1"/>
        <v>1.4791083881682086</v>
      </c>
    </row>
    <row r="86" spans="1:3" x14ac:dyDescent="0.3">
      <c r="A86" s="6">
        <v>0.63915509259259262</v>
      </c>
      <c r="B86" s="7">
        <v>121.4</v>
      </c>
      <c r="C86" s="7">
        <f t="shared" si="1"/>
        <v>1.0715193052376093</v>
      </c>
    </row>
    <row r="87" spans="1:3" x14ac:dyDescent="0.3">
      <c r="A87" s="6">
        <v>0.63950231481481479</v>
      </c>
      <c r="B87" s="7">
        <v>122.4</v>
      </c>
      <c r="C87" s="7">
        <f t="shared" si="1"/>
        <v>1.3489628825916571</v>
      </c>
    </row>
    <row r="88" spans="1:3" x14ac:dyDescent="0.3">
      <c r="A88" s="5">
        <v>0.63984953703703706</v>
      </c>
      <c r="B88">
        <v>115.6</v>
      </c>
      <c r="C88">
        <f t="shared" si="1"/>
        <v>0.28183829312644532</v>
      </c>
    </row>
    <row r="89" spans="1:3" x14ac:dyDescent="0.3">
      <c r="A89" s="5">
        <v>0.64019675925925923</v>
      </c>
      <c r="B89">
        <v>111.9</v>
      </c>
      <c r="C89">
        <f t="shared" si="1"/>
        <v>0.12022644346174159</v>
      </c>
    </row>
    <row r="90" spans="1:3" x14ac:dyDescent="0.3">
      <c r="A90" s="5">
        <v>0.64054398148148151</v>
      </c>
      <c r="B90">
        <v>106.9</v>
      </c>
      <c r="C90">
        <f t="shared" si="1"/>
        <v>3.8018939632056215E-2</v>
      </c>
    </row>
    <row r="91" spans="1:3" x14ac:dyDescent="0.3">
      <c r="A91" s="5">
        <v>0.64089120370370367</v>
      </c>
      <c r="B91">
        <v>88</v>
      </c>
      <c r="C91">
        <f t="shared" si="1"/>
        <v>4.8977881936844653E-4</v>
      </c>
    </row>
    <row r="92" spans="1:3" x14ac:dyDescent="0.3">
      <c r="A92" s="5">
        <v>0.64123842592592595</v>
      </c>
      <c r="B92">
        <v>81.2</v>
      </c>
      <c r="C92">
        <f t="shared" si="1"/>
        <v>1.0232929922807549E-4</v>
      </c>
    </row>
    <row r="93" spans="1:3" x14ac:dyDescent="0.3">
      <c r="A93" s="5">
        <v>0.64158564814814811</v>
      </c>
      <c r="B93">
        <v>76.900000000000006</v>
      </c>
      <c r="C93">
        <f t="shared" si="1"/>
        <v>3.8018939632056171E-5</v>
      </c>
    </row>
    <row r="94" spans="1:3" x14ac:dyDescent="0.3">
      <c r="A94" s="5">
        <v>0.64193287037037039</v>
      </c>
      <c r="B94">
        <v>73.099999999999994</v>
      </c>
      <c r="C94">
        <f t="shared" si="1"/>
        <v>1.5848931924611131E-5</v>
      </c>
    </row>
    <row r="95" spans="1:3" x14ac:dyDescent="0.3">
      <c r="A95" s="5">
        <v>0.64228009259259256</v>
      </c>
      <c r="B95">
        <v>69.7</v>
      </c>
      <c r="C95">
        <f t="shared" si="1"/>
        <v>7.2443596007499092E-6</v>
      </c>
    </row>
    <row r="96" spans="1:3" x14ac:dyDescent="0.3">
      <c r="A96" s="5">
        <v>0.64262731481481483</v>
      </c>
      <c r="B96">
        <v>66.7</v>
      </c>
      <c r="C96">
        <f t="shared" si="1"/>
        <v>3.6307805477010154E-6</v>
      </c>
    </row>
    <row r="97" spans="1:3" x14ac:dyDescent="0.3">
      <c r="A97" s="5">
        <v>0.642974537037037</v>
      </c>
      <c r="B97">
        <v>64.3</v>
      </c>
      <c r="C97">
        <f t="shared" si="1"/>
        <v>2.0892961308540377E-6</v>
      </c>
    </row>
    <row r="98" spans="1:3" x14ac:dyDescent="0.3">
      <c r="A98" s="5">
        <v>0.64332175925925927</v>
      </c>
      <c r="B98">
        <v>62.1</v>
      </c>
      <c r="C98">
        <f t="shared" si="1"/>
        <v>1.2589254117941665E-6</v>
      </c>
    </row>
    <row r="99" spans="1:3" x14ac:dyDescent="0.3">
      <c r="A99" s="5">
        <v>0.64366898148148144</v>
      </c>
      <c r="B99">
        <v>60.2</v>
      </c>
      <c r="C99">
        <f t="shared" si="1"/>
        <v>8.1283051616410038E-7</v>
      </c>
    </row>
    <row r="100" spans="1:3" x14ac:dyDescent="0.3">
      <c r="A100" s="5">
        <v>0.64401620370370372</v>
      </c>
      <c r="B100">
        <v>58.3</v>
      </c>
      <c r="C100">
        <f t="shared" si="1"/>
        <v>5.2480746024977233E-7</v>
      </c>
    </row>
    <row r="101" spans="1:3" x14ac:dyDescent="0.3">
      <c r="A101" s="5">
        <v>0.64436342592592588</v>
      </c>
      <c r="B101">
        <v>56.8</v>
      </c>
      <c r="C101">
        <f t="shared" si="1"/>
        <v>3.7153522909717226E-7</v>
      </c>
    </row>
    <row r="102" spans="1:3" x14ac:dyDescent="0.3">
      <c r="A102" s="5">
        <v>0.64471064814814816</v>
      </c>
      <c r="B102">
        <v>55.2</v>
      </c>
      <c r="C102">
        <f t="shared" si="1"/>
        <v>2.5703957827688658E-7</v>
      </c>
    </row>
    <row r="103" spans="1:3" x14ac:dyDescent="0.3">
      <c r="A103" s="5">
        <v>0.64505787037037032</v>
      </c>
      <c r="B103">
        <v>53.8</v>
      </c>
      <c r="C103">
        <f t="shared" si="1"/>
        <v>1.8620871366628682E-7</v>
      </c>
    </row>
    <row r="104" spans="1:3" x14ac:dyDescent="0.3">
      <c r="A104" s="5">
        <v>0.6454050925925926</v>
      </c>
      <c r="B104">
        <v>52.6</v>
      </c>
      <c r="C104">
        <f t="shared" si="1"/>
        <v>1.4125375446227539E-7</v>
      </c>
    </row>
    <row r="105" spans="1:3" x14ac:dyDescent="0.3">
      <c r="A105" s="5">
        <v>0.64575231481481477</v>
      </c>
      <c r="B105">
        <v>51.4</v>
      </c>
      <c r="C105">
        <f t="shared" si="1"/>
        <v>1.0715193052376092E-7</v>
      </c>
    </row>
    <row r="106" spans="1:3" x14ac:dyDescent="0.3">
      <c r="A106" s="5">
        <v>0.64609953703703704</v>
      </c>
      <c r="B106">
        <v>50.3</v>
      </c>
      <c r="C106">
        <f t="shared" si="1"/>
        <v>8.3176377110266823E-8</v>
      </c>
    </row>
    <row r="107" spans="1:3" x14ac:dyDescent="0.3">
      <c r="A107" s="5">
        <v>0.64644675925925921</v>
      </c>
      <c r="B107">
        <v>49.3</v>
      </c>
      <c r="C107">
        <f t="shared" si="1"/>
        <v>6.606934480075943E-8</v>
      </c>
    </row>
    <row r="108" spans="1:3" x14ac:dyDescent="0.3">
      <c r="A108" s="5">
        <v>0.64679398148148148</v>
      </c>
      <c r="B108">
        <v>48.3</v>
      </c>
      <c r="C108">
        <f t="shared" si="1"/>
        <v>5.2480746024977185E-8</v>
      </c>
    </row>
    <row r="109" spans="1:3" x14ac:dyDescent="0.3">
      <c r="A109" s="5">
        <v>0.64714120370370365</v>
      </c>
      <c r="B109">
        <v>47.5</v>
      </c>
      <c r="C109">
        <f t="shared" si="1"/>
        <v>4.3651583224016566E-8</v>
      </c>
    </row>
    <row r="110" spans="1:3" x14ac:dyDescent="0.3">
      <c r="A110" s="5">
        <v>0.64748842592592593</v>
      </c>
      <c r="B110">
        <v>46.7</v>
      </c>
      <c r="C110">
        <f t="shared" si="1"/>
        <v>3.6307805477010135E-8</v>
      </c>
    </row>
    <row r="111" spans="1:3" x14ac:dyDescent="0.3">
      <c r="A111" s="5">
        <v>0.6478356481481482</v>
      </c>
      <c r="B111">
        <v>46.1</v>
      </c>
      <c r="C111">
        <f t="shared" si="1"/>
        <v>3.1622776601683699E-8</v>
      </c>
    </row>
    <row r="112" spans="1:3" x14ac:dyDescent="0.3">
      <c r="A112" s="5">
        <v>0.64818287037037037</v>
      </c>
      <c r="B112">
        <v>45.4</v>
      </c>
      <c r="C112">
        <f t="shared" si="1"/>
        <v>2.691534803926919E-8</v>
      </c>
    </row>
    <row r="113" spans="1:3" x14ac:dyDescent="0.3">
      <c r="A113" s="5">
        <v>0.64853009259259264</v>
      </c>
      <c r="B113">
        <v>45</v>
      </c>
      <c r="C113">
        <f t="shared" si="1"/>
        <v>2.4547089156850259E-8</v>
      </c>
    </row>
    <row r="114" spans="1:3" x14ac:dyDescent="0.3">
      <c r="A114" s="5">
        <v>0.64887731481481481</v>
      </c>
      <c r="B114">
        <v>44.9</v>
      </c>
      <c r="C114">
        <f t="shared" si="1"/>
        <v>2.3988329190194944E-8</v>
      </c>
    </row>
    <row r="115" spans="1:3" x14ac:dyDescent="0.3">
      <c r="A115" s="5">
        <v>0.64922453703703709</v>
      </c>
      <c r="B115">
        <v>44.8</v>
      </c>
      <c r="C115">
        <f t="shared" si="1"/>
        <v>2.3442288153199181E-8</v>
      </c>
    </row>
    <row r="116" spans="1:3" x14ac:dyDescent="0.3">
      <c r="A116" s="5">
        <v>0.64957175925925925</v>
      </c>
      <c r="B116">
        <v>44.7</v>
      </c>
      <c r="C116">
        <f t="shared" si="1"/>
        <v>2.2908676527677776E-8</v>
      </c>
    </row>
    <row r="117" spans="1:3" x14ac:dyDescent="0.3">
      <c r="A117" s="5">
        <v>0.64991898148148153</v>
      </c>
      <c r="B117">
        <v>44.7</v>
      </c>
      <c r="C117">
        <f t="shared" si="1"/>
        <v>2.2908676527677776E-8</v>
      </c>
    </row>
    <row r="118" spans="1:3" x14ac:dyDescent="0.3">
      <c r="A118" s="5">
        <v>0.65026620370370369</v>
      </c>
      <c r="B118">
        <v>44.7</v>
      </c>
      <c r="C118">
        <f t="shared" si="1"/>
        <v>2.2908676527677776E-8</v>
      </c>
    </row>
    <row r="119" spans="1:3" x14ac:dyDescent="0.3">
      <c r="A119" s="5">
        <v>0.65061342592592597</v>
      </c>
      <c r="B119">
        <v>44.8</v>
      </c>
      <c r="C119">
        <f t="shared" si="1"/>
        <v>2.3442288153199181E-8</v>
      </c>
    </row>
    <row r="120" spans="1:3" x14ac:dyDescent="0.3">
      <c r="A120" s="5">
        <v>0.65096064814814814</v>
      </c>
      <c r="B120">
        <v>45</v>
      </c>
      <c r="C120">
        <f t="shared" si="1"/>
        <v>2.4547089156850259E-8</v>
      </c>
    </row>
    <row r="121" spans="1:3" x14ac:dyDescent="0.3">
      <c r="A121" s="5">
        <v>0.65130787037037041</v>
      </c>
      <c r="B121">
        <v>45</v>
      </c>
      <c r="C121">
        <f t="shared" si="1"/>
        <v>2.4547089156850259E-8</v>
      </c>
    </row>
    <row r="122" spans="1:3" x14ac:dyDescent="0.3">
      <c r="A122" s="5">
        <v>0.65165509259259258</v>
      </c>
      <c r="B122">
        <v>45</v>
      </c>
      <c r="C122">
        <f t="shared" si="1"/>
        <v>2.4547089156850259E-8</v>
      </c>
    </row>
    <row r="123" spans="1:3" x14ac:dyDescent="0.3">
      <c r="A123" s="2" t="s">
        <v>66</v>
      </c>
      <c r="C123">
        <f>SUM(C3:C122)</f>
        <v>55.669079130873477</v>
      </c>
    </row>
    <row r="125" spans="1:3" x14ac:dyDescent="0.3">
      <c r="A125" s="2" t="s">
        <v>67</v>
      </c>
      <c r="C125">
        <f>30/60*C123</f>
        <v>27.834539565436739</v>
      </c>
    </row>
    <row r="127" spans="1:3" x14ac:dyDescent="0.3">
      <c r="A127" s="2" t="s">
        <v>68</v>
      </c>
    </row>
    <row r="128" spans="1:3" x14ac:dyDescent="0.3">
      <c r="A128" s="2" t="s">
        <v>63</v>
      </c>
      <c r="B128" s="2" t="s">
        <v>64</v>
      </c>
      <c r="C128" s="2" t="s">
        <v>65</v>
      </c>
    </row>
    <row r="129" spans="1:3" x14ac:dyDescent="0.3">
      <c r="A129" s="5">
        <v>0.62146990740740737</v>
      </c>
      <c r="B129">
        <v>34.799999999999997</v>
      </c>
      <c r="C129">
        <f>10^((B129-121.1)/10)</f>
        <v>2.3442288153199238E-9</v>
      </c>
    </row>
    <row r="130" spans="1:3" x14ac:dyDescent="0.3">
      <c r="A130" s="5">
        <v>0.62181712962962965</v>
      </c>
      <c r="B130">
        <v>34.5</v>
      </c>
      <c r="C130">
        <f>10^((B130-121.1)/10)</f>
        <v>2.1877616239495468E-9</v>
      </c>
    </row>
    <row r="131" spans="1:3" x14ac:dyDescent="0.3">
      <c r="A131" s="5">
        <v>0.62216435185185182</v>
      </c>
      <c r="B131">
        <v>35</v>
      </c>
      <c r="C131">
        <f t="shared" ref="C131:C194" si="2">10^((B131-121.1)/10)</f>
        <v>2.4547089156850316E-9</v>
      </c>
    </row>
    <row r="132" spans="1:3" x14ac:dyDescent="0.3">
      <c r="A132" s="5">
        <v>0.62251157407407409</v>
      </c>
      <c r="B132">
        <v>37.200000000000003</v>
      </c>
      <c r="C132">
        <f t="shared" si="2"/>
        <v>4.0738027780411355E-9</v>
      </c>
    </row>
    <row r="133" spans="1:3" x14ac:dyDescent="0.3">
      <c r="A133" s="5">
        <v>0.62285879629629626</v>
      </c>
      <c r="B133">
        <v>42.5</v>
      </c>
      <c r="C133">
        <f t="shared" si="2"/>
        <v>1.3803842646028856E-8</v>
      </c>
    </row>
    <row r="134" spans="1:3" x14ac:dyDescent="0.3">
      <c r="A134" s="5">
        <v>0.62320601851851853</v>
      </c>
      <c r="B134">
        <v>48.1</v>
      </c>
      <c r="C134">
        <f t="shared" si="2"/>
        <v>5.0118723362727164E-8</v>
      </c>
    </row>
    <row r="135" spans="1:3" x14ac:dyDescent="0.3">
      <c r="A135" s="5">
        <v>0.6235532407407407</v>
      </c>
      <c r="B135">
        <v>53.3</v>
      </c>
      <c r="C135">
        <f t="shared" si="2"/>
        <v>1.6595869074375618E-7</v>
      </c>
    </row>
    <row r="136" spans="1:3" x14ac:dyDescent="0.3">
      <c r="A136" s="5">
        <v>0.62390046296296298</v>
      </c>
      <c r="B136">
        <v>57.9</v>
      </c>
      <c r="C136">
        <f t="shared" si="2"/>
        <v>4.786300923226383E-7</v>
      </c>
    </row>
    <row r="137" spans="1:3" x14ac:dyDescent="0.3">
      <c r="A137" s="5">
        <v>0.62424768518518514</v>
      </c>
      <c r="B137">
        <v>62.1</v>
      </c>
      <c r="C137">
        <f t="shared" si="2"/>
        <v>1.2589254117941665E-6</v>
      </c>
    </row>
    <row r="138" spans="1:3" x14ac:dyDescent="0.3">
      <c r="A138" s="5">
        <v>0.62459490740740742</v>
      </c>
      <c r="B138">
        <v>64.900000000000006</v>
      </c>
      <c r="C138">
        <f t="shared" si="2"/>
        <v>2.3988329190194914E-6</v>
      </c>
    </row>
    <row r="139" spans="1:3" x14ac:dyDescent="0.3">
      <c r="A139" s="5">
        <v>0.62494212962962958</v>
      </c>
      <c r="B139">
        <v>67.400000000000006</v>
      </c>
      <c r="C139">
        <f t="shared" si="2"/>
        <v>4.2657951880159257E-6</v>
      </c>
    </row>
    <row r="140" spans="1:3" x14ac:dyDescent="0.3">
      <c r="A140" s="5">
        <v>0.62528935185185186</v>
      </c>
      <c r="B140">
        <v>69.7</v>
      </c>
      <c r="C140">
        <f t="shared" si="2"/>
        <v>7.2443596007499092E-6</v>
      </c>
    </row>
    <row r="141" spans="1:3" x14ac:dyDescent="0.3">
      <c r="A141" s="5">
        <v>0.62563657407407403</v>
      </c>
      <c r="B141">
        <v>73.400000000000006</v>
      </c>
      <c r="C141">
        <f t="shared" si="2"/>
        <v>1.6982436524617463E-5</v>
      </c>
    </row>
    <row r="142" spans="1:3" x14ac:dyDescent="0.3">
      <c r="A142" s="5">
        <v>0.6259837962962963</v>
      </c>
      <c r="B142">
        <v>76.3</v>
      </c>
      <c r="C142">
        <f t="shared" si="2"/>
        <v>3.3113112148259117E-5</v>
      </c>
    </row>
    <row r="143" spans="1:3" x14ac:dyDescent="0.3">
      <c r="A143" s="5">
        <v>0.62633101851851847</v>
      </c>
      <c r="B143">
        <v>78.7</v>
      </c>
      <c r="C143">
        <f t="shared" si="2"/>
        <v>5.7543993733715779E-5</v>
      </c>
    </row>
    <row r="144" spans="1:3" x14ac:dyDescent="0.3">
      <c r="A144" s="5">
        <v>0.62667824074074074</v>
      </c>
      <c r="B144">
        <v>80</v>
      </c>
      <c r="C144">
        <f t="shared" si="2"/>
        <v>7.7624711662869179E-5</v>
      </c>
    </row>
    <row r="145" spans="1:3" x14ac:dyDescent="0.3">
      <c r="A145" s="5">
        <v>0.62702546296296291</v>
      </c>
      <c r="B145">
        <v>81.5</v>
      </c>
      <c r="C145">
        <f t="shared" si="2"/>
        <v>1.0964781961431857E-4</v>
      </c>
    </row>
    <row r="146" spans="1:3" x14ac:dyDescent="0.3">
      <c r="A146" s="5">
        <v>0.62737268518518519</v>
      </c>
      <c r="B146">
        <v>82.8</v>
      </c>
      <c r="C146">
        <f t="shared" si="2"/>
        <v>1.4791083881682062E-4</v>
      </c>
    </row>
    <row r="147" spans="1:3" x14ac:dyDescent="0.3">
      <c r="A147" s="5">
        <v>0.62771990740740746</v>
      </c>
      <c r="B147">
        <v>84.1</v>
      </c>
      <c r="C147">
        <f t="shared" si="2"/>
        <v>1.9952623149688758E-4</v>
      </c>
    </row>
    <row r="148" spans="1:3" x14ac:dyDescent="0.3">
      <c r="A148" s="5">
        <v>0.62806712962962963</v>
      </c>
      <c r="B148">
        <v>84.8</v>
      </c>
      <c r="C148">
        <f t="shared" si="2"/>
        <v>2.3442288153199204E-4</v>
      </c>
    </row>
    <row r="149" spans="1:3" x14ac:dyDescent="0.3">
      <c r="A149" s="5">
        <v>0.6284143518518519</v>
      </c>
      <c r="B149">
        <v>85.5</v>
      </c>
      <c r="C149">
        <f t="shared" si="2"/>
        <v>2.7542287033381673E-4</v>
      </c>
    </row>
    <row r="150" spans="1:3" x14ac:dyDescent="0.3">
      <c r="A150" s="5">
        <v>0.62876157407407407</v>
      </c>
      <c r="B150">
        <v>86.1</v>
      </c>
      <c r="C150">
        <f t="shared" si="2"/>
        <v>3.1622776601683783E-4</v>
      </c>
    </row>
    <row r="151" spans="1:3" x14ac:dyDescent="0.3">
      <c r="A151" s="5">
        <v>0.62910879629629635</v>
      </c>
      <c r="B151">
        <v>86.4</v>
      </c>
      <c r="C151">
        <f t="shared" si="2"/>
        <v>3.3884415613920328E-4</v>
      </c>
    </row>
    <row r="152" spans="1:3" x14ac:dyDescent="0.3">
      <c r="A152" s="5">
        <v>0.62945601851851851</v>
      </c>
      <c r="B152">
        <v>87.2</v>
      </c>
      <c r="C152">
        <f t="shared" si="2"/>
        <v>4.0738027780411331E-4</v>
      </c>
    </row>
    <row r="153" spans="1:3" x14ac:dyDescent="0.3">
      <c r="A153" s="5">
        <v>0.62980324074074079</v>
      </c>
      <c r="B153">
        <v>88.2</v>
      </c>
      <c r="C153">
        <f t="shared" si="2"/>
        <v>5.1286138399136549E-4</v>
      </c>
    </row>
    <row r="154" spans="1:3" x14ac:dyDescent="0.3">
      <c r="A154" s="5">
        <v>0.63015046296296295</v>
      </c>
      <c r="B154">
        <v>89.8</v>
      </c>
      <c r="C154">
        <f t="shared" si="2"/>
        <v>7.4131024130091731E-4</v>
      </c>
    </row>
    <row r="155" spans="1:3" x14ac:dyDescent="0.3">
      <c r="A155" s="5">
        <v>0.63049768518518523</v>
      </c>
      <c r="B155">
        <v>92.3</v>
      </c>
      <c r="C155">
        <f t="shared" si="2"/>
        <v>1.3182567385564071E-3</v>
      </c>
    </row>
    <row r="156" spans="1:3" x14ac:dyDescent="0.3">
      <c r="A156" s="5">
        <v>0.6308449074074074</v>
      </c>
      <c r="B156">
        <v>94.4</v>
      </c>
      <c r="C156">
        <f t="shared" si="2"/>
        <v>2.1379620895022352E-3</v>
      </c>
    </row>
    <row r="157" spans="1:3" x14ac:dyDescent="0.3">
      <c r="A157" s="5">
        <v>0.63119212962962967</v>
      </c>
      <c r="B157">
        <v>96.5</v>
      </c>
      <c r="C157">
        <f t="shared" si="2"/>
        <v>3.4673685045253175E-3</v>
      </c>
    </row>
    <row r="158" spans="1:3" x14ac:dyDescent="0.3">
      <c r="A158" s="5">
        <v>0.63153935185185184</v>
      </c>
      <c r="B158">
        <v>98.7</v>
      </c>
      <c r="C158">
        <f t="shared" si="2"/>
        <v>5.7543993733715744E-3</v>
      </c>
    </row>
    <row r="159" spans="1:3" x14ac:dyDescent="0.3">
      <c r="A159" s="5">
        <v>0.63188657407407411</v>
      </c>
      <c r="B159">
        <v>100.8</v>
      </c>
      <c r="C159">
        <f t="shared" si="2"/>
        <v>9.3325430079699099E-3</v>
      </c>
    </row>
    <row r="160" spans="1:3" x14ac:dyDescent="0.3">
      <c r="A160" s="5">
        <v>0.63223379629629628</v>
      </c>
      <c r="B160">
        <v>103.7</v>
      </c>
      <c r="C160">
        <f t="shared" si="2"/>
        <v>1.8197008586099864E-2</v>
      </c>
    </row>
    <row r="161" spans="1:3" x14ac:dyDescent="0.3">
      <c r="A161" s="5">
        <v>0.63258101851851856</v>
      </c>
      <c r="B161">
        <v>106.7</v>
      </c>
      <c r="C161">
        <f t="shared" si="2"/>
        <v>3.6307805477010201E-2</v>
      </c>
    </row>
    <row r="162" spans="1:3" x14ac:dyDescent="0.3">
      <c r="A162" s="5">
        <v>0.63292824074074072</v>
      </c>
      <c r="B162">
        <v>109.5</v>
      </c>
      <c r="C162">
        <f t="shared" si="2"/>
        <v>6.9183097091893714E-2</v>
      </c>
    </row>
    <row r="163" spans="1:3" x14ac:dyDescent="0.3">
      <c r="A163" s="5">
        <v>0.633275462962963</v>
      </c>
      <c r="B163">
        <v>111.5</v>
      </c>
      <c r="C163">
        <f t="shared" si="2"/>
        <v>0.10964781961431865</v>
      </c>
    </row>
    <row r="164" spans="1:3" x14ac:dyDescent="0.3">
      <c r="A164" s="5">
        <v>0.63362268518518516</v>
      </c>
      <c r="B164">
        <v>112.7</v>
      </c>
      <c r="C164">
        <f t="shared" si="2"/>
        <v>0.14454397707459299</v>
      </c>
    </row>
    <row r="165" spans="1:3" x14ac:dyDescent="0.3">
      <c r="A165" s="5">
        <v>0.63396990740740744</v>
      </c>
      <c r="B165">
        <v>113.8</v>
      </c>
      <c r="C165">
        <f t="shared" si="2"/>
        <v>0.1862087136662868</v>
      </c>
    </row>
    <row r="166" spans="1:3" x14ac:dyDescent="0.3">
      <c r="A166" s="5">
        <v>0.63431712962962961</v>
      </c>
      <c r="B166">
        <v>114.8</v>
      </c>
      <c r="C166">
        <f t="shared" si="2"/>
        <v>0.23442288153199239</v>
      </c>
    </row>
    <row r="167" spans="1:3" x14ac:dyDescent="0.3">
      <c r="A167" s="5">
        <v>0.63466435185185188</v>
      </c>
      <c r="B167">
        <v>115.6</v>
      </c>
      <c r="C167">
        <f t="shared" si="2"/>
        <v>0.28183829312644532</v>
      </c>
    </row>
    <row r="168" spans="1:3" x14ac:dyDescent="0.3">
      <c r="A168" s="5">
        <v>0.63501157407407405</v>
      </c>
      <c r="B168">
        <v>116.4</v>
      </c>
      <c r="C168">
        <f t="shared" si="2"/>
        <v>0.33884415613920338</v>
      </c>
    </row>
    <row r="169" spans="1:3" x14ac:dyDescent="0.3">
      <c r="A169" s="5">
        <v>0.63535879629629632</v>
      </c>
      <c r="B169">
        <v>117.2</v>
      </c>
      <c r="C169">
        <f t="shared" si="2"/>
        <v>0.40738027780411351</v>
      </c>
    </row>
    <row r="170" spans="1:3" x14ac:dyDescent="0.3">
      <c r="A170" s="5">
        <v>0.63570601851851849</v>
      </c>
      <c r="B170">
        <v>118.1</v>
      </c>
      <c r="C170">
        <f t="shared" si="2"/>
        <v>0.50118723362727224</v>
      </c>
    </row>
    <row r="171" spans="1:3" x14ac:dyDescent="0.3">
      <c r="A171" s="5">
        <v>0.63605324074074077</v>
      </c>
      <c r="B171">
        <v>118.9</v>
      </c>
      <c r="C171">
        <f t="shared" si="2"/>
        <v>0.60255958607435922</v>
      </c>
    </row>
    <row r="172" spans="1:3" x14ac:dyDescent="0.3">
      <c r="A172" s="5">
        <v>0.63640046296296293</v>
      </c>
      <c r="B172">
        <v>119.7</v>
      </c>
      <c r="C172">
        <f t="shared" si="2"/>
        <v>0.72443596007499134</v>
      </c>
    </row>
    <row r="173" spans="1:3" x14ac:dyDescent="0.3">
      <c r="A173" s="5">
        <v>0.63674768518518521</v>
      </c>
      <c r="B173">
        <v>120.5</v>
      </c>
      <c r="C173">
        <f t="shared" si="2"/>
        <v>0.87096358995608181</v>
      </c>
    </row>
    <row r="174" spans="1:3" x14ac:dyDescent="0.3">
      <c r="A174" s="6">
        <v>0.63709490740740737</v>
      </c>
      <c r="B174" s="7">
        <v>121.2</v>
      </c>
      <c r="C174" s="7">
        <f t="shared" si="2"/>
        <v>1.0232929922807561</v>
      </c>
    </row>
    <row r="175" spans="1:3" x14ac:dyDescent="0.3">
      <c r="A175" s="6">
        <v>0.63744212962962965</v>
      </c>
      <c r="B175" s="7">
        <v>121.2</v>
      </c>
      <c r="C175" s="7">
        <f t="shared" si="2"/>
        <v>1.0232929922807561</v>
      </c>
    </row>
    <row r="176" spans="1:3" x14ac:dyDescent="0.3">
      <c r="A176" s="6">
        <v>0.63778935185185182</v>
      </c>
      <c r="B176" s="7">
        <v>120.7</v>
      </c>
      <c r="C176" s="7">
        <f t="shared" si="2"/>
        <v>0.91201083935591154</v>
      </c>
    </row>
    <row r="177" spans="1:3" x14ac:dyDescent="0.3">
      <c r="A177" s="6">
        <v>0.63813657407407409</v>
      </c>
      <c r="B177" s="7">
        <v>122.6</v>
      </c>
      <c r="C177" s="7">
        <f t="shared" si="2"/>
        <v>1.4125375446227544</v>
      </c>
    </row>
    <row r="178" spans="1:3" x14ac:dyDescent="0.3">
      <c r="A178" s="6">
        <v>0.63848379629629626</v>
      </c>
      <c r="B178" s="7">
        <v>122</v>
      </c>
      <c r="C178" s="7">
        <f t="shared" si="2"/>
        <v>1.2302687708123832</v>
      </c>
    </row>
    <row r="179" spans="1:3" x14ac:dyDescent="0.3">
      <c r="A179" s="6">
        <v>0.63883101851851853</v>
      </c>
      <c r="B179" s="7">
        <v>121.1</v>
      </c>
      <c r="C179" s="7">
        <f t="shared" si="2"/>
        <v>1</v>
      </c>
    </row>
    <row r="180" spans="1:3" x14ac:dyDescent="0.3">
      <c r="A180" s="6">
        <v>0.6391782407407407</v>
      </c>
      <c r="B180" s="7">
        <v>121.1</v>
      </c>
      <c r="C180" s="7">
        <f t="shared" si="2"/>
        <v>1</v>
      </c>
    </row>
    <row r="181" spans="1:3" x14ac:dyDescent="0.3">
      <c r="A181" s="6">
        <v>0.63952546296296298</v>
      </c>
      <c r="B181" s="7">
        <v>123.4</v>
      </c>
      <c r="C181" s="7">
        <f t="shared" si="2"/>
        <v>1.698243652461749</v>
      </c>
    </row>
    <row r="182" spans="1:3" x14ac:dyDescent="0.3">
      <c r="A182" s="6">
        <v>0.63987268518518514</v>
      </c>
      <c r="B182" s="7">
        <v>122.7</v>
      </c>
      <c r="C182" s="7">
        <f t="shared" si="2"/>
        <v>1.4454397707459303</v>
      </c>
    </row>
    <row r="183" spans="1:3" x14ac:dyDescent="0.3">
      <c r="A183" s="6">
        <v>0.64021990740740742</v>
      </c>
      <c r="B183" s="7">
        <v>121.9</v>
      </c>
      <c r="C183" s="7">
        <f t="shared" si="2"/>
        <v>1.2022644346174161</v>
      </c>
    </row>
    <row r="184" spans="1:3" x14ac:dyDescent="0.3">
      <c r="A184" s="6">
        <v>0.64056712962962958</v>
      </c>
      <c r="B184" s="7">
        <v>121</v>
      </c>
      <c r="C184" s="7">
        <f t="shared" si="2"/>
        <v>0.977237220955812</v>
      </c>
    </row>
    <row r="185" spans="1:3" x14ac:dyDescent="0.3">
      <c r="A185" s="6">
        <v>0.64091435185185186</v>
      </c>
      <c r="B185" s="7">
        <v>121.7</v>
      </c>
      <c r="C185" s="7">
        <f t="shared" si="2"/>
        <v>1.148153621496885</v>
      </c>
    </row>
    <row r="186" spans="1:3" x14ac:dyDescent="0.3">
      <c r="A186" s="6">
        <v>0.64126157407407403</v>
      </c>
      <c r="B186" s="7">
        <v>122.9</v>
      </c>
      <c r="C186" s="7">
        <f t="shared" si="2"/>
        <v>1.5135612484362122</v>
      </c>
    </row>
    <row r="187" spans="1:3" x14ac:dyDescent="0.3">
      <c r="A187" s="6">
        <v>0.6416087962962963</v>
      </c>
      <c r="B187" s="7">
        <v>122.1</v>
      </c>
      <c r="C187" s="7">
        <f t="shared" si="2"/>
        <v>1.2589254117941673</v>
      </c>
    </row>
    <row r="188" spans="1:3" x14ac:dyDescent="0.3">
      <c r="A188" s="6">
        <v>0.64195601851851847</v>
      </c>
      <c r="B188" s="7">
        <v>121.2</v>
      </c>
      <c r="C188" s="7">
        <f t="shared" si="2"/>
        <v>1.0232929922807561</v>
      </c>
    </row>
    <row r="189" spans="1:3" x14ac:dyDescent="0.3">
      <c r="A189" s="6">
        <v>0.64230324074074074</v>
      </c>
      <c r="B189" s="7">
        <v>121.2</v>
      </c>
      <c r="C189" s="7">
        <f t="shared" si="2"/>
        <v>1.0232929922807561</v>
      </c>
    </row>
    <row r="190" spans="1:3" x14ac:dyDescent="0.3">
      <c r="A190" s="6">
        <v>0.64265046296296291</v>
      </c>
      <c r="B190" s="7">
        <v>122.6</v>
      </c>
      <c r="C190" s="7">
        <f t="shared" si="2"/>
        <v>1.4125375446227544</v>
      </c>
    </row>
    <row r="191" spans="1:3" x14ac:dyDescent="0.3">
      <c r="A191" s="6">
        <v>0.64299768518518519</v>
      </c>
      <c r="B191" s="7">
        <v>121.7</v>
      </c>
      <c r="C191" s="7">
        <f t="shared" si="2"/>
        <v>1.148153621496885</v>
      </c>
    </row>
    <row r="192" spans="1:3" x14ac:dyDescent="0.3">
      <c r="A192" s="6">
        <v>0.64334490740740746</v>
      </c>
      <c r="B192" s="7">
        <v>120.9</v>
      </c>
      <c r="C192" s="7">
        <f t="shared" si="2"/>
        <v>0.95499258602143855</v>
      </c>
    </row>
    <row r="193" spans="1:3" x14ac:dyDescent="0.3">
      <c r="A193" s="6">
        <v>0.64369212962962963</v>
      </c>
      <c r="B193" s="7">
        <v>122.1</v>
      </c>
      <c r="C193" s="7">
        <f t="shared" si="2"/>
        <v>1.2589254117941673</v>
      </c>
    </row>
    <row r="194" spans="1:3" x14ac:dyDescent="0.3">
      <c r="A194" s="6">
        <v>0.6440393518518519</v>
      </c>
      <c r="B194" s="7">
        <v>122.2</v>
      </c>
      <c r="C194" s="7">
        <f t="shared" si="2"/>
        <v>1.2882495516931365</v>
      </c>
    </row>
    <row r="195" spans="1:3" x14ac:dyDescent="0.3">
      <c r="A195" s="5">
        <v>0.64438657407407407</v>
      </c>
      <c r="B195">
        <v>115.9</v>
      </c>
      <c r="C195">
        <f t="shared" ref="C195:C233" si="3">10^((B195-121.1)/10)</f>
        <v>0.30199517204020232</v>
      </c>
    </row>
    <row r="196" spans="1:3" x14ac:dyDescent="0.3">
      <c r="A196" s="5">
        <v>0.64473379629629635</v>
      </c>
      <c r="B196">
        <v>112.2</v>
      </c>
      <c r="C196">
        <f t="shared" si="3"/>
        <v>0.12882495516931364</v>
      </c>
    </row>
    <row r="197" spans="1:3" x14ac:dyDescent="0.3">
      <c r="A197" s="5">
        <v>0.64508101851851851</v>
      </c>
      <c r="B197">
        <v>102</v>
      </c>
      <c r="C197">
        <f t="shared" si="3"/>
        <v>1.230268770812382E-2</v>
      </c>
    </row>
    <row r="198" spans="1:3" x14ac:dyDescent="0.3">
      <c r="A198" s="5">
        <v>0.64542824074074079</v>
      </c>
      <c r="B198">
        <v>85.1</v>
      </c>
      <c r="C198">
        <f t="shared" si="3"/>
        <v>2.5118864315095774E-4</v>
      </c>
    </row>
    <row r="199" spans="1:3" x14ac:dyDescent="0.3">
      <c r="A199" s="5">
        <v>0.64577546296296295</v>
      </c>
      <c r="B199">
        <v>79.8</v>
      </c>
      <c r="C199">
        <f t="shared" si="3"/>
        <v>7.4131024130091641E-5</v>
      </c>
    </row>
    <row r="200" spans="1:3" x14ac:dyDescent="0.3">
      <c r="A200" s="5">
        <v>0.64612268518518523</v>
      </c>
      <c r="B200">
        <v>75.900000000000006</v>
      </c>
      <c r="C200">
        <f t="shared" si="3"/>
        <v>3.0199517204020233E-5</v>
      </c>
    </row>
    <row r="201" spans="1:3" x14ac:dyDescent="0.3">
      <c r="A201" s="5">
        <v>0.6464699074074074</v>
      </c>
      <c r="B201">
        <v>72.2</v>
      </c>
      <c r="C201">
        <f t="shared" si="3"/>
        <v>1.2882495516931369E-5</v>
      </c>
    </row>
    <row r="202" spans="1:3" x14ac:dyDescent="0.3">
      <c r="A202" s="5">
        <v>0.64681712962962967</v>
      </c>
      <c r="B202">
        <v>69.099999999999994</v>
      </c>
      <c r="C202">
        <f t="shared" si="3"/>
        <v>6.3095734448019212E-6</v>
      </c>
    </row>
    <row r="203" spans="1:3" x14ac:dyDescent="0.3">
      <c r="A203" s="5">
        <v>0.64716435185185184</v>
      </c>
      <c r="B203">
        <v>66.400000000000006</v>
      </c>
      <c r="C203">
        <f t="shared" si="3"/>
        <v>3.3884415613920284E-6</v>
      </c>
    </row>
    <row r="204" spans="1:3" x14ac:dyDescent="0.3">
      <c r="A204" s="5">
        <v>0.64751157407407411</v>
      </c>
      <c r="B204">
        <v>64</v>
      </c>
      <c r="C204">
        <f t="shared" si="3"/>
        <v>1.949844599758048E-6</v>
      </c>
    </row>
    <row r="205" spans="1:3" x14ac:dyDescent="0.3">
      <c r="A205" s="5">
        <v>0.64785879629629628</v>
      </c>
      <c r="B205">
        <v>61.5</v>
      </c>
      <c r="C205">
        <f t="shared" si="3"/>
        <v>1.0964781961431851E-6</v>
      </c>
    </row>
    <row r="206" spans="1:3" x14ac:dyDescent="0.3">
      <c r="A206" s="5">
        <v>0.64820601851851856</v>
      </c>
      <c r="B206">
        <v>59.6</v>
      </c>
      <c r="C206">
        <f t="shared" si="3"/>
        <v>7.0794578438413801E-7</v>
      </c>
    </row>
    <row r="207" spans="1:3" x14ac:dyDescent="0.3">
      <c r="A207" s="5">
        <v>0.64855324074074072</v>
      </c>
      <c r="B207">
        <v>57.9</v>
      </c>
      <c r="C207">
        <f t="shared" si="3"/>
        <v>4.786300923226383E-7</v>
      </c>
    </row>
    <row r="208" spans="1:3" x14ac:dyDescent="0.3">
      <c r="A208" s="5">
        <v>0.648900462962963</v>
      </c>
      <c r="B208">
        <v>56.3</v>
      </c>
      <c r="C208">
        <f t="shared" si="3"/>
        <v>3.31131121482591E-7</v>
      </c>
    </row>
    <row r="209" spans="1:3" x14ac:dyDescent="0.3">
      <c r="A209" s="5">
        <v>0.64924768518518516</v>
      </c>
      <c r="B209">
        <v>54.9</v>
      </c>
      <c r="C209">
        <f t="shared" si="3"/>
        <v>2.398832919019493E-7</v>
      </c>
    </row>
    <row r="210" spans="1:3" x14ac:dyDescent="0.3">
      <c r="A210" s="5">
        <v>0.64959490740740744</v>
      </c>
      <c r="B210">
        <v>53.7</v>
      </c>
      <c r="C210">
        <f t="shared" si="3"/>
        <v>1.8197008586099843E-7</v>
      </c>
    </row>
    <row r="211" spans="1:3" x14ac:dyDescent="0.3">
      <c r="A211" s="5">
        <v>0.64994212962962961</v>
      </c>
      <c r="B211">
        <v>52.6</v>
      </c>
      <c r="C211">
        <f t="shared" si="3"/>
        <v>1.4125375446227539E-7</v>
      </c>
    </row>
    <row r="212" spans="1:3" x14ac:dyDescent="0.3">
      <c r="A212" s="5">
        <v>0.65028935185185188</v>
      </c>
      <c r="B212">
        <v>51.6</v>
      </c>
      <c r="C212">
        <f t="shared" si="3"/>
        <v>1.1220184543019621E-7</v>
      </c>
    </row>
    <row r="213" spans="1:3" x14ac:dyDescent="0.3">
      <c r="A213" s="5">
        <v>0.65063657407407405</v>
      </c>
      <c r="B213">
        <v>50.7</v>
      </c>
      <c r="C213">
        <f t="shared" si="3"/>
        <v>9.120108393559095E-8</v>
      </c>
    </row>
    <row r="214" spans="1:3" x14ac:dyDescent="0.3">
      <c r="A214" s="5">
        <v>0.65098379629629632</v>
      </c>
      <c r="B214">
        <v>50</v>
      </c>
      <c r="C214">
        <f t="shared" si="3"/>
        <v>7.762471166286921E-8</v>
      </c>
    </row>
    <row r="215" spans="1:3" x14ac:dyDescent="0.3">
      <c r="A215" s="5">
        <v>0.65133101851851849</v>
      </c>
      <c r="B215">
        <v>49.3</v>
      </c>
      <c r="C215">
        <f t="shared" si="3"/>
        <v>6.606934480075943E-8</v>
      </c>
    </row>
    <row r="216" spans="1:3" x14ac:dyDescent="0.3">
      <c r="A216" s="5">
        <v>0.65167824074074077</v>
      </c>
      <c r="B216">
        <v>48.6</v>
      </c>
      <c r="C216">
        <f t="shared" si="3"/>
        <v>5.6234132519034806E-8</v>
      </c>
    </row>
    <row r="217" spans="1:3" x14ac:dyDescent="0.3">
      <c r="A217" s="5">
        <v>0.65202546296296293</v>
      </c>
      <c r="B217">
        <v>48.1</v>
      </c>
      <c r="C217">
        <f t="shared" si="3"/>
        <v>5.0118723362727164E-8</v>
      </c>
    </row>
    <row r="218" spans="1:3" x14ac:dyDescent="0.3">
      <c r="A218" s="5">
        <v>0.65237268518518521</v>
      </c>
      <c r="B218">
        <v>47.5</v>
      </c>
      <c r="C218">
        <f t="shared" si="3"/>
        <v>4.3651583224016566E-8</v>
      </c>
    </row>
    <row r="219" spans="1:3" x14ac:dyDescent="0.3">
      <c r="A219" s="5">
        <v>0.65271990740740737</v>
      </c>
      <c r="B219">
        <v>47</v>
      </c>
      <c r="C219">
        <f t="shared" si="3"/>
        <v>3.890451449942805E-8</v>
      </c>
    </row>
    <row r="220" spans="1:3" x14ac:dyDescent="0.3">
      <c r="A220" s="5">
        <v>0.65306712962962965</v>
      </c>
      <c r="B220">
        <v>46.7</v>
      </c>
      <c r="C220">
        <f t="shared" si="3"/>
        <v>3.6307805477010135E-8</v>
      </c>
    </row>
    <row r="221" spans="1:3" x14ac:dyDescent="0.3">
      <c r="A221" s="5">
        <v>0.65341435185185182</v>
      </c>
      <c r="B221">
        <v>46.3</v>
      </c>
      <c r="C221">
        <f t="shared" si="3"/>
        <v>3.3113112148259124E-8</v>
      </c>
    </row>
    <row r="222" spans="1:3" x14ac:dyDescent="0.3">
      <c r="A222" s="5">
        <v>0.65376157407407409</v>
      </c>
      <c r="B222">
        <v>45.9</v>
      </c>
      <c r="C222">
        <f t="shared" si="3"/>
        <v>3.0199517204020188E-8</v>
      </c>
    </row>
    <row r="223" spans="1:3" x14ac:dyDescent="0.3">
      <c r="A223" s="5">
        <v>0.65410879629629626</v>
      </c>
      <c r="B223">
        <v>45.5</v>
      </c>
      <c r="C223">
        <f t="shared" si="3"/>
        <v>2.75422870333816E-8</v>
      </c>
    </row>
    <row r="224" spans="1:3" x14ac:dyDescent="0.3">
      <c r="A224" s="5">
        <v>0.65445601851851853</v>
      </c>
      <c r="B224">
        <v>45.2</v>
      </c>
      <c r="C224">
        <f t="shared" si="3"/>
        <v>2.5703957827688676E-8</v>
      </c>
    </row>
    <row r="225" spans="1:3" x14ac:dyDescent="0.3">
      <c r="A225" s="5">
        <v>0.6548032407407407</v>
      </c>
      <c r="B225">
        <v>45</v>
      </c>
      <c r="C225">
        <f t="shared" si="3"/>
        <v>2.4547089156850259E-8</v>
      </c>
    </row>
    <row r="226" spans="1:3" x14ac:dyDescent="0.3">
      <c r="A226" s="5">
        <v>0.65515046296296298</v>
      </c>
      <c r="B226">
        <v>45</v>
      </c>
      <c r="C226">
        <f t="shared" si="3"/>
        <v>2.4547089156850259E-8</v>
      </c>
    </row>
    <row r="227" spans="1:3" x14ac:dyDescent="0.3">
      <c r="A227" s="5">
        <v>0.65549768518518514</v>
      </c>
      <c r="B227">
        <v>44.9</v>
      </c>
      <c r="C227">
        <f t="shared" si="3"/>
        <v>2.3988329190194944E-8</v>
      </c>
    </row>
    <row r="228" spans="1:3" x14ac:dyDescent="0.3">
      <c r="A228" s="5">
        <v>0.65584490740740742</v>
      </c>
      <c r="B228">
        <v>44.8</v>
      </c>
      <c r="C228">
        <f t="shared" si="3"/>
        <v>2.3442288153199181E-8</v>
      </c>
    </row>
    <row r="229" spans="1:3" x14ac:dyDescent="0.3">
      <c r="A229" s="5">
        <v>0.65620370370370373</v>
      </c>
      <c r="B229">
        <v>44.8</v>
      </c>
      <c r="C229">
        <f t="shared" si="3"/>
        <v>2.3442288153199181E-8</v>
      </c>
    </row>
    <row r="230" spans="1:3" x14ac:dyDescent="0.3">
      <c r="A230" s="5">
        <v>0.65653935185185186</v>
      </c>
      <c r="B230">
        <v>44.8</v>
      </c>
      <c r="C230">
        <f t="shared" si="3"/>
        <v>2.3442288153199181E-8</v>
      </c>
    </row>
    <row r="231" spans="1:3" x14ac:dyDescent="0.3">
      <c r="A231" s="5">
        <v>0.65689814814814818</v>
      </c>
      <c r="B231">
        <v>44.8</v>
      </c>
      <c r="C231">
        <f t="shared" si="3"/>
        <v>2.3442288153199181E-8</v>
      </c>
    </row>
    <row r="232" spans="1:3" x14ac:dyDescent="0.3">
      <c r="A232" s="5">
        <v>0.6572337962962963</v>
      </c>
      <c r="B232">
        <v>45</v>
      </c>
      <c r="C232">
        <f t="shared" si="3"/>
        <v>2.4547089156850259E-8</v>
      </c>
    </row>
    <row r="233" spans="1:3" x14ac:dyDescent="0.3">
      <c r="A233" s="5">
        <v>0.65759259259259262</v>
      </c>
      <c r="B233">
        <v>45</v>
      </c>
      <c r="C233">
        <f t="shared" si="3"/>
        <v>2.4547089156850259E-8</v>
      </c>
    </row>
    <row r="234" spans="1:3" x14ac:dyDescent="0.3">
      <c r="A234" s="2" t="s">
        <v>66</v>
      </c>
      <c r="C234">
        <f>SUM(C129:C233)</f>
        <v>29.949395782383331</v>
      </c>
    </row>
    <row r="236" spans="1:3" x14ac:dyDescent="0.3">
      <c r="A236" s="2" t="s">
        <v>67</v>
      </c>
      <c r="C236">
        <f>30/60*C234</f>
        <v>14.974697891191665</v>
      </c>
    </row>
    <row r="238" spans="1:3" x14ac:dyDescent="0.3">
      <c r="A238" s="2" t="s">
        <v>69</v>
      </c>
    </row>
    <row r="239" spans="1:3" x14ac:dyDescent="0.3">
      <c r="A239" s="2" t="s">
        <v>63</v>
      </c>
      <c r="B239" s="2" t="s">
        <v>64</v>
      </c>
      <c r="C239" s="2" t="s">
        <v>65</v>
      </c>
    </row>
    <row r="240" spans="1:3" x14ac:dyDescent="0.3">
      <c r="A240" s="5">
        <v>0.61641203703703706</v>
      </c>
      <c r="B240">
        <v>35</v>
      </c>
      <c r="C240">
        <f>10^((B240-121.1)/10)</f>
        <v>2.4547089156850316E-9</v>
      </c>
    </row>
    <row r="241" spans="1:3" x14ac:dyDescent="0.3">
      <c r="A241" s="5">
        <v>0.61675925925925923</v>
      </c>
      <c r="B241">
        <v>35</v>
      </c>
      <c r="C241">
        <f t="shared" ref="C241:C304" si="4">10^((B241-121.1)/10)</f>
        <v>2.4547089156850316E-9</v>
      </c>
    </row>
    <row r="242" spans="1:3" x14ac:dyDescent="0.3">
      <c r="A242" s="5">
        <v>0.61710648148148151</v>
      </c>
      <c r="B242">
        <v>35.1</v>
      </c>
      <c r="C242">
        <f t="shared" si="4"/>
        <v>2.5118864315095812E-9</v>
      </c>
    </row>
    <row r="243" spans="1:3" x14ac:dyDescent="0.3">
      <c r="A243" s="5">
        <v>0.61745370370370367</v>
      </c>
      <c r="B243">
        <v>36.200000000000003</v>
      </c>
      <c r="C243">
        <f t="shared" si="4"/>
        <v>3.2359365692962919E-9</v>
      </c>
    </row>
    <row r="244" spans="1:3" x14ac:dyDescent="0.3">
      <c r="A244" s="5">
        <v>0.61780092592592595</v>
      </c>
      <c r="B244">
        <v>41.3</v>
      </c>
      <c r="C244">
        <f t="shared" si="4"/>
        <v>1.0471285480508974E-8</v>
      </c>
    </row>
    <row r="245" spans="1:3" x14ac:dyDescent="0.3">
      <c r="A245" s="5">
        <v>0.61814814814814811</v>
      </c>
      <c r="B245">
        <v>66.7</v>
      </c>
      <c r="C245">
        <f t="shared" si="4"/>
        <v>3.6307805477010154E-6</v>
      </c>
    </row>
    <row r="246" spans="1:3" x14ac:dyDescent="0.3">
      <c r="A246" s="5">
        <v>0.61849537037037039</v>
      </c>
      <c r="B246">
        <v>75.400000000000006</v>
      </c>
      <c r="C246">
        <f t="shared" si="4"/>
        <v>2.6915348039269234E-5</v>
      </c>
    </row>
    <row r="247" spans="1:3" x14ac:dyDescent="0.3">
      <c r="A247" s="5">
        <v>0.61884259259259256</v>
      </c>
      <c r="B247">
        <v>81.599999999999994</v>
      </c>
      <c r="C247">
        <f t="shared" si="4"/>
        <v>1.1220184543019618E-4</v>
      </c>
    </row>
    <row r="248" spans="1:3" x14ac:dyDescent="0.3">
      <c r="A248" s="5">
        <v>0.61918981481481483</v>
      </c>
      <c r="B248">
        <v>86.4</v>
      </c>
      <c r="C248">
        <f t="shared" si="4"/>
        <v>3.3884415613920328E-4</v>
      </c>
    </row>
    <row r="249" spans="1:3" x14ac:dyDescent="0.3">
      <c r="A249" s="5">
        <v>0.619537037037037</v>
      </c>
      <c r="B249">
        <v>90</v>
      </c>
      <c r="C249">
        <f t="shared" si="4"/>
        <v>7.7624711662869204E-4</v>
      </c>
    </row>
    <row r="250" spans="1:3" x14ac:dyDescent="0.3">
      <c r="A250" s="5">
        <v>0.61988425925925927</v>
      </c>
      <c r="B250">
        <v>92.6</v>
      </c>
      <c r="C250">
        <f t="shared" si="4"/>
        <v>1.4125375446227527E-3</v>
      </c>
    </row>
    <row r="251" spans="1:3" x14ac:dyDescent="0.3">
      <c r="A251" s="5">
        <v>0.62023148148148144</v>
      </c>
      <c r="B251">
        <v>94.7</v>
      </c>
      <c r="C251">
        <f t="shared" si="4"/>
        <v>2.2908676527677758E-3</v>
      </c>
    </row>
    <row r="252" spans="1:3" x14ac:dyDescent="0.3">
      <c r="A252" s="5">
        <v>0.62057870370370372</v>
      </c>
      <c r="B252">
        <v>96.4</v>
      </c>
      <c r="C252">
        <f t="shared" si="4"/>
        <v>3.388441561392033E-3</v>
      </c>
    </row>
    <row r="253" spans="1:3" x14ac:dyDescent="0.3">
      <c r="A253" s="5">
        <v>0.62092592592592588</v>
      </c>
      <c r="B253">
        <v>97.5</v>
      </c>
      <c r="C253">
        <f t="shared" si="4"/>
        <v>4.3651583224016653E-3</v>
      </c>
    </row>
    <row r="254" spans="1:3" x14ac:dyDescent="0.3">
      <c r="A254" s="5">
        <v>0.62127314814814816</v>
      </c>
      <c r="B254">
        <v>98.5</v>
      </c>
      <c r="C254">
        <f t="shared" si="4"/>
        <v>5.4954087385762525E-3</v>
      </c>
    </row>
    <row r="255" spans="1:3" x14ac:dyDescent="0.3">
      <c r="A255" s="5">
        <v>0.62162037037037032</v>
      </c>
      <c r="B255">
        <v>99.3</v>
      </c>
      <c r="C255">
        <f t="shared" si="4"/>
        <v>6.6069344800759626E-3</v>
      </c>
    </row>
    <row r="256" spans="1:3" x14ac:dyDescent="0.3">
      <c r="A256" s="5">
        <v>0.6219675925925926</v>
      </c>
      <c r="B256">
        <v>100.1</v>
      </c>
      <c r="C256">
        <f t="shared" si="4"/>
        <v>7.9432823472428121E-3</v>
      </c>
    </row>
    <row r="257" spans="1:3" x14ac:dyDescent="0.3">
      <c r="A257" s="5">
        <v>0.62231481481481477</v>
      </c>
      <c r="B257">
        <v>100.8</v>
      </c>
      <c r="C257">
        <f t="shared" si="4"/>
        <v>9.3325430079699099E-3</v>
      </c>
    </row>
    <row r="258" spans="1:3" x14ac:dyDescent="0.3">
      <c r="A258" s="5">
        <v>0.62266203703703704</v>
      </c>
      <c r="B258">
        <v>101.5</v>
      </c>
      <c r="C258">
        <f t="shared" si="4"/>
        <v>1.0964781961431861E-2</v>
      </c>
    </row>
    <row r="259" spans="1:3" x14ac:dyDescent="0.3">
      <c r="A259" s="5">
        <v>0.62300925925925921</v>
      </c>
      <c r="B259">
        <v>102.3</v>
      </c>
      <c r="C259">
        <f t="shared" si="4"/>
        <v>1.3182567385564075E-2</v>
      </c>
    </row>
    <row r="260" spans="1:3" x14ac:dyDescent="0.3">
      <c r="A260" s="5">
        <v>0.62335648148148148</v>
      </c>
      <c r="B260">
        <v>102.9</v>
      </c>
      <c r="C260">
        <f t="shared" si="4"/>
        <v>1.5135612484362116E-2</v>
      </c>
    </row>
    <row r="261" spans="1:3" x14ac:dyDescent="0.3">
      <c r="A261" s="5">
        <v>0.62370370370370365</v>
      </c>
      <c r="B261">
        <v>103.6</v>
      </c>
      <c r="C261">
        <f t="shared" si="4"/>
        <v>1.7782794100389226E-2</v>
      </c>
    </row>
    <row r="262" spans="1:3" x14ac:dyDescent="0.3">
      <c r="A262" s="5">
        <v>0.62405092592592593</v>
      </c>
      <c r="B262">
        <v>104.3</v>
      </c>
      <c r="C262">
        <f t="shared" si="4"/>
        <v>2.0892961308540403E-2</v>
      </c>
    </row>
    <row r="263" spans="1:3" x14ac:dyDescent="0.3">
      <c r="A263" s="5">
        <v>0.6243981481481482</v>
      </c>
      <c r="B263">
        <v>104.9</v>
      </c>
      <c r="C263">
        <f t="shared" si="4"/>
        <v>2.3988329190194967E-2</v>
      </c>
    </row>
    <row r="264" spans="1:3" x14ac:dyDescent="0.3">
      <c r="A264" s="5">
        <v>0.62474537037037037</v>
      </c>
      <c r="B264">
        <v>105.6</v>
      </c>
      <c r="C264">
        <f t="shared" si="4"/>
        <v>2.8183829312644532E-2</v>
      </c>
    </row>
    <row r="265" spans="1:3" x14ac:dyDescent="0.3">
      <c r="A265" s="5">
        <v>0.62509259259259264</v>
      </c>
      <c r="B265">
        <v>106.3</v>
      </c>
      <c r="C265">
        <f t="shared" si="4"/>
        <v>3.311311214825912E-2</v>
      </c>
    </row>
    <row r="266" spans="1:3" x14ac:dyDescent="0.3">
      <c r="A266" s="5">
        <v>0.62543981481481481</v>
      </c>
      <c r="B266">
        <v>106.9</v>
      </c>
      <c r="C266">
        <f t="shared" si="4"/>
        <v>3.8018939632056215E-2</v>
      </c>
    </row>
    <row r="267" spans="1:3" x14ac:dyDescent="0.3">
      <c r="A267" s="5">
        <v>0.62578703703703709</v>
      </c>
      <c r="B267">
        <v>107.6</v>
      </c>
      <c r="C267">
        <f t="shared" si="4"/>
        <v>4.4668359215096293E-2</v>
      </c>
    </row>
    <row r="268" spans="1:3" x14ac:dyDescent="0.3">
      <c r="A268" s="5">
        <v>0.62613425925925925</v>
      </c>
      <c r="B268">
        <v>108.4</v>
      </c>
      <c r="C268">
        <f t="shared" si="4"/>
        <v>5.3703179637025401E-2</v>
      </c>
    </row>
    <row r="269" spans="1:3" x14ac:dyDescent="0.3">
      <c r="A269" s="5">
        <v>0.62648148148148153</v>
      </c>
      <c r="B269">
        <v>109</v>
      </c>
      <c r="C269">
        <f t="shared" si="4"/>
        <v>6.1659500186148276E-2</v>
      </c>
    </row>
    <row r="270" spans="1:3" x14ac:dyDescent="0.3">
      <c r="A270" s="5">
        <v>0.62682870370370369</v>
      </c>
      <c r="B270">
        <v>109.7</v>
      </c>
      <c r="C270">
        <f t="shared" si="4"/>
        <v>7.2443596007499125E-2</v>
      </c>
    </row>
    <row r="271" spans="1:3" x14ac:dyDescent="0.3">
      <c r="A271" s="5">
        <v>0.62717592592592597</v>
      </c>
      <c r="B271">
        <v>110.3</v>
      </c>
      <c r="C271">
        <f t="shared" si="4"/>
        <v>8.3176377110267152E-2</v>
      </c>
    </row>
    <row r="272" spans="1:3" x14ac:dyDescent="0.3">
      <c r="A272" s="5">
        <v>0.62752314814814814</v>
      </c>
      <c r="B272">
        <v>110.9</v>
      </c>
      <c r="C272">
        <f t="shared" si="4"/>
        <v>9.5499258602143797E-2</v>
      </c>
    </row>
    <row r="273" spans="1:3" x14ac:dyDescent="0.3">
      <c r="A273" s="5">
        <v>0.62787037037037041</v>
      </c>
      <c r="B273">
        <v>111.7</v>
      </c>
      <c r="C273">
        <f t="shared" si="4"/>
        <v>0.11481536214968847</v>
      </c>
    </row>
    <row r="274" spans="1:3" x14ac:dyDescent="0.3">
      <c r="A274" s="5">
        <v>0.62821759259259258</v>
      </c>
      <c r="B274">
        <v>112.3</v>
      </c>
      <c r="C274">
        <f t="shared" si="4"/>
        <v>0.13182567385564076</v>
      </c>
    </row>
    <row r="275" spans="1:3" x14ac:dyDescent="0.3">
      <c r="A275" s="5">
        <v>0.62856481481481485</v>
      </c>
      <c r="B275">
        <v>112.9</v>
      </c>
      <c r="C275">
        <f t="shared" si="4"/>
        <v>0.15135612484362121</v>
      </c>
    </row>
    <row r="276" spans="1:3" x14ac:dyDescent="0.3">
      <c r="A276" s="5">
        <v>0.62891203703703702</v>
      </c>
      <c r="B276">
        <v>113.7</v>
      </c>
      <c r="C276">
        <f t="shared" si="4"/>
        <v>0.18197008586099869</v>
      </c>
    </row>
    <row r="277" spans="1:3" x14ac:dyDescent="0.3">
      <c r="A277" s="5">
        <v>0.6292592592592593</v>
      </c>
      <c r="B277">
        <v>114.3</v>
      </c>
      <c r="C277">
        <f t="shared" si="4"/>
        <v>0.20892961308540403</v>
      </c>
    </row>
    <row r="278" spans="1:3" x14ac:dyDescent="0.3">
      <c r="A278" s="5">
        <v>0.62960648148148146</v>
      </c>
      <c r="B278">
        <v>115</v>
      </c>
      <c r="C278">
        <f t="shared" si="4"/>
        <v>0.2454708915685033</v>
      </c>
    </row>
    <row r="279" spans="1:3" x14ac:dyDescent="0.3">
      <c r="A279" s="5">
        <v>0.62995370370370374</v>
      </c>
      <c r="B279">
        <v>115.6</v>
      </c>
      <c r="C279">
        <f t="shared" si="4"/>
        <v>0.28183829312644532</v>
      </c>
    </row>
    <row r="280" spans="1:3" x14ac:dyDescent="0.3">
      <c r="A280" s="5">
        <v>0.6303009259259259</v>
      </c>
      <c r="B280">
        <v>116.2</v>
      </c>
      <c r="C280">
        <f t="shared" si="4"/>
        <v>0.32359365692962883</v>
      </c>
    </row>
    <row r="281" spans="1:3" x14ac:dyDescent="0.3">
      <c r="A281" s="5">
        <v>0.63064814814814818</v>
      </c>
      <c r="B281">
        <v>116.9</v>
      </c>
      <c r="C281">
        <f t="shared" si="4"/>
        <v>0.38018939632056215</v>
      </c>
    </row>
    <row r="282" spans="1:3" x14ac:dyDescent="0.3">
      <c r="A282" s="5">
        <v>0.63099537037037035</v>
      </c>
      <c r="B282">
        <v>117.5</v>
      </c>
      <c r="C282">
        <f t="shared" si="4"/>
        <v>0.43651583224016655</v>
      </c>
    </row>
    <row r="283" spans="1:3" x14ac:dyDescent="0.3">
      <c r="A283" s="5">
        <v>0.63134259259259262</v>
      </c>
      <c r="B283">
        <v>118.1</v>
      </c>
      <c r="C283">
        <f t="shared" si="4"/>
        <v>0.50118723362727224</v>
      </c>
    </row>
    <row r="284" spans="1:3" x14ac:dyDescent="0.3">
      <c r="A284" s="5">
        <v>0.63168981481481479</v>
      </c>
      <c r="B284">
        <v>118.7</v>
      </c>
      <c r="C284">
        <f t="shared" si="4"/>
        <v>0.57543993733715804</v>
      </c>
    </row>
    <row r="285" spans="1:3" x14ac:dyDescent="0.3">
      <c r="A285" s="5">
        <v>0.63203703703703706</v>
      </c>
      <c r="B285">
        <v>119.4</v>
      </c>
      <c r="C285">
        <f t="shared" si="4"/>
        <v>0.67608297539198348</v>
      </c>
    </row>
    <row r="286" spans="1:3" x14ac:dyDescent="0.3">
      <c r="A286" s="5">
        <v>0.63238425925925923</v>
      </c>
      <c r="B286">
        <v>120</v>
      </c>
      <c r="C286">
        <f t="shared" si="4"/>
        <v>0.77624711662869272</v>
      </c>
    </row>
    <row r="287" spans="1:3" x14ac:dyDescent="0.3">
      <c r="A287" s="5">
        <v>0.63273148148148151</v>
      </c>
      <c r="B287">
        <v>120.5</v>
      </c>
      <c r="C287">
        <f t="shared" si="4"/>
        <v>0.87096358995608181</v>
      </c>
    </row>
    <row r="288" spans="1:3" x14ac:dyDescent="0.3">
      <c r="A288" s="6">
        <v>0.63307870370370367</v>
      </c>
      <c r="B288" s="7">
        <v>121</v>
      </c>
      <c r="C288" s="7">
        <f t="shared" si="4"/>
        <v>0.977237220955812</v>
      </c>
    </row>
    <row r="289" spans="1:3" x14ac:dyDescent="0.3">
      <c r="A289" s="6">
        <v>0.63342592592592595</v>
      </c>
      <c r="B289" s="7">
        <v>121.4</v>
      </c>
      <c r="C289" s="7">
        <f t="shared" si="4"/>
        <v>1.0715193052376093</v>
      </c>
    </row>
    <row r="290" spans="1:3" x14ac:dyDescent="0.3">
      <c r="A290" s="6">
        <v>0.63377314814814811</v>
      </c>
      <c r="B290" s="7">
        <v>121.1</v>
      </c>
      <c r="C290" s="7">
        <f t="shared" si="4"/>
        <v>1</v>
      </c>
    </row>
    <row r="291" spans="1:3" x14ac:dyDescent="0.3">
      <c r="A291" s="6">
        <v>0.63412037037037039</v>
      </c>
      <c r="B291" s="7">
        <v>120.6</v>
      </c>
      <c r="C291" s="7">
        <f t="shared" si="4"/>
        <v>0.89125093813374545</v>
      </c>
    </row>
    <row r="292" spans="1:3" x14ac:dyDescent="0.3">
      <c r="A292" s="6">
        <v>0.63446759259259256</v>
      </c>
      <c r="B292" s="7">
        <v>121.1</v>
      </c>
      <c r="C292" s="7">
        <f t="shared" si="4"/>
        <v>1</v>
      </c>
    </row>
    <row r="293" spans="1:3" x14ac:dyDescent="0.3">
      <c r="A293" s="6">
        <v>0.63481481481481483</v>
      </c>
      <c r="B293" s="7">
        <v>122.1</v>
      </c>
      <c r="C293" s="7">
        <f t="shared" si="4"/>
        <v>1.2589254117941673</v>
      </c>
    </row>
    <row r="294" spans="1:3" x14ac:dyDescent="0.3">
      <c r="A294" s="6">
        <v>0.635162037037037</v>
      </c>
      <c r="B294" s="7">
        <v>121.8</v>
      </c>
      <c r="C294" s="7">
        <f t="shared" si="4"/>
        <v>1.1748975549395304</v>
      </c>
    </row>
    <row r="295" spans="1:3" x14ac:dyDescent="0.3">
      <c r="A295" s="6">
        <v>0.63550925925925927</v>
      </c>
      <c r="B295" s="7">
        <v>121.2</v>
      </c>
      <c r="C295" s="7">
        <f t="shared" si="4"/>
        <v>1.0232929922807561</v>
      </c>
    </row>
    <row r="296" spans="1:3" x14ac:dyDescent="0.3">
      <c r="A296" s="6">
        <v>0.63585648148148144</v>
      </c>
      <c r="B296" s="7">
        <v>120.7</v>
      </c>
      <c r="C296" s="7">
        <f t="shared" si="4"/>
        <v>0.91201083935591154</v>
      </c>
    </row>
    <row r="297" spans="1:3" x14ac:dyDescent="0.3">
      <c r="A297" s="6">
        <v>0.63620370370370372</v>
      </c>
      <c r="B297" s="7">
        <v>120.8</v>
      </c>
      <c r="C297" s="7">
        <f t="shared" si="4"/>
        <v>0.93325430079699168</v>
      </c>
    </row>
    <row r="298" spans="1:3" x14ac:dyDescent="0.3">
      <c r="A298" s="6">
        <v>0.63655092592592588</v>
      </c>
      <c r="B298" s="7">
        <v>121.8</v>
      </c>
      <c r="C298" s="7">
        <f t="shared" si="4"/>
        <v>1.1748975549395304</v>
      </c>
    </row>
    <row r="299" spans="1:3" x14ac:dyDescent="0.3">
      <c r="A299" s="6">
        <v>0.63689814814814816</v>
      </c>
      <c r="B299" s="7">
        <v>121.8</v>
      </c>
      <c r="C299" s="7">
        <f t="shared" si="4"/>
        <v>1.1748975549395304</v>
      </c>
    </row>
    <row r="300" spans="1:3" x14ac:dyDescent="0.3">
      <c r="A300" s="6">
        <v>0.63724537037037032</v>
      </c>
      <c r="B300" s="7">
        <v>121.2</v>
      </c>
      <c r="C300" s="7">
        <f t="shared" si="4"/>
        <v>1.0232929922807561</v>
      </c>
    </row>
    <row r="301" spans="1:3" x14ac:dyDescent="0.3">
      <c r="A301" s="6">
        <v>0.6375925925925926</v>
      </c>
      <c r="B301" s="7">
        <v>120.8</v>
      </c>
      <c r="C301" s="7">
        <f t="shared" si="4"/>
        <v>0.93325430079699168</v>
      </c>
    </row>
    <row r="302" spans="1:3" x14ac:dyDescent="0.3">
      <c r="A302" s="6">
        <v>0.63793981481481477</v>
      </c>
      <c r="B302" s="7">
        <v>120.8</v>
      </c>
      <c r="C302" s="7">
        <f t="shared" si="4"/>
        <v>0.93325430079699168</v>
      </c>
    </row>
    <row r="303" spans="1:3" x14ac:dyDescent="0.3">
      <c r="A303" s="6">
        <v>0.63828703703703704</v>
      </c>
      <c r="B303" s="7">
        <v>121.7</v>
      </c>
      <c r="C303" s="7">
        <f t="shared" si="4"/>
        <v>1.148153621496885</v>
      </c>
    </row>
    <row r="304" spans="1:3" x14ac:dyDescent="0.3">
      <c r="A304" s="6">
        <v>0.63863425925925921</v>
      </c>
      <c r="B304" s="7">
        <v>121.8</v>
      </c>
      <c r="C304" s="7">
        <f t="shared" si="4"/>
        <v>1.1748975549395304</v>
      </c>
    </row>
    <row r="305" spans="1:3" x14ac:dyDescent="0.3">
      <c r="A305" s="6">
        <v>0.63898148148148148</v>
      </c>
      <c r="B305" s="7">
        <v>120.8</v>
      </c>
      <c r="C305" s="7">
        <f t="shared" ref="C305:C368" si="5">10^((B305-121.1)/10)</f>
        <v>0.93325430079699168</v>
      </c>
    </row>
    <row r="306" spans="1:3" x14ac:dyDescent="0.3">
      <c r="A306" s="6">
        <v>0.63932870370370365</v>
      </c>
      <c r="B306" s="7">
        <v>120.3</v>
      </c>
      <c r="C306" s="7">
        <f t="shared" si="5"/>
        <v>0.83176377110267163</v>
      </c>
    </row>
    <row r="307" spans="1:3" x14ac:dyDescent="0.3">
      <c r="A307" s="6">
        <v>0.63967592592592593</v>
      </c>
      <c r="B307" s="7">
        <v>121.2</v>
      </c>
      <c r="C307" s="7">
        <f t="shared" si="5"/>
        <v>1.0232929922807561</v>
      </c>
    </row>
    <row r="308" spans="1:3" x14ac:dyDescent="0.3">
      <c r="A308" s="6">
        <v>0.6400231481481482</v>
      </c>
      <c r="B308" s="7">
        <v>121.8</v>
      </c>
      <c r="C308" s="7">
        <f t="shared" si="5"/>
        <v>1.1748975549395304</v>
      </c>
    </row>
    <row r="309" spans="1:3" x14ac:dyDescent="0.3">
      <c r="A309" s="6">
        <v>0.64037037037037037</v>
      </c>
      <c r="B309" s="7">
        <v>121.4</v>
      </c>
      <c r="C309" s="7">
        <f t="shared" si="5"/>
        <v>1.0715193052376093</v>
      </c>
    </row>
    <row r="310" spans="1:3" x14ac:dyDescent="0.3">
      <c r="A310" s="6">
        <v>0.64071759259259264</v>
      </c>
      <c r="B310" s="7">
        <v>121.1</v>
      </c>
      <c r="C310" s="7">
        <f t="shared" si="5"/>
        <v>1</v>
      </c>
    </row>
    <row r="311" spans="1:3" x14ac:dyDescent="0.3">
      <c r="A311" s="6">
        <v>0.64106481481481481</v>
      </c>
      <c r="B311" s="7">
        <v>120.7</v>
      </c>
      <c r="C311" s="7">
        <f t="shared" si="5"/>
        <v>0.91201083935591154</v>
      </c>
    </row>
    <row r="312" spans="1:3" x14ac:dyDescent="0.3">
      <c r="A312" s="6">
        <v>0.64141203703703709</v>
      </c>
      <c r="B312" s="7">
        <v>121</v>
      </c>
      <c r="C312" s="7">
        <f t="shared" si="5"/>
        <v>0.977237220955812</v>
      </c>
    </row>
    <row r="313" spans="1:3" x14ac:dyDescent="0.3">
      <c r="A313" s="6">
        <v>0.64175925925925925</v>
      </c>
      <c r="B313" s="7">
        <v>121.6</v>
      </c>
      <c r="C313" s="7">
        <f t="shared" si="5"/>
        <v>1.1220184543019636</v>
      </c>
    </row>
    <row r="314" spans="1:3" x14ac:dyDescent="0.3">
      <c r="A314" s="6">
        <v>0.64210648148148153</v>
      </c>
      <c r="B314" s="7">
        <v>121.4</v>
      </c>
      <c r="C314" s="7">
        <f t="shared" si="5"/>
        <v>1.0715193052376093</v>
      </c>
    </row>
    <row r="315" spans="1:3" x14ac:dyDescent="0.3">
      <c r="A315" s="6">
        <v>0.64245370370370369</v>
      </c>
      <c r="B315" s="7">
        <v>121</v>
      </c>
      <c r="C315" s="7">
        <f t="shared" si="5"/>
        <v>0.977237220955812</v>
      </c>
    </row>
    <row r="316" spans="1:3" x14ac:dyDescent="0.3">
      <c r="A316" s="6">
        <v>0.64280092592592597</v>
      </c>
      <c r="B316" s="7">
        <v>120.6</v>
      </c>
      <c r="C316" s="7">
        <f t="shared" si="5"/>
        <v>0.89125093813374545</v>
      </c>
    </row>
    <row r="317" spans="1:3" x14ac:dyDescent="0.3">
      <c r="A317" s="6">
        <v>0.64314814814814814</v>
      </c>
      <c r="B317" s="7">
        <v>121.1</v>
      </c>
      <c r="C317" s="7">
        <f t="shared" si="5"/>
        <v>1</v>
      </c>
    </row>
    <row r="318" spans="1:3" x14ac:dyDescent="0.3">
      <c r="A318" s="6">
        <v>0.64349537037037041</v>
      </c>
      <c r="B318" s="7">
        <v>121.5</v>
      </c>
      <c r="C318" s="7">
        <f t="shared" si="5"/>
        <v>1.0964781961431864</v>
      </c>
    </row>
    <row r="319" spans="1:3" x14ac:dyDescent="0.3">
      <c r="A319" s="6">
        <v>0.64384259259259258</v>
      </c>
      <c r="B319" s="7">
        <v>121.2</v>
      </c>
      <c r="C319" s="7">
        <f t="shared" si="5"/>
        <v>1.0232929922807561</v>
      </c>
    </row>
    <row r="320" spans="1:3" x14ac:dyDescent="0.3">
      <c r="A320" s="6">
        <v>0.64418981481481485</v>
      </c>
      <c r="B320" s="7">
        <v>120.9</v>
      </c>
      <c r="C320" s="7">
        <f t="shared" si="5"/>
        <v>0.95499258602143855</v>
      </c>
    </row>
    <row r="321" spans="1:3" x14ac:dyDescent="0.3">
      <c r="A321" s="6">
        <v>0.64453703703703702</v>
      </c>
      <c r="B321" s="7">
        <v>120.7</v>
      </c>
      <c r="C321" s="7">
        <f t="shared" si="5"/>
        <v>0.91201083935591154</v>
      </c>
    </row>
    <row r="322" spans="1:3" x14ac:dyDescent="0.3">
      <c r="A322" s="6">
        <v>0.6448842592592593</v>
      </c>
      <c r="B322" s="7">
        <v>121.2</v>
      </c>
      <c r="C322" s="7">
        <f t="shared" si="5"/>
        <v>1.0232929922807561</v>
      </c>
    </row>
    <row r="323" spans="1:3" x14ac:dyDescent="0.3">
      <c r="A323" s="6">
        <v>0.64523148148148146</v>
      </c>
      <c r="B323" s="7">
        <v>121.2</v>
      </c>
      <c r="C323" s="7">
        <f t="shared" si="5"/>
        <v>1.0232929922807561</v>
      </c>
    </row>
    <row r="324" spans="1:3" x14ac:dyDescent="0.3">
      <c r="A324" s="6">
        <v>0.64557870370370374</v>
      </c>
      <c r="B324" s="7">
        <v>120.8</v>
      </c>
      <c r="C324" s="7">
        <f t="shared" si="5"/>
        <v>0.93325430079699168</v>
      </c>
    </row>
    <row r="325" spans="1:3" x14ac:dyDescent="0.3">
      <c r="A325" s="6">
        <v>0.6459259259259259</v>
      </c>
      <c r="B325" s="7">
        <v>120.9</v>
      </c>
      <c r="C325" s="7">
        <f t="shared" si="5"/>
        <v>0.95499258602143855</v>
      </c>
    </row>
    <row r="326" spans="1:3" x14ac:dyDescent="0.3">
      <c r="A326" s="6">
        <v>0.64627314814814818</v>
      </c>
      <c r="B326" s="7">
        <v>121.1</v>
      </c>
      <c r="C326" s="7">
        <f t="shared" si="5"/>
        <v>1</v>
      </c>
    </row>
    <row r="327" spans="1:3" x14ac:dyDescent="0.3">
      <c r="A327" s="6">
        <v>0.64662037037037035</v>
      </c>
      <c r="B327" s="7">
        <v>120.9</v>
      </c>
      <c r="C327" s="7">
        <f t="shared" si="5"/>
        <v>0.95499258602143855</v>
      </c>
    </row>
    <row r="328" spans="1:3" x14ac:dyDescent="0.3">
      <c r="A328" s="6">
        <v>0.64696759259259262</v>
      </c>
      <c r="B328" s="7">
        <v>120.6</v>
      </c>
      <c r="C328" s="7">
        <f t="shared" si="5"/>
        <v>0.89125093813374545</v>
      </c>
    </row>
    <row r="329" spans="1:3" x14ac:dyDescent="0.3">
      <c r="A329" s="6">
        <v>0.64731481481481479</v>
      </c>
      <c r="B329" s="7">
        <v>120.8</v>
      </c>
      <c r="C329" s="7">
        <f t="shared" si="5"/>
        <v>0.93325430079699168</v>
      </c>
    </row>
    <row r="330" spans="1:3" x14ac:dyDescent="0.3">
      <c r="A330" s="6">
        <v>0.64766203703703706</v>
      </c>
      <c r="B330" s="7">
        <v>121</v>
      </c>
      <c r="C330" s="7">
        <f t="shared" si="5"/>
        <v>0.977237220955812</v>
      </c>
    </row>
    <row r="331" spans="1:3" x14ac:dyDescent="0.3">
      <c r="A331" s="6">
        <v>0.64800925925925923</v>
      </c>
      <c r="B331" s="7">
        <v>120.9</v>
      </c>
      <c r="C331" s="7">
        <f t="shared" si="5"/>
        <v>0.95499258602143855</v>
      </c>
    </row>
    <row r="332" spans="1:3" x14ac:dyDescent="0.3">
      <c r="A332" s="6">
        <v>0.64835648148148151</v>
      </c>
      <c r="B332" s="7">
        <v>120.7</v>
      </c>
      <c r="C332" s="7">
        <f t="shared" si="5"/>
        <v>0.91201083935591154</v>
      </c>
    </row>
    <row r="333" spans="1:3" x14ac:dyDescent="0.3">
      <c r="A333" s="6">
        <v>0.64870370370370367</v>
      </c>
      <c r="B333" s="7">
        <v>120.8</v>
      </c>
      <c r="C333" s="7">
        <f t="shared" si="5"/>
        <v>0.93325430079699168</v>
      </c>
    </row>
    <row r="334" spans="1:3" x14ac:dyDescent="0.3">
      <c r="A334" s="6">
        <v>0.64905092592592595</v>
      </c>
      <c r="B334" s="7">
        <v>120.8</v>
      </c>
      <c r="C334" s="7">
        <f t="shared" si="5"/>
        <v>0.93325430079699168</v>
      </c>
    </row>
    <row r="335" spans="1:3" x14ac:dyDescent="0.3">
      <c r="A335" s="6">
        <v>0.64939814814814811</v>
      </c>
      <c r="B335" s="7">
        <v>120.9</v>
      </c>
      <c r="C335" s="7">
        <f t="shared" si="5"/>
        <v>0.95499258602143855</v>
      </c>
    </row>
    <row r="336" spans="1:3" x14ac:dyDescent="0.3">
      <c r="A336" s="6">
        <v>0.64974537037037039</v>
      </c>
      <c r="B336" s="7">
        <v>120.9</v>
      </c>
      <c r="C336" s="7">
        <f t="shared" si="5"/>
        <v>0.95499258602143855</v>
      </c>
    </row>
    <row r="337" spans="1:3" x14ac:dyDescent="0.3">
      <c r="A337" s="6">
        <v>0.65009259259259256</v>
      </c>
      <c r="B337" s="7">
        <v>120.9</v>
      </c>
      <c r="C337" s="7">
        <f t="shared" si="5"/>
        <v>0.95499258602143855</v>
      </c>
    </row>
    <row r="338" spans="1:3" x14ac:dyDescent="0.3">
      <c r="A338" s="6">
        <v>0.65043981481481483</v>
      </c>
      <c r="B338" s="7">
        <v>120.8</v>
      </c>
      <c r="C338" s="7">
        <f t="shared" si="5"/>
        <v>0.93325430079699168</v>
      </c>
    </row>
    <row r="339" spans="1:3" x14ac:dyDescent="0.3">
      <c r="A339" s="6">
        <v>0.650787037037037</v>
      </c>
      <c r="B339" s="7">
        <v>120.7</v>
      </c>
      <c r="C339" s="7">
        <f t="shared" si="5"/>
        <v>0.91201083935591154</v>
      </c>
    </row>
    <row r="340" spans="1:3" x14ac:dyDescent="0.3">
      <c r="A340" s="6">
        <v>0.65113425925925927</v>
      </c>
      <c r="B340" s="7">
        <v>120.6</v>
      </c>
      <c r="C340" s="7">
        <f t="shared" si="5"/>
        <v>0.89125093813374545</v>
      </c>
    </row>
    <row r="341" spans="1:3" x14ac:dyDescent="0.3">
      <c r="A341" s="6">
        <v>0.65148148148148144</v>
      </c>
      <c r="B341" s="7">
        <v>120.6</v>
      </c>
      <c r="C341" s="7">
        <f t="shared" si="5"/>
        <v>0.89125093813374545</v>
      </c>
    </row>
    <row r="342" spans="1:3" x14ac:dyDescent="0.3">
      <c r="A342" s="6">
        <v>0.65182870370370372</v>
      </c>
      <c r="B342" s="7">
        <v>120.7</v>
      </c>
      <c r="C342" s="7">
        <f t="shared" si="5"/>
        <v>0.91201083935591154</v>
      </c>
    </row>
    <row r="343" spans="1:3" x14ac:dyDescent="0.3">
      <c r="A343" s="6">
        <v>0.65217592592592588</v>
      </c>
      <c r="B343" s="7">
        <v>120.7</v>
      </c>
      <c r="C343" s="7">
        <f t="shared" si="5"/>
        <v>0.91201083935591154</v>
      </c>
    </row>
    <row r="344" spans="1:3" x14ac:dyDescent="0.3">
      <c r="A344" s="6">
        <v>0.65252314814814816</v>
      </c>
      <c r="B344" s="7">
        <v>120.7</v>
      </c>
      <c r="C344" s="7">
        <f t="shared" si="5"/>
        <v>0.91201083935591154</v>
      </c>
    </row>
    <row r="345" spans="1:3" x14ac:dyDescent="0.3">
      <c r="A345" s="6">
        <v>0.65287037037037032</v>
      </c>
      <c r="B345" s="7">
        <v>120.6</v>
      </c>
      <c r="C345" s="7">
        <f t="shared" si="5"/>
        <v>0.89125093813374545</v>
      </c>
    </row>
    <row r="346" spans="1:3" x14ac:dyDescent="0.3">
      <c r="A346" s="6">
        <v>0.6532175925925926</v>
      </c>
      <c r="B346" s="7">
        <v>120.6</v>
      </c>
      <c r="C346" s="7">
        <f t="shared" si="5"/>
        <v>0.89125093813374545</v>
      </c>
    </row>
    <row r="347" spans="1:3" x14ac:dyDescent="0.3">
      <c r="A347" s="6">
        <v>0.65356481481481477</v>
      </c>
      <c r="B347" s="7">
        <v>120.7</v>
      </c>
      <c r="C347" s="7">
        <f t="shared" si="5"/>
        <v>0.91201083935591154</v>
      </c>
    </row>
    <row r="348" spans="1:3" x14ac:dyDescent="0.3">
      <c r="A348" s="6">
        <v>0.65391203703703704</v>
      </c>
      <c r="B348" s="7">
        <v>120.7</v>
      </c>
      <c r="C348" s="7">
        <f t="shared" si="5"/>
        <v>0.91201083935591154</v>
      </c>
    </row>
    <row r="349" spans="1:3" x14ac:dyDescent="0.3">
      <c r="A349" s="5">
        <v>0.65425925925925921</v>
      </c>
      <c r="B349">
        <v>119.5</v>
      </c>
      <c r="C349">
        <f t="shared" si="5"/>
        <v>0.69183097091893742</v>
      </c>
    </row>
    <row r="350" spans="1:3" x14ac:dyDescent="0.3">
      <c r="A350" s="5">
        <v>0.65460648148148148</v>
      </c>
      <c r="B350">
        <v>112.2</v>
      </c>
      <c r="C350">
        <f t="shared" si="5"/>
        <v>0.12882495516931364</v>
      </c>
    </row>
    <row r="351" spans="1:3" x14ac:dyDescent="0.3">
      <c r="A351" s="5">
        <v>0.65495370370370365</v>
      </c>
      <c r="B351">
        <v>93.1</v>
      </c>
      <c r="C351">
        <f t="shared" si="5"/>
        <v>1.5848931924611134E-3</v>
      </c>
    </row>
    <row r="352" spans="1:3" x14ac:dyDescent="0.3">
      <c r="A352" s="5">
        <v>0.65530092592592593</v>
      </c>
      <c r="B352">
        <v>82.9</v>
      </c>
      <c r="C352">
        <f t="shared" si="5"/>
        <v>1.5135612484362096E-4</v>
      </c>
    </row>
    <row r="353" spans="1:3" x14ac:dyDescent="0.3">
      <c r="A353" s="5">
        <v>0.6556481481481482</v>
      </c>
      <c r="B353">
        <v>78.7</v>
      </c>
      <c r="C353">
        <f t="shared" si="5"/>
        <v>5.7543993733715779E-5</v>
      </c>
    </row>
    <row r="354" spans="1:3" x14ac:dyDescent="0.3">
      <c r="A354" s="5">
        <v>0.65599537037037037</v>
      </c>
      <c r="B354">
        <v>74.900000000000006</v>
      </c>
      <c r="C354">
        <f t="shared" si="5"/>
        <v>2.3988329190194941E-5</v>
      </c>
    </row>
    <row r="355" spans="1:3" x14ac:dyDescent="0.3">
      <c r="A355" s="5">
        <v>0.65634259259259264</v>
      </c>
      <c r="B355">
        <v>71.400000000000006</v>
      </c>
      <c r="C355">
        <f t="shared" si="5"/>
        <v>1.0715193052376079E-5</v>
      </c>
    </row>
    <row r="356" spans="1:3" x14ac:dyDescent="0.3">
      <c r="A356" s="5">
        <v>0.65668981481481481</v>
      </c>
      <c r="B356">
        <v>68.2</v>
      </c>
      <c r="C356">
        <f t="shared" si="5"/>
        <v>5.1286138399136523E-6</v>
      </c>
    </row>
    <row r="357" spans="1:3" x14ac:dyDescent="0.3">
      <c r="A357" s="5">
        <v>0.65703703703703709</v>
      </c>
      <c r="B357">
        <v>65.8</v>
      </c>
      <c r="C357">
        <f t="shared" si="5"/>
        <v>2.9512092266663841E-6</v>
      </c>
    </row>
    <row r="358" spans="1:3" x14ac:dyDescent="0.3">
      <c r="A358" s="5">
        <v>0.65738425925925925</v>
      </c>
      <c r="B358">
        <v>63.4</v>
      </c>
      <c r="C358">
        <f t="shared" si="5"/>
        <v>1.6982436524617446E-6</v>
      </c>
    </row>
    <row r="359" spans="1:3" x14ac:dyDescent="0.3">
      <c r="A359" s="5">
        <v>0.65773148148148153</v>
      </c>
      <c r="B359">
        <v>61.3</v>
      </c>
      <c r="C359">
        <f t="shared" si="5"/>
        <v>1.0471285480508998E-6</v>
      </c>
    </row>
    <row r="360" spans="1:3" x14ac:dyDescent="0.3">
      <c r="A360" s="5">
        <v>0.65807870370370369</v>
      </c>
      <c r="B360">
        <v>59.7</v>
      </c>
      <c r="C360">
        <f t="shared" si="5"/>
        <v>7.2443596007499143E-7</v>
      </c>
    </row>
    <row r="361" spans="1:3" x14ac:dyDescent="0.3">
      <c r="A361" s="5">
        <v>0.65842592592592597</v>
      </c>
      <c r="B361">
        <v>58</v>
      </c>
      <c r="C361">
        <f t="shared" si="5"/>
        <v>4.8977881936844619E-7</v>
      </c>
    </row>
    <row r="362" spans="1:3" x14ac:dyDescent="0.3">
      <c r="A362" s="5">
        <v>0.65877314814814814</v>
      </c>
      <c r="B362">
        <v>56.6</v>
      </c>
      <c r="C362">
        <f t="shared" si="5"/>
        <v>3.5481338923357463E-7</v>
      </c>
    </row>
    <row r="363" spans="1:3" x14ac:dyDescent="0.3">
      <c r="A363" s="5">
        <v>0.65912037037037041</v>
      </c>
      <c r="B363">
        <v>55.2</v>
      </c>
      <c r="C363">
        <f t="shared" si="5"/>
        <v>2.5703957827688658E-7</v>
      </c>
    </row>
    <row r="364" spans="1:3" x14ac:dyDescent="0.3">
      <c r="A364" s="5">
        <v>0.65946759259259258</v>
      </c>
      <c r="B364">
        <v>54</v>
      </c>
      <c r="C364">
        <f t="shared" si="5"/>
        <v>1.9498445997580458E-7</v>
      </c>
    </row>
    <row r="365" spans="1:3" x14ac:dyDescent="0.3">
      <c r="A365" s="5">
        <v>0.65981481481481485</v>
      </c>
      <c r="B365">
        <v>52.9</v>
      </c>
      <c r="C365">
        <f t="shared" si="5"/>
        <v>1.5135612484362101E-7</v>
      </c>
    </row>
    <row r="366" spans="1:3" x14ac:dyDescent="0.3">
      <c r="A366" s="5">
        <v>0.66016203703703702</v>
      </c>
      <c r="B366">
        <v>51.9</v>
      </c>
      <c r="C366">
        <f t="shared" si="5"/>
        <v>1.2022644346174135E-7</v>
      </c>
    </row>
    <row r="367" spans="1:3" x14ac:dyDescent="0.3">
      <c r="A367" s="5">
        <v>0.6605092592592593</v>
      </c>
      <c r="B367">
        <v>50.9</v>
      </c>
      <c r="C367">
        <f t="shared" si="5"/>
        <v>9.5499258602143887E-8</v>
      </c>
    </row>
    <row r="368" spans="1:3" x14ac:dyDescent="0.3">
      <c r="A368" s="5">
        <v>0.66085648148148146</v>
      </c>
      <c r="B368">
        <v>50.2</v>
      </c>
      <c r="C368">
        <f t="shared" si="5"/>
        <v>8.128305161640995E-8</v>
      </c>
    </row>
    <row r="369" spans="1:3" x14ac:dyDescent="0.3">
      <c r="A369" s="5">
        <v>0.66120370370370374</v>
      </c>
      <c r="B369">
        <v>49.3</v>
      </c>
      <c r="C369">
        <f t="shared" ref="C369:C409" si="6">10^((B369-121.1)/10)</f>
        <v>6.606934480075943E-8</v>
      </c>
    </row>
    <row r="370" spans="1:3" x14ac:dyDescent="0.3">
      <c r="A370" s="5">
        <v>0.6615509259259259</v>
      </c>
      <c r="B370">
        <v>48.8</v>
      </c>
      <c r="C370">
        <f t="shared" si="6"/>
        <v>5.8884365535558776E-8</v>
      </c>
    </row>
    <row r="371" spans="1:3" x14ac:dyDescent="0.3">
      <c r="A371" s="5">
        <v>0.66189814814814818</v>
      </c>
      <c r="B371">
        <v>48</v>
      </c>
      <c r="C371">
        <f t="shared" si="6"/>
        <v>4.8977881936844561E-8</v>
      </c>
    </row>
    <row r="372" spans="1:3" x14ac:dyDescent="0.3">
      <c r="A372" s="5">
        <v>0.66224537037037035</v>
      </c>
      <c r="B372">
        <v>47.5</v>
      </c>
      <c r="C372">
        <f t="shared" si="6"/>
        <v>4.3651583224016566E-8</v>
      </c>
    </row>
    <row r="373" spans="1:3" x14ac:dyDescent="0.3">
      <c r="A373" s="5">
        <v>0.66259259259259262</v>
      </c>
      <c r="B373">
        <v>47.2</v>
      </c>
      <c r="C373">
        <f t="shared" si="6"/>
        <v>4.0738027780411254E-8</v>
      </c>
    </row>
    <row r="374" spans="1:3" x14ac:dyDescent="0.3">
      <c r="A374" s="5">
        <v>0.66293981481481479</v>
      </c>
      <c r="B374">
        <v>46.6</v>
      </c>
      <c r="C374">
        <f t="shared" si="6"/>
        <v>3.5481338923357426E-8</v>
      </c>
    </row>
    <row r="375" spans="1:3" x14ac:dyDescent="0.3">
      <c r="A375" s="5">
        <v>0.66328703703703706</v>
      </c>
      <c r="B375">
        <v>46.3</v>
      </c>
      <c r="C375">
        <f t="shared" si="6"/>
        <v>3.3113112148259124E-8</v>
      </c>
    </row>
    <row r="376" spans="1:3" x14ac:dyDescent="0.3">
      <c r="A376" s="5">
        <v>0.66363425925925923</v>
      </c>
      <c r="B376">
        <v>45.9</v>
      </c>
      <c r="C376">
        <f t="shared" si="6"/>
        <v>3.0199517204020188E-8</v>
      </c>
    </row>
    <row r="377" spans="1:3" x14ac:dyDescent="0.3">
      <c r="A377" s="5">
        <v>0.66398148148148151</v>
      </c>
      <c r="B377">
        <v>45.4</v>
      </c>
      <c r="C377">
        <f t="shared" si="6"/>
        <v>2.691534803926919E-8</v>
      </c>
    </row>
    <row r="378" spans="1:3" x14ac:dyDescent="0.3">
      <c r="A378" s="5">
        <v>0.66432870370370367</v>
      </c>
      <c r="B378">
        <v>45.1</v>
      </c>
      <c r="C378">
        <f t="shared" si="6"/>
        <v>2.5118864315095751E-8</v>
      </c>
    </row>
    <row r="379" spans="1:3" x14ac:dyDescent="0.3">
      <c r="A379" s="5">
        <v>0.66467592592592595</v>
      </c>
      <c r="B379">
        <v>44.9</v>
      </c>
      <c r="C379">
        <f t="shared" si="6"/>
        <v>2.3988329190194944E-8</v>
      </c>
    </row>
    <row r="380" spans="1:3" x14ac:dyDescent="0.3">
      <c r="A380" s="5">
        <v>0.66502314814814811</v>
      </c>
      <c r="B380">
        <v>44.8</v>
      </c>
      <c r="C380">
        <f t="shared" si="6"/>
        <v>2.3442288153199181E-8</v>
      </c>
    </row>
    <row r="381" spans="1:3" x14ac:dyDescent="0.3">
      <c r="A381" s="5">
        <v>0.66537037037037039</v>
      </c>
      <c r="B381">
        <v>44.7</v>
      </c>
      <c r="C381">
        <f t="shared" si="6"/>
        <v>2.2908676527677776E-8</v>
      </c>
    </row>
    <row r="382" spans="1:3" x14ac:dyDescent="0.3">
      <c r="A382" s="5">
        <v>0.66571759259259256</v>
      </c>
      <c r="B382">
        <v>44.6</v>
      </c>
      <c r="C382">
        <f t="shared" si="6"/>
        <v>2.2387211385683365E-8</v>
      </c>
    </row>
    <row r="383" spans="1:3" x14ac:dyDescent="0.3">
      <c r="A383" s="5">
        <v>0.66606481481481483</v>
      </c>
      <c r="B383">
        <v>44.5</v>
      </c>
      <c r="C383">
        <f t="shared" si="6"/>
        <v>2.1877616239495494E-8</v>
      </c>
    </row>
    <row r="384" spans="1:3" x14ac:dyDescent="0.3">
      <c r="A384" s="5">
        <v>0.666412037037037</v>
      </c>
      <c r="B384">
        <v>44.5</v>
      </c>
      <c r="C384">
        <f t="shared" si="6"/>
        <v>2.1877616239495494E-8</v>
      </c>
    </row>
    <row r="385" spans="1:3" x14ac:dyDescent="0.3">
      <c r="A385" s="5">
        <v>0.66675925925925927</v>
      </c>
      <c r="B385">
        <v>44.6</v>
      </c>
      <c r="C385">
        <f t="shared" si="6"/>
        <v>2.2387211385683365E-8</v>
      </c>
    </row>
    <row r="386" spans="1:3" x14ac:dyDescent="0.3">
      <c r="A386" s="5">
        <v>0.66710648148148144</v>
      </c>
      <c r="B386">
        <v>44.7</v>
      </c>
      <c r="C386">
        <f t="shared" si="6"/>
        <v>2.2908676527677776E-8</v>
      </c>
    </row>
    <row r="387" spans="1:3" x14ac:dyDescent="0.3">
      <c r="A387" s="5">
        <v>0.66745370370370372</v>
      </c>
      <c r="B387">
        <v>44.6</v>
      </c>
      <c r="C387">
        <f t="shared" si="6"/>
        <v>2.2387211385683365E-8</v>
      </c>
    </row>
    <row r="388" spans="1:3" x14ac:dyDescent="0.3">
      <c r="A388" s="5">
        <v>0.66780092592592588</v>
      </c>
      <c r="B388">
        <v>44.6</v>
      </c>
      <c r="C388">
        <f t="shared" si="6"/>
        <v>2.2387211385683365E-8</v>
      </c>
    </row>
    <row r="389" spans="1:3" x14ac:dyDescent="0.3">
      <c r="A389" s="5">
        <v>0.66814814814814816</v>
      </c>
      <c r="B389">
        <v>44.6</v>
      </c>
      <c r="C389">
        <f t="shared" si="6"/>
        <v>2.2387211385683365E-8</v>
      </c>
    </row>
    <row r="390" spans="1:3" x14ac:dyDescent="0.3">
      <c r="A390" s="5">
        <v>0.66849537037037032</v>
      </c>
      <c r="B390">
        <v>44.5</v>
      </c>
      <c r="C390">
        <f t="shared" si="6"/>
        <v>2.1877616239495494E-8</v>
      </c>
    </row>
    <row r="391" spans="1:3" x14ac:dyDescent="0.3">
      <c r="A391" s="5">
        <v>0.6688425925925926</v>
      </c>
      <c r="B391">
        <v>44.5</v>
      </c>
      <c r="C391">
        <f t="shared" si="6"/>
        <v>2.1877616239495494E-8</v>
      </c>
    </row>
    <row r="392" spans="1:3" x14ac:dyDescent="0.3">
      <c r="A392" s="5">
        <v>0.66918981481481477</v>
      </c>
      <c r="B392">
        <v>44.5</v>
      </c>
      <c r="C392">
        <f t="shared" si="6"/>
        <v>2.1877616239495494E-8</v>
      </c>
    </row>
    <row r="393" spans="1:3" x14ac:dyDescent="0.3">
      <c r="A393" s="5">
        <v>0.66953703703703704</v>
      </c>
      <c r="B393">
        <v>44.4</v>
      </c>
      <c r="C393">
        <f t="shared" si="6"/>
        <v>2.1379620895022368E-8</v>
      </c>
    </row>
    <row r="394" spans="1:3" x14ac:dyDescent="0.3">
      <c r="A394" s="5">
        <v>0.66988425925925921</v>
      </c>
      <c r="B394">
        <v>44.3</v>
      </c>
      <c r="C394">
        <f t="shared" si="6"/>
        <v>2.0892961308540368E-8</v>
      </c>
    </row>
    <row r="395" spans="1:3" x14ac:dyDescent="0.3">
      <c r="A395" s="5">
        <v>0.67023148148148148</v>
      </c>
      <c r="B395">
        <v>44.3</v>
      </c>
      <c r="C395">
        <f t="shared" si="6"/>
        <v>2.0892961308540368E-8</v>
      </c>
    </row>
    <row r="396" spans="1:3" x14ac:dyDescent="0.3">
      <c r="A396" s="5">
        <v>0.67057870370370365</v>
      </c>
      <c r="B396">
        <v>44.2</v>
      </c>
      <c r="C396">
        <f t="shared" si="6"/>
        <v>2.0417379446695271E-8</v>
      </c>
    </row>
    <row r="397" spans="1:3" x14ac:dyDescent="0.3">
      <c r="A397" s="5">
        <v>0.67092592592592593</v>
      </c>
      <c r="B397">
        <v>44.2</v>
      </c>
      <c r="C397">
        <f t="shared" si="6"/>
        <v>2.0417379446695271E-8</v>
      </c>
    </row>
    <row r="398" spans="1:3" x14ac:dyDescent="0.3">
      <c r="A398" s="5">
        <v>0.6712731481481482</v>
      </c>
      <c r="B398">
        <v>44.1</v>
      </c>
      <c r="C398">
        <f t="shared" si="6"/>
        <v>1.9952623149688773E-8</v>
      </c>
    </row>
    <row r="399" spans="1:3" x14ac:dyDescent="0.3">
      <c r="A399" s="5">
        <v>0.67162037037037037</v>
      </c>
      <c r="B399">
        <v>44.1</v>
      </c>
      <c r="C399">
        <f t="shared" si="6"/>
        <v>1.9952623149688773E-8</v>
      </c>
    </row>
    <row r="400" spans="1:3" x14ac:dyDescent="0.3">
      <c r="A400" s="5">
        <v>0.67196759259259264</v>
      </c>
      <c r="B400">
        <v>44</v>
      </c>
      <c r="C400">
        <f t="shared" si="6"/>
        <v>1.9498445997580434E-8</v>
      </c>
    </row>
    <row r="401" spans="1:3" x14ac:dyDescent="0.3">
      <c r="A401" s="5">
        <v>0.67231481481481481</v>
      </c>
      <c r="B401">
        <v>43.9</v>
      </c>
      <c r="C401">
        <f t="shared" si="6"/>
        <v>1.9054607179632522E-8</v>
      </c>
    </row>
    <row r="402" spans="1:3" x14ac:dyDescent="0.3">
      <c r="A402" s="5">
        <v>0.67266203703703709</v>
      </c>
      <c r="B402">
        <v>43.9</v>
      </c>
      <c r="C402">
        <f t="shared" si="6"/>
        <v>1.9054607179632522E-8</v>
      </c>
    </row>
    <row r="403" spans="1:3" x14ac:dyDescent="0.3">
      <c r="A403" s="5">
        <v>0.67300925925925925</v>
      </c>
      <c r="B403">
        <v>43.8</v>
      </c>
      <c r="C403">
        <f t="shared" si="6"/>
        <v>1.8620871366628663E-8</v>
      </c>
    </row>
    <row r="404" spans="1:3" x14ac:dyDescent="0.3">
      <c r="A404" s="5">
        <v>0.67335648148148153</v>
      </c>
      <c r="B404">
        <v>43.8</v>
      </c>
      <c r="C404">
        <f t="shared" si="6"/>
        <v>1.8620871366628663E-8</v>
      </c>
    </row>
    <row r="405" spans="1:3" x14ac:dyDescent="0.3">
      <c r="A405" s="5">
        <v>0.67370370370370369</v>
      </c>
      <c r="B405">
        <v>43.7</v>
      </c>
      <c r="C405">
        <f t="shared" si="6"/>
        <v>1.8197008586099822E-8</v>
      </c>
    </row>
    <row r="406" spans="1:3" x14ac:dyDescent="0.3">
      <c r="A406" s="5">
        <v>0.67405092592592597</v>
      </c>
      <c r="B406">
        <v>43.6</v>
      </c>
      <c r="C406">
        <f t="shared" si="6"/>
        <v>1.7782794100389218E-8</v>
      </c>
    </row>
    <row r="407" spans="1:3" x14ac:dyDescent="0.3">
      <c r="A407" s="5">
        <v>0.67439814814814814</v>
      </c>
      <c r="B407">
        <v>43.5</v>
      </c>
      <c r="C407">
        <f t="shared" si="6"/>
        <v>1.7378008287493747E-8</v>
      </c>
    </row>
    <row r="408" spans="1:3" x14ac:dyDescent="0.3">
      <c r="A408" s="5">
        <v>0.67474537037037041</v>
      </c>
      <c r="B408">
        <v>43.5</v>
      </c>
      <c r="C408">
        <f t="shared" si="6"/>
        <v>1.7378008287493747E-8</v>
      </c>
    </row>
    <row r="409" spans="1:3" x14ac:dyDescent="0.3">
      <c r="A409" s="5">
        <v>0.67509259259259258</v>
      </c>
      <c r="B409">
        <v>43.4</v>
      </c>
      <c r="C409">
        <f t="shared" si="6"/>
        <v>1.6982436524617439E-8</v>
      </c>
    </row>
    <row r="410" spans="1:3" x14ac:dyDescent="0.3">
      <c r="A410" s="2" t="s">
        <v>66</v>
      </c>
      <c r="C410">
        <f>SUM(C240:C409)</f>
        <v>67.371624535537876</v>
      </c>
    </row>
    <row r="412" spans="1:3" x14ac:dyDescent="0.3">
      <c r="A412" s="2" t="s">
        <v>67</v>
      </c>
      <c r="C412">
        <f>30/60*C410</f>
        <v>33.685812267768938</v>
      </c>
    </row>
    <row r="414" spans="1:3" x14ac:dyDescent="0.3">
      <c r="A414" s="2" t="s">
        <v>70</v>
      </c>
    </row>
    <row r="415" spans="1:3" x14ac:dyDescent="0.3">
      <c r="A415" s="2" t="s">
        <v>63</v>
      </c>
      <c r="B415" s="2" t="s">
        <v>64</v>
      </c>
      <c r="C415" s="2" t="s">
        <v>65</v>
      </c>
    </row>
    <row r="416" spans="1:3" x14ac:dyDescent="0.3">
      <c r="A416" s="5">
        <v>0.66609953703703706</v>
      </c>
      <c r="B416">
        <v>34.700000000000003</v>
      </c>
      <c r="C416">
        <f>10^((B416-121.1)/10)</f>
        <v>2.2908676527677749E-9</v>
      </c>
    </row>
    <row r="417" spans="1:3" x14ac:dyDescent="0.3">
      <c r="A417" s="5">
        <v>0.66645833333333337</v>
      </c>
      <c r="B417">
        <v>34.700000000000003</v>
      </c>
      <c r="C417">
        <f t="shared" ref="C417:C480" si="7">10^((B417-121.1)/10)</f>
        <v>2.2908676527677749E-9</v>
      </c>
    </row>
    <row r="418" spans="1:3" x14ac:dyDescent="0.3">
      <c r="A418" s="5">
        <v>0.66680555555555554</v>
      </c>
      <c r="B418">
        <v>34.700000000000003</v>
      </c>
      <c r="C418">
        <f t="shared" si="7"/>
        <v>2.2908676527677749E-9</v>
      </c>
    </row>
    <row r="419" spans="1:3" x14ac:dyDescent="0.3">
      <c r="A419" s="5">
        <v>0.66714120370370367</v>
      </c>
      <c r="B419">
        <v>34.700000000000003</v>
      </c>
      <c r="C419">
        <f t="shared" si="7"/>
        <v>2.2908676527677749E-9</v>
      </c>
    </row>
    <row r="420" spans="1:3" x14ac:dyDescent="0.3">
      <c r="A420" s="5">
        <v>0.66748842592592594</v>
      </c>
      <c r="B420">
        <v>34.700000000000003</v>
      </c>
      <c r="C420">
        <f t="shared" si="7"/>
        <v>2.2908676527677749E-9</v>
      </c>
    </row>
    <row r="421" spans="1:3" x14ac:dyDescent="0.3">
      <c r="A421" s="5">
        <v>0.66783564814814811</v>
      </c>
      <c r="B421">
        <v>34.700000000000003</v>
      </c>
      <c r="C421">
        <f t="shared" si="7"/>
        <v>2.2908676527677749E-9</v>
      </c>
    </row>
    <row r="422" spans="1:3" x14ac:dyDescent="0.3">
      <c r="A422" s="5">
        <v>0.66818287037037039</v>
      </c>
      <c r="B422">
        <v>34.700000000000003</v>
      </c>
      <c r="C422">
        <f t="shared" si="7"/>
        <v>2.2908676527677749E-9</v>
      </c>
    </row>
    <row r="423" spans="1:3" x14ac:dyDescent="0.3">
      <c r="A423" s="5">
        <v>0.6685416666666667</v>
      </c>
      <c r="B423">
        <v>34.700000000000003</v>
      </c>
      <c r="C423">
        <f t="shared" si="7"/>
        <v>2.2908676527677749E-9</v>
      </c>
    </row>
    <row r="424" spans="1:3" x14ac:dyDescent="0.3">
      <c r="A424" s="5">
        <v>0.66887731481481483</v>
      </c>
      <c r="B424">
        <v>34.700000000000003</v>
      </c>
      <c r="C424">
        <f t="shared" si="7"/>
        <v>2.2908676527677749E-9</v>
      </c>
    </row>
    <row r="425" spans="1:3" x14ac:dyDescent="0.3">
      <c r="A425" s="5">
        <v>0.66922453703703699</v>
      </c>
      <c r="B425">
        <v>34.700000000000003</v>
      </c>
      <c r="C425">
        <f t="shared" si="7"/>
        <v>2.2908676527677749E-9</v>
      </c>
    </row>
    <row r="426" spans="1:3" x14ac:dyDescent="0.3">
      <c r="A426" s="5">
        <v>0.66958333333333331</v>
      </c>
      <c r="B426">
        <v>35</v>
      </c>
      <c r="C426">
        <f t="shared" si="7"/>
        <v>2.4547089156850316E-9</v>
      </c>
    </row>
    <row r="427" spans="1:3" x14ac:dyDescent="0.3">
      <c r="A427" s="5">
        <v>0.66991898148148143</v>
      </c>
      <c r="B427">
        <v>35.4</v>
      </c>
      <c r="C427">
        <f t="shared" si="7"/>
        <v>2.6915348039269159E-9</v>
      </c>
    </row>
    <row r="428" spans="1:3" x14ac:dyDescent="0.3">
      <c r="A428" s="5">
        <v>0.67026620370370371</v>
      </c>
      <c r="B428">
        <v>36.9</v>
      </c>
      <c r="C428">
        <f t="shared" si="7"/>
        <v>3.8018939632056208E-9</v>
      </c>
    </row>
    <row r="429" spans="1:3" x14ac:dyDescent="0.3">
      <c r="A429" s="5">
        <v>0.67062500000000003</v>
      </c>
      <c r="B429">
        <v>41.5</v>
      </c>
      <c r="C429">
        <f t="shared" si="7"/>
        <v>1.0964781961431866E-8</v>
      </c>
    </row>
    <row r="430" spans="1:3" x14ac:dyDescent="0.3">
      <c r="A430" s="5">
        <v>0.67097222222222219</v>
      </c>
      <c r="B430">
        <v>46.7</v>
      </c>
      <c r="C430">
        <f t="shared" si="7"/>
        <v>3.6307805477010135E-8</v>
      </c>
    </row>
    <row r="431" spans="1:3" x14ac:dyDescent="0.3">
      <c r="A431" s="5">
        <v>0.67131944444444447</v>
      </c>
      <c r="B431">
        <v>53.4</v>
      </c>
      <c r="C431">
        <f t="shared" si="7"/>
        <v>1.6982436524617456E-7</v>
      </c>
    </row>
    <row r="432" spans="1:3" x14ac:dyDescent="0.3">
      <c r="A432" s="5">
        <v>0.6716550925925926</v>
      </c>
      <c r="B432">
        <v>58.3</v>
      </c>
      <c r="C432">
        <f t="shared" si="7"/>
        <v>5.2480746024977233E-7</v>
      </c>
    </row>
    <row r="433" spans="1:3" x14ac:dyDescent="0.3">
      <c r="A433" s="5">
        <v>0.67200231481481476</v>
      </c>
      <c r="B433">
        <v>63.3</v>
      </c>
      <c r="C433">
        <f t="shared" si="7"/>
        <v>1.6595869074375609E-6</v>
      </c>
    </row>
    <row r="434" spans="1:3" x14ac:dyDescent="0.3">
      <c r="A434" s="5">
        <v>0.67234953703703704</v>
      </c>
      <c r="B434">
        <v>66.2</v>
      </c>
      <c r="C434">
        <f t="shared" si="7"/>
        <v>3.2359365692962856E-6</v>
      </c>
    </row>
    <row r="435" spans="1:3" x14ac:dyDescent="0.3">
      <c r="A435" s="5">
        <v>0.67270833333333335</v>
      </c>
      <c r="B435">
        <v>71.400000000000006</v>
      </c>
      <c r="C435">
        <f t="shared" si="7"/>
        <v>1.0715193052376079E-5</v>
      </c>
    </row>
    <row r="436" spans="1:3" x14ac:dyDescent="0.3">
      <c r="A436" s="5">
        <v>0.67305555555555552</v>
      </c>
      <c r="B436">
        <v>76.400000000000006</v>
      </c>
      <c r="C436">
        <f t="shared" si="7"/>
        <v>3.3884415613920317E-5</v>
      </c>
    </row>
    <row r="437" spans="1:3" x14ac:dyDescent="0.3">
      <c r="A437" s="5">
        <v>0.67340277777777779</v>
      </c>
      <c r="B437">
        <v>80.400000000000006</v>
      </c>
      <c r="C437">
        <f t="shared" si="7"/>
        <v>8.5113803820237934E-5</v>
      </c>
    </row>
    <row r="438" spans="1:3" x14ac:dyDescent="0.3">
      <c r="A438" s="5">
        <v>0.67374999999999996</v>
      </c>
      <c r="B438">
        <v>83.1</v>
      </c>
      <c r="C438">
        <f t="shared" si="7"/>
        <v>1.584893192461112E-4</v>
      </c>
    </row>
    <row r="439" spans="1:3" x14ac:dyDescent="0.3">
      <c r="A439" s="5">
        <v>0.6740856481481482</v>
      </c>
      <c r="B439">
        <v>84.5</v>
      </c>
      <c r="C439">
        <f t="shared" si="7"/>
        <v>2.1877616239495551E-4</v>
      </c>
    </row>
    <row r="440" spans="1:3" x14ac:dyDescent="0.3">
      <c r="A440" s="5">
        <v>0.6744444444444444</v>
      </c>
      <c r="B440">
        <v>86.4</v>
      </c>
      <c r="C440">
        <f t="shared" si="7"/>
        <v>3.3884415613920328E-4</v>
      </c>
    </row>
    <row r="441" spans="1:3" x14ac:dyDescent="0.3">
      <c r="A441" s="5">
        <v>0.67479166666666668</v>
      </c>
      <c r="B441">
        <v>87.9</v>
      </c>
      <c r="C441">
        <f t="shared" si="7"/>
        <v>4.7863009232263908E-4</v>
      </c>
    </row>
    <row r="442" spans="1:3" x14ac:dyDescent="0.3">
      <c r="A442" s="5">
        <v>0.67513888888888884</v>
      </c>
      <c r="B442">
        <v>88.6</v>
      </c>
      <c r="C442">
        <f t="shared" si="7"/>
        <v>5.6234132519034856E-4</v>
      </c>
    </row>
    <row r="443" spans="1:3" x14ac:dyDescent="0.3">
      <c r="A443" s="5">
        <v>0.67548611111111112</v>
      </c>
      <c r="B443">
        <v>88.9</v>
      </c>
      <c r="C443">
        <f t="shared" si="7"/>
        <v>6.025595860743592E-4</v>
      </c>
    </row>
    <row r="444" spans="1:3" x14ac:dyDescent="0.3">
      <c r="A444" s="5">
        <v>0.67583333333333329</v>
      </c>
      <c r="B444">
        <v>90.6</v>
      </c>
      <c r="C444">
        <f t="shared" si="7"/>
        <v>8.9125093813374539E-4</v>
      </c>
    </row>
    <row r="445" spans="1:3" x14ac:dyDescent="0.3">
      <c r="A445" s="5">
        <v>0.67616898148148152</v>
      </c>
      <c r="B445">
        <v>91.7</v>
      </c>
      <c r="C445">
        <f t="shared" si="7"/>
        <v>1.1481536214968844E-3</v>
      </c>
    </row>
    <row r="446" spans="1:3" x14ac:dyDescent="0.3">
      <c r="A446" s="5">
        <v>0.67652777777777773</v>
      </c>
      <c r="B446">
        <v>92.3</v>
      </c>
      <c r="C446">
        <f t="shared" si="7"/>
        <v>1.3182567385564071E-3</v>
      </c>
    </row>
    <row r="447" spans="1:3" x14ac:dyDescent="0.3">
      <c r="A447" s="5">
        <v>0.67686342592592597</v>
      </c>
      <c r="B447">
        <v>92.6</v>
      </c>
      <c r="C447">
        <f t="shared" si="7"/>
        <v>1.4125375446227527E-3</v>
      </c>
    </row>
    <row r="448" spans="1:3" x14ac:dyDescent="0.3">
      <c r="A448" s="5">
        <v>0.67722222222222217</v>
      </c>
      <c r="B448">
        <v>93.3</v>
      </c>
      <c r="C448">
        <f t="shared" si="7"/>
        <v>1.6595869074375606E-3</v>
      </c>
    </row>
    <row r="449" spans="1:3" x14ac:dyDescent="0.3">
      <c r="A449" s="5">
        <v>0.67755787037037041</v>
      </c>
      <c r="B449">
        <v>93.3</v>
      </c>
      <c r="C449">
        <f t="shared" si="7"/>
        <v>1.6595869074375606E-3</v>
      </c>
    </row>
    <row r="450" spans="1:3" x14ac:dyDescent="0.3">
      <c r="A450" s="5">
        <v>0.67791666666666661</v>
      </c>
      <c r="B450">
        <v>93.8</v>
      </c>
      <c r="C450">
        <f t="shared" si="7"/>
        <v>1.862087136662868E-3</v>
      </c>
    </row>
    <row r="451" spans="1:3" x14ac:dyDescent="0.3">
      <c r="A451" s="5">
        <v>0.67825231481481485</v>
      </c>
      <c r="B451">
        <v>93.9</v>
      </c>
      <c r="C451">
        <f t="shared" si="7"/>
        <v>1.905460717963251E-3</v>
      </c>
    </row>
    <row r="452" spans="1:3" x14ac:dyDescent="0.3">
      <c r="A452" s="5">
        <v>0.67859953703703701</v>
      </c>
      <c r="B452">
        <v>93</v>
      </c>
      <c r="C452">
        <f t="shared" si="7"/>
        <v>1.5488166189124818E-3</v>
      </c>
    </row>
    <row r="453" spans="1:3" x14ac:dyDescent="0.3">
      <c r="A453" s="5">
        <v>0.67894675925925929</v>
      </c>
      <c r="B453">
        <v>96.2</v>
      </c>
      <c r="C453">
        <f t="shared" si="7"/>
        <v>3.2359365692962846E-3</v>
      </c>
    </row>
    <row r="454" spans="1:3" x14ac:dyDescent="0.3">
      <c r="A454" s="5">
        <v>0.67930555555555561</v>
      </c>
      <c r="B454">
        <v>99.2</v>
      </c>
      <c r="C454">
        <f t="shared" si="7"/>
        <v>6.4565422903465645E-3</v>
      </c>
    </row>
    <row r="455" spans="1:3" x14ac:dyDescent="0.3">
      <c r="A455" s="5">
        <v>0.67965277777777777</v>
      </c>
      <c r="B455">
        <v>102.1</v>
      </c>
      <c r="C455">
        <f t="shared" si="7"/>
        <v>1.2589254117941664E-2</v>
      </c>
    </row>
    <row r="456" spans="1:3" x14ac:dyDescent="0.3">
      <c r="A456" s="5">
        <v>0.68</v>
      </c>
      <c r="B456">
        <v>104.1</v>
      </c>
      <c r="C456">
        <f t="shared" si="7"/>
        <v>1.9952623149688792E-2</v>
      </c>
    </row>
    <row r="457" spans="1:3" x14ac:dyDescent="0.3">
      <c r="A457" s="5">
        <v>0.68033564814814818</v>
      </c>
      <c r="B457">
        <v>106.7</v>
      </c>
      <c r="C457">
        <f t="shared" si="7"/>
        <v>3.6307805477010201E-2</v>
      </c>
    </row>
    <row r="458" spans="1:3" x14ac:dyDescent="0.3">
      <c r="A458" s="5">
        <v>0.68068287037037034</v>
      </c>
      <c r="B458">
        <v>106</v>
      </c>
      <c r="C458">
        <f t="shared" si="7"/>
        <v>3.0902954325135939E-2</v>
      </c>
    </row>
    <row r="459" spans="1:3" x14ac:dyDescent="0.3">
      <c r="A459" s="5">
        <v>0.68103009259259262</v>
      </c>
      <c r="B459">
        <v>107.3</v>
      </c>
      <c r="C459">
        <f t="shared" si="7"/>
        <v>4.1686938347033554E-2</v>
      </c>
    </row>
    <row r="460" spans="1:3" x14ac:dyDescent="0.3">
      <c r="A460" s="5">
        <v>0.68138888888888893</v>
      </c>
      <c r="B460">
        <v>110.3</v>
      </c>
      <c r="C460">
        <f t="shared" si="7"/>
        <v>8.3176377110267152E-2</v>
      </c>
    </row>
    <row r="461" spans="1:3" x14ac:dyDescent="0.3">
      <c r="A461" s="5">
        <v>0.6817361111111111</v>
      </c>
      <c r="B461">
        <v>113</v>
      </c>
      <c r="C461">
        <f t="shared" si="7"/>
        <v>0.15488166189124833</v>
      </c>
    </row>
    <row r="462" spans="1:3" x14ac:dyDescent="0.3">
      <c r="A462" s="5">
        <v>0.68208333333333337</v>
      </c>
      <c r="B462">
        <v>115</v>
      </c>
      <c r="C462">
        <f t="shared" si="7"/>
        <v>0.2454708915685033</v>
      </c>
    </row>
    <row r="463" spans="1:3" x14ac:dyDescent="0.3">
      <c r="A463" s="5">
        <v>0.68243055555555554</v>
      </c>
      <c r="B463">
        <v>116.9</v>
      </c>
      <c r="C463">
        <f t="shared" si="7"/>
        <v>0.38018939632056215</v>
      </c>
    </row>
    <row r="464" spans="1:3" x14ac:dyDescent="0.3">
      <c r="A464" s="5">
        <v>0.68277777777777782</v>
      </c>
      <c r="B464">
        <v>118.6</v>
      </c>
      <c r="C464">
        <f t="shared" si="7"/>
        <v>0.56234132519034907</v>
      </c>
    </row>
    <row r="465" spans="1:3" x14ac:dyDescent="0.3">
      <c r="A465" s="5">
        <v>0.68312499999999998</v>
      </c>
      <c r="B465">
        <v>120.7</v>
      </c>
      <c r="C465">
        <f t="shared" si="7"/>
        <v>0.91201083935591154</v>
      </c>
    </row>
    <row r="466" spans="1:3" x14ac:dyDescent="0.3">
      <c r="A466" s="5">
        <v>0.68346064814814811</v>
      </c>
      <c r="B466">
        <v>118.5</v>
      </c>
      <c r="C466">
        <f t="shared" si="7"/>
        <v>0.54954087385762518</v>
      </c>
    </row>
    <row r="467" spans="1:3" x14ac:dyDescent="0.3">
      <c r="A467" s="5">
        <v>0.68381944444444442</v>
      </c>
      <c r="B467">
        <v>118.2</v>
      </c>
      <c r="C467">
        <f t="shared" si="7"/>
        <v>0.51286138399136583</v>
      </c>
    </row>
    <row r="468" spans="1:3" x14ac:dyDescent="0.3">
      <c r="A468" s="5">
        <v>0.6841666666666667</v>
      </c>
      <c r="B468">
        <v>118.6</v>
      </c>
      <c r="C468">
        <f t="shared" si="7"/>
        <v>0.56234132519034907</v>
      </c>
    </row>
    <row r="469" spans="1:3" x14ac:dyDescent="0.3">
      <c r="A469" s="6">
        <v>0.68451388888888887</v>
      </c>
      <c r="B469" s="7">
        <v>121.5</v>
      </c>
      <c r="C469" s="7">
        <f t="shared" si="7"/>
        <v>1.0964781961431864</v>
      </c>
    </row>
    <row r="470" spans="1:3" x14ac:dyDescent="0.3">
      <c r="A470" s="6">
        <v>0.68486111111111114</v>
      </c>
      <c r="B470" s="7">
        <v>124.1</v>
      </c>
      <c r="C470" s="7">
        <f t="shared" si="7"/>
        <v>1.9952623149688797</v>
      </c>
    </row>
    <row r="471" spans="1:3" x14ac:dyDescent="0.3">
      <c r="A471" s="6">
        <v>0.68519675925925927</v>
      </c>
      <c r="B471" s="7">
        <v>120.9</v>
      </c>
      <c r="C471" s="7">
        <f t="shared" si="7"/>
        <v>0.95499258602143855</v>
      </c>
    </row>
    <row r="472" spans="1:3" x14ac:dyDescent="0.3">
      <c r="A472" s="6">
        <v>0.68555555555555558</v>
      </c>
      <c r="B472" s="7">
        <v>122.6</v>
      </c>
      <c r="C472" s="7">
        <f t="shared" si="7"/>
        <v>1.4125375446227544</v>
      </c>
    </row>
    <row r="473" spans="1:3" x14ac:dyDescent="0.3">
      <c r="A473" s="6">
        <v>0.68590277777777775</v>
      </c>
      <c r="B473" s="7">
        <v>124.7</v>
      </c>
      <c r="C473" s="7">
        <f t="shared" si="7"/>
        <v>2.290867652767778</v>
      </c>
    </row>
    <row r="474" spans="1:3" x14ac:dyDescent="0.3">
      <c r="A474" s="6">
        <v>0.68625000000000003</v>
      </c>
      <c r="B474" s="7">
        <v>120.7</v>
      </c>
      <c r="C474" s="7">
        <f t="shared" si="7"/>
        <v>0.91201083935591154</v>
      </c>
    </row>
    <row r="475" spans="1:3" x14ac:dyDescent="0.3">
      <c r="A475" s="6">
        <v>0.68659722222222219</v>
      </c>
      <c r="B475" s="7">
        <v>123.5</v>
      </c>
      <c r="C475" s="7">
        <f t="shared" si="7"/>
        <v>1.7378008287493778</v>
      </c>
    </row>
    <row r="476" spans="1:3" x14ac:dyDescent="0.3">
      <c r="A476" s="6">
        <v>0.68694444444444447</v>
      </c>
      <c r="B476" s="7">
        <v>123.2</v>
      </c>
      <c r="C476" s="7">
        <f t="shared" si="7"/>
        <v>1.6218100973589331</v>
      </c>
    </row>
    <row r="477" spans="1:3" x14ac:dyDescent="0.3">
      <c r="A477" s="6">
        <v>0.6872800925925926</v>
      </c>
      <c r="B477" s="7">
        <v>121.6</v>
      </c>
      <c r="C477" s="7">
        <f t="shared" si="7"/>
        <v>1.1220184543019636</v>
      </c>
    </row>
    <row r="478" spans="1:3" x14ac:dyDescent="0.3">
      <c r="A478" s="6">
        <v>0.68763888888888891</v>
      </c>
      <c r="B478" s="7">
        <v>124.5</v>
      </c>
      <c r="C478" s="7">
        <f t="shared" si="7"/>
        <v>2.1877616239495556</v>
      </c>
    </row>
    <row r="479" spans="1:3" x14ac:dyDescent="0.3">
      <c r="A479" s="6">
        <v>0.68798611111111108</v>
      </c>
      <c r="B479" s="7">
        <v>121.8</v>
      </c>
      <c r="C479" s="7">
        <f t="shared" si="7"/>
        <v>1.1748975549395304</v>
      </c>
    </row>
    <row r="480" spans="1:3" x14ac:dyDescent="0.3">
      <c r="A480" s="6">
        <v>0.68833333333333335</v>
      </c>
      <c r="B480" s="7">
        <v>122.1</v>
      </c>
      <c r="C480" s="7">
        <f t="shared" si="7"/>
        <v>1.2589254117941673</v>
      </c>
    </row>
    <row r="481" spans="1:3" x14ac:dyDescent="0.3">
      <c r="A481" s="6">
        <v>0.68866898148148148</v>
      </c>
      <c r="B481" s="7">
        <v>124.6</v>
      </c>
      <c r="C481" s="7">
        <f t="shared" ref="C481:C537" si="8">10^((B481-121.1)/10)</f>
        <v>2.2387211385683394</v>
      </c>
    </row>
    <row r="482" spans="1:3" x14ac:dyDescent="0.3">
      <c r="A482" s="6">
        <v>0.68901620370370376</v>
      </c>
      <c r="B482" s="7">
        <v>120.3</v>
      </c>
      <c r="C482" s="7">
        <f t="shared" si="8"/>
        <v>0.83176377110267163</v>
      </c>
    </row>
    <row r="483" spans="1:3" x14ac:dyDescent="0.3">
      <c r="A483" s="6">
        <v>0.68936342592592592</v>
      </c>
      <c r="B483" s="7">
        <v>123</v>
      </c>
      <c r="C483" s="7">
        <f t="shared" si="8"/>
        <v>1.5488166189124835</v>
      </c>
    </row>
    <row r="484" spans="1:3" x14ac:dyDescent="0.3">
      <c r="A484" s="6">
        <v>0.68972222222222224</v>
      </c>
      <c r="B484" s="7">
        <v>124.6</v>
      </c>
      <c r="C484" s="7">
        <f t="shared" si="8"/>
        <v>2.2387211385683394</v>
      </c>
    </row>
    <row r="485" spans="1:3" x14ac:dyDescent="0.3">
      <c r="A485" s="6">
        <v>0.69005787037037036</v>
      </c>
      <c r="B485" s="7">
        <v>121.1</v>
      </c>
      <c r="C485" s="7">
        <f t="shared" si="8"/>
        <v>1</v>
      </c>
    </row>
    <row r="486" spans="1:3" x14ac:dyDescent="0.3">
      <c r="A486" s="6">
        <v>0.69041666666666668</v>
      </c>
      <c r="B486" s="7">
        <v>124.5</v>
      </c>
      <c r="C486" s="7">
        <f t="shared" si="8"/>
        <v>2.1877616239495556</v>
      </c>
    </row>
    <row r="487" spans="1:3" x14ac:dyDescent="0.3">
      <c r="A487" s="6">
        <v>0.69076388888888884</v>
      </c>
      <c r="B487" s="7">
        <v>121</v>
      </c>
      <c r="C487" s="7">
        <f t="shared" si="8"/>
        <v>0.977237220955812</v>
      </c>
    </row>
    <row r="488" spans="1:3" x14ac:dyDescent="0.3">
      <c r="A488" s="6">
        <v>0.69111111111111112</v>
      </c>
      <c r="B488" s="7">
        <v>122.3</v>
      </c>
      <c r="C488" s="7">
        <f t="shared" si="8"/>
        <v>1.3182567385564079</v>
      </c>
    </row>
    <row r="489" spans="1:3" x14ac:dyDescent="0.3">
      <c r="A489" s="6">
        <v>0.69145833333333329</v>
      </c>
      <c r="B489" s="7">
        <v>122.3</v>
      </c>
      <c r="C489" s="7">
        <f t="shared" si="8"/>
        <v>1.3182567385564079</v>
      </c>
    </row>
    <row r="490" spans="1:3" x14ac:dyDescent="0.3">
      <c r="A490" s="6">
        <v>0.69180555555555556</v>
      </c>
      <c r="B490" s="7">
        <v>121.3</v>
      </c>
      <c r="C490" s="7">
        <f t="shared" si="8"/>
        <v>1.0471285480509003</v>
      </c>
    </row>
    <row r="491" spans="1:3" x14ac:dyDescent="0.3">
      <c r="A491" s="6">
        <v>0.69215277777777773</v>
      </c>
      <c r="B491" s="7">
        <v>124</v>
      </c>
      <c r="C491" s="7">
        <f t="shared" si="8"/>
        <v>1.9498445997580482</v>
      </c>
    </row>
    <row r="492" spans="1:3" x14ac:dyDescent="0.3">
      <c r="A492" s="6">
        <v>0.6925</v>
      </c>
      <c r="B492" s="7">
        <v>121.1</v>
      </c>
      <c r="C492" s="7">
        <f t="shared" si="8"/>
        <v>1</v>
      </c>
    </row>
    <row r="493" spans="1:3" x14ac:dyDescent="0.3">
      <c r="A493" s="6">
        <v>0.69283564814814813</v>
      </c>
      <c r="B493" s="7">
        <v>122.4</v>
      </c>
      <c r="C493" s="7">
        <f t="shared" si="8"/>
        <v>1.3489628825916571</v>
      </c>
    </row>
    <row r="494" spans="1:3" x14ac:dyDescent="0.3">
      <c r="A494" s="6">
        <v>0.69319444444444445</v>
      </c>
      <c r="B494" s="7">
        <v>123.8</v>
      </c>
      <c r="C494" s="7">
        <f t="shared" si="8"/>
        <v>1.8620871366628688</v>
      </c>
    </row>
    <row r="495" spans="1:3" x14ac:dyDescent="0.3">
      <c r="A495" s="6">
        <v>0.69354166666666661</v>
      </c>
      <c r="B495" s="7">
        <v>120.6</v>
      </c>
      <c r="C495" s="7">
        <f t="shared" si="8"/>
        <v>0.89125093813374545</v>
      </c>
    </row>
    <row r="496" spans="1:3" x14ac:dyDescent="0.3">
      <c r="A496" s="6">
        <v>0.69388888888888889</v>
      </c>
      <c r="B496" s="7">
        <v>120.5</v>
      </c>
      <c r="C496" s="7">
        <f t="shared" si="8"/>
        <v>0.87096358995608181</v>
      </c>
    </row>
    <row r="497" spans="1:3" x14ac:dyDescent="0.3">
      <c r="A497" s="5">
        <v>0.69423611111111116</v>
      </c>
      <c r="B497">
        <v>115.2</v>
      </c>
      <c r="C497">
        <f t="shared" si="8"/>
        <v>0.25703957827688678</v>
      </c>
    </row>
    <row r="498" spans="1:3" x14ac:dyDescent="0.3">
      <c r="A498" s="5">
        <v>0.69458333333333333</v>
      </c>
      <c r="B498">
        <v>112.9</v>
      </c>
      <c r="C498">
        <f t="shared" si="8"/>
        <v>0.15135612484362121</v>
      </c>
    </row>
    <row r="499" spans="1:3" x14ac:dyDescent="0.3">
      <c r="A499" s="5">
        <v>0.69493055555555561</v>
      </c>
      <c r="B499">
        <v>105.2</v>
      </c>
      <c r="C499">
        <f t="shared" si="8"/>
        <v>2.5703957827688674E-2</v>
      </c>
    </row>
    <row r="500" spans="1:3" x14ac:dyDescent="0.3">
      <c r="A500" s="5">
        <v>0.69527777777777777</v>
      </c>
      <c r="B500">
        <v>87.7</v>
      </c>
      <c r="C500">
        <f t="shared" si="8"/>
        <v>4.5708818961487586E-4</v>
      </c>
    </row>
    <row r="501" spans="1:3" x14ac:dyDescent="0.3">
      <c r="A501" s="5">
        <v>0.69562500000000005</v>
      </c>
      <c r="B501">
        <v>81.8</v>
      </c>
      <c r="C501">
        <f t="shared" si="8"/>
        <v>1.1748975549395299E-4</v>
      </c>
    </row>
    <row r="502" spans="1:3" x14ac:dyDescent="0.3">
      <c r="A502" s="5">
        <v>0.69597222222222221</v>
      </c>
      <c r="B502">
        <v>77.7</v>
      </c>
      <c r="C502">
        <f t="shared" si="8"/>
        <v>4.570881896148753E-5</v>
      </c>
    </row>
    <row r="503" spans="1:3" x14ac:dyDescent="0.3">
      <c r="A503" s="5">
        <v>0.69631944444444449</v>
      </c>
      <c r="B503">
        <v>73.900000000000006</v>
      </c>
      <c r="C503">
        <f t="shared" si="8"/>
        <v>1.9054607179632518E-5</v>
      </c>
    </row>
    <row r="504" spans="1:3" x14ac:dyDescent="0.3">
      <c r="A504" s="5">
        <v>0.69666666666666666</v>
      </c>
      <c r="B504">
        <v>70.599999999999994</v>
      </c>
      <c r="C504">
        <f t="shared" si="8"/>
        <v>8.9125093813374425E-6</v>
      </c>
    </row>
    <row r="505" spans="1:3" x14ac:dyDescent="0.3">
      <c r="A505" s="5">
        <v>0.69701388888888893</v>
      </c>
      <c r="B505">
        <v>67.599999999999994</v>
      </c>
      <c r="C505">
        <f t="shared" si="8"/>
        <v>4.4668359215096296E-6</v>
      </c>
    </row>
    <row r="506" spans="1:3" x14ac:dyDescent="0.3">
      <c r="A506" s="5">
        <v>0.6973611111111111</v>
      </c>
      <c r="B506">
        <v>65.099999999999994</v>
      </c>
      <c r="C506">
        <f t="shared" si="8"/>
        <v>2.5118864315095806E-6</v>
      </c>
    </row>
    <row r="507" spans="1:3" x14ac:dyDescent="0.3">
      <c r="A507" s="5">
        <v>0.69770833333333337</v>
      </c>
      <c r="B507">
        <v>62.9</v>
      </c>
      <c r="C507">
        <f t="shared" si="8"/>
        <v>1.5135612484362091E-6</v>
      </c>
    </row>
    <row r="508" spans="1:3" x14ac:dyDescent="0.3">
      <c r="A508" s="5">
        <v>0.69805555555555554</v>
      </c>
      <c r="B508">
        <v>61</v>
      </c>
      <c r="C508">
        <f t="shared" si="8"/>
        <v>9.7723722095580961E-7</v>
      </c>
    </row>
    <row r="509" spans="1:3" x14ac:dyDescent="0.3">
      <c r="A509" s="5">
        <v>0.69840277777777782</v>
      </c>
      <c r="B509">
        <v>59.3</v>
      </c>
      <c r="C509">
        <f t="shared" si="8"/>
        <v>6.6069344800759506E-7</v>
      </c>
    </row>
    <row r="510" spans="1:3" x14ac:dyDescent="0.3">
      <c r="A510" s="5">
        <v>0.69874999999999998</v>
      </c>
      <c r="B510">
        <v>57.6</v>
      </c>
      <c r="C510">
        <f t="shared" si="8"/>
        <v>4.4668359215096327E-7</v>
      </c>
    </row>
    <row r="511" spans="1:3" x14ac:dyDescent="0.3">
      <c r="A511" s="5">
        <v>0.69909722222222226</v>
      </c>
      <c r="B511">
        <v>56.2</v>
      </c>
      <c r="C511">
        <f t="shared" si="8"/>
        <v>3.2359365692962822E-7</v>
      </c>
    </row>
    <row r="512" spans="1:3" x14ac:dyDescent="0.3">
      <c r="A512" s="5">
        <v>0.69944444444444442</v>
      </c>
      <c r="B512">
        <v>55</v>
      </c>
      <c r="C512">
        <f t="shared" si="8"/>
        <v>2.4547089156850283E-7</v>
      </c>
    </row>
    <row r="513" spans="1:3" x14ac:dyDescent="0.3">
      <c r="A513" s="5">
        <v>0.6997916666666667</v>
      </c>
      <c r="B513">
        <v>53.8</v>
      </c>
      <c r="C513">
        <f t="shared" si="8"/>
        <v>1.8620871366628682E-7</v>
      </c>
    </row>
    <row r="514" spans="1:3" x14ac:dyDescent="0.3">
      <c r="A514" s="5">
        <v>0.70013888888888887</v>
      </c>
      <c r="B514">
        <v>53.1</v>
      </c>
      <c r="C514">
        <f t="shared" si="8"/>
        <v>1.5848931924611122E-7</v>
      </c>
    </row>
    <row r="515" spans="1:3" x14ac:dyDescent="0.3">
      <c r="A515" s="5">
        <v>0.70048611111111114</v>
      </c>
      <c r="B515">
        <v>52.7</v>
      </c>
      <c r="C515">
        <f t="shared" si="8"/>
        <v>1.4454397707459295E-7</v>
      </c>
    </row>
    <row r="516" spans="1:3" x14ac:dyDescent="0.3">
      <c r="A516" s="5">
        <v>0.70083333333333331</v>
      </c>
      <c r="B516">
        <v>52.3</v>
      </c>
      <c r="C516">
        <f t="shared" si="8"/>
        <v>1.3182567385564048E-7</v>
      </c>
    </row>
    <row r="517" spans="1:3" x14ac:dyDescent="0.3">
      <c r="A517" s="5">
        <v>0.70118055555555558</v>
      </c>
      <c r="B517">
        <v>50.1</v>
      </c>
      <c r="C517">
        <f t="shared" si="8"/>
        <v>7.943282347242818E-8</v>
      </c>
    </row>
    <row r="518" spans="1:3" x14ac:dyDescent="0.3">
      <c r="A518" s="5">
        <v>0.70152777777777775</v>
      </c>
      <c r="B518">
        <v>49.2</v>
      </c>
      <c r="C518">
        <f t="shared" si="8"/>
        <v>6.4565422903465636E-8</v>
      </c>
    </row>
    <row r="519" spans="1:3" x14ac:dyDescent="0.3">
      <c r="A519" s="5">
        <v>0.70187500000000003</v>
      </c>
      <c r="B519">
        <v>48.7</v>
      </c>
      <c r="C519">
        <f t="shared" si="8"/>
        <v>5.7543993733715791E-8</v>
      </c>
    </row>
    <row r="520" spans="1:3" x14ac:dyDescent="0.3">
      <c r="A520" s="5">
        <v>0.70222222222222219</v>
      </c>
      <c r="B520">
        <v>47.9</v>
      </c>
      <c r="C520">
        <f t="shared" si="8"/>
        <v>4.7863009232263948E-8</v>
      </c>
    </row>
    <row r="521" spans="1:3" x14ac:dyDescent="0.3">
      <c r="A521" s="5">
        <v>0.70256944444444447</v>
      </c>
      <c r="B521">
        <v>47.3</v>
      </c>
      <c r="C521">
        <f t="shared" si="8"/>
        <v>4.1686938347033516E-8</v>
      </c>
    </row>
    <row r="522" spans="1:3" x14ac:dyDescent="0.3">
      <c r="A522" s="5">
        <v>0.70291666666666663</v>
      </c>
      <c r="B522">
        <v>46.7</v>
      </c>
      <c r="C522">
        <f t="shared" si="8"/>
        <v>3.6307805477010135E-8</v>
      </c>
    </row>
    <row r="523" spans="1:3" x14ac:dyDescent="0.3">
      <c r="A523" s="5">
        <v>0.70326388888888891</v>
      </c>
      <c r="B523">
        <v>46.2</v>
      </c>
      <c r="C523">
        <f t="shared" si="8"/>
        <v>3.2359365692962842E-8</v>
      </c>
    </row>
    <row r="524" spans="1:3" x14ac:dyDescent="0.3">
      <c r="A524" s="5">
        <v>0.70361111111111108</v>
      </c>
      <c r="B524">
        <v>45.7</v>
      </c>
      <c r="C524">
        <f t="shared" si="8"/>
        <v>2.884031503126609E-8</v>
      </c>
    </row>
    <row r="525" spans="1:3" x14ac:dyDescent="0.3">
      <c r="A525" s="5">
        <v>0.70395833333333335</v>
      </c>
      <c r="B525">
        <v>45.3</v>
      </c>
      <c r="C525">
        <f t="shared" si="8"/>
        <v>2.6302679918953758E-8</v>
      </c>
    </row>
    <row r="526" spans="1:3" x14ac:dyDescent="0.3">
      <c r="A526" s="5">
        <v>0.70430555555555552</v>
      </c>
      <c r="B526">
        <v>44.9</v>
      </c>
      <c r="C526">
        <f t="shared" si="8"/>
        <v>2.3988329190194944E-8</v>
      </c>
    </row>
    <row r="527" spans="1:3" x14ac:dyDescent="0.3">
      <c r="A527" s="5">
        <v>0.70465277777777779</v>
      </c>
      <c r="B527">
        <v>44.9</v>
      </c>
      <c r="C527">
        <f t="shared" si="8"/>
        <v>2.3988329190194944E-8</v>
      </c>
    </row>
    <row r="528" spans="1:3" x14ac:dyDescent="0.3">
      <c r="A528" s="5">
        <v>0.70499999999999996</v>
      </c>
      <c r="B528">
        <v>44.8</v>
      </c>
      <c r="C528">
        <f t="shared" si="8"/>
        <v>2.3442288153199181E-8</v>
      </c>
    </row>
    <row r="529" spans="1:3" x14ac:dyDescent="0.3">
      <c r="A529" s="5">
        <v>0.70534722222222224</v>
      </c>
      <c r="B529">
        <v>44.7</v>
      </c>
      <c r="C529">
        <f t="shared" si="8"/>
        <v>2.2908676527677776E-8</v>
      </c>
    </row>
    <row r="530" spans="1:3" x14ac:dyDescent="0.3">
      <c r="A530" s="5">
        <v>0.7056944444444444</v>
      </c>
      <c r="B530">
        <v>44.7</v>
      </c>
      <c r="C530">
        <f t="shared" si="8"/>
        <v>2.2908676527677776E-8</v>
      </c>
    </row>
    <row r="531" spans="1:3" x14ac:dyDescent="0.3">
      <c r="A531" s="5">
        <v>0.70604166666666668</v>
      </c>
      <c r="B531">
        <v>44.7</v>
      </c>
      <c r="C531">
        <f t="shared" si="8"/>
        <v>2.2908676527677776E-8</v>
      </c>
    </row>
    <row r="532" spans="1:3" x14ac:dyDescent="0.3">
      <c r="A532" s="5">
        <v>0.70638888888888884</v>
      </c>
      <c r="B532">
        <v>44.8</v>
      </c>
      <c r="C532">
        <f t="shared" si="8"/>
        <v>2.3442288153199181E-8</v>
      </c>
    </row>
    <row r="533" spans="1:3" x14ac:dyDescent="0.3">
      <c r="A533" s="5">
        <v>0.70673611111111112</v>
      </c>
      <c r="B533">
        <v>45</v>
      </c>
      <c r="C533">
        <f t="shared" si="8"/>
        <v>2.4547089156850259E-8</v>
      </c>
    </row>
    <row r="534" spans="1:3" x14ac:dyDescent="0.3">
      <c r="A534" s="5">
        <v>0.70708333333333329</v>
      </c>
      <c r="B534">
        <v>45.1</v>
      </c>
      <c r="C534">
        <f t="shared" si="8"/>
        <v>2.5118864315095751E-8</v>
      </c>
    </row>
    <row r="535" spans="1:3" x14ac:dyDescent="0.3">
      <c r="A535" s="5">
        <v>0.70743055555555556</v>
      </c>
      <c r="B535">
        <v>45.1</v>
      </c>
      <c r="C535">
        <f t="shared" si="8"/>
        <v>2.5118864315095751E-8</v>
      </c>
    </row>
    <row r="536" spans="1:3" x14ac:dyDescent="0.3">
      <c r="A536" s="5">
        <v>0.70777777777777773</v>
      </c>
      <c r="B536">
        <v>45.1</v>
      </c>
      <c r="C536">
        <f t="shared" si="8"/>
        <v>2.5118864315095751E-8</v>
      </c>
    </row>
    <row r="537" spans="1:3" x14ac:dyDescent="0.3">
      <c r="A537" s="5">
        <v>0.708125</v>
      </c>
      <c r="B537">
        <v>45</v>
      </c>
      <c r="C537">
        <f t="shared" si="8"/>
        <v>2.4547089156850259E-8</v>
      </c>
    </row>
    <row r="538" spans="1:3" x14ac:dyDescent="0.3">
      <c r="A538" s="2" t="s">
        <v>66</v>
      </c>
      <c r="C538">
        <f>SUM(C416:C537)</f>
        <v>44.959743063318534</v>
      </c>
    </row>
    <row r="540" spans="1:3" x14ac:dyDescent="0.3">
      <c r="A540" s="2" t="s">
        <v>67</v>
      </c>
      <c r="C540">
        <f>30/60*C538</f>
        <v>22.479871531659267</v>
      </c>
    </row>
    <row r="542" spans="1:3" x14ac:dyDescent="0.3">
      <c r="A542" s="2" t="s">
        <v>71</v>
      </c>
    </row>
    <row r="543" spans="1:3" x14ac:dyDescent="0.3">
      <c r="A543" s="2" t="s">
        <v>63</v>
      </c>
      <c r="B543" s="2" t="s">
        <v>64</v>
      </c>
      <c r="C543" s="2" t="s">
        <v>65</v>
      </c>
    </row>
    <row r="544" spans="1:3" x14ac:dyDescent="0.3">
      <c r="A544" s="5">
        <v>0.69695601851851852</v>
      </c>
      <c r="B544">
        <v>36.9</v>
      </c>
      <c r="C544">
        <f>10^((B544-121.1)/10)</f>
        <v>3.8018939632056208E-9</v>
      </c>
    </row>
    <row r="545" spans="1:3" x14ac:dyDescent="0.3">
      <c r="A545" s="5">
        <v>0.69729166666666664</v>
      </c>
      <c r="B545">
        <v>36.4</v>
      </c>
      <c r="C545">
        <f t="shared" ref="C545:C608" si="9">10^((B545-121.1)/10)</f>
        <v>3.3884415613920228E-9</v>
      </c>
    </row>
    <row r="546" spans="1:3" x14ac:dyDescent="0.3">
      <c r="A546" s="5">
        <v>0.69763888888888892</v>
      </c>
      <c r="B546">
        <v>36.4</v>
      </c>
      <c r="C546">
        <f t="shared" si="9"/>
        <v>3.3884415613920228E-9</v>
      </c>
    </row>
    <row r="547" spans="1:3" x14ac:dyDescent="0.3">
      <c r="A547" s="5">
        <v>0.69799768518518523</v>
      </c>
      <c r="B547">
        <v>37.799999999999997</v>
      </c>
      <c r="C547">
        <f t="shared" si="9"/>
        <v>4.6773514128719724E-9</v>
      </c>
    </row>
    <row r="548" spans="1:3" x14ac:dyDescent="0.3">
      <c r="A548" s="5">
        <v>0.69833333333333336</v>
      </c>
      <c r="B548">
        <v>41.6</v>
      </c>
      <c r="C548">
        <f t="shared" si="9"/>
        <v>1.1220184543019609E-8</v>
      </c>
    </row>
    <row r="549" spans="1:3" x14ac:dyDescent="0.3">
      <c r="A549" s="5">
        <v>0.69868055555555553</v>
      </c>
      <c r="B549">
        <v>47.3</v>
      </c>
      <c r="C549">
        <f t="shared" si="9"/>
        <v>4.1686938347033516E-8</v>
      </c>
    </row>
    <row r="550" spans="1:3" x14ac:dyDescent="0.3">
      <c r="A550" s="5">
        <v>0.6990277777777778</v>
      </c>
      <c r="B550">
        <v>55.6</v>
      </c>
      <c r="C550">
        <f t="shared" si="9"/>
        <v>2.8183829312644502E-7</v>
      </c>
    </row>
    <row r="551" spans="1:3" x14ac:dyDescent="0.3">
      <c r="A551" s="5">
        <v>0.69937499999999997</v>
      </c>
      <c r="B551">
        <v>66.2</v>
      </c>
      <c r="C551">
        <f t="shared" si="9"/>
        <v>3.2359365692962856E-6</v>
      </c>
    </row>
    <row r="552" spans="1:3" x14ac:dyDescent="0.3">
      <c r="A552" s="5">
        <v>0.69973379629629628</v>
      </c>
      <c r="B552">
        <v>75.3</v>
      </c>
      <c r="C552">
        <f t="shared" si="9"/>
        <v>2.6302679918953804E-5</v>
      </c>
    </row>
    <row r="553" spans="1:3" x14ac:dyDescent="0.3">
      <c r="A553" s="5">
        <v>0.70006944444444441</v>
      </c>
      <c r="B553">
        <v>88</v>
      </c>
      <c r="C553">
        <f t="shared" si="9"/>
        <v>4.8977881936844653E-4</v>
      </c>
    </row>
    <row r="554" spans="1:3" x14ac:dyDescent="0.3">
      <c r="A554" s="5">
        <v>0.70041666666666669</v>
      </c>
      <c r="B554">
        <v>96.3</v>
      </c>
      <c r="C554">
        <f t="shared" si="9"/>
        <v>3.3113112148259126E-3</v>
      </c>
    </row>
    <row r="555" spans="1:3" x14ac:dyDescent="0.3">
      <c r="A555" s="5">
        <v>0.700775462962963</v>
      </c>
      <c r="B555">
        <v>99.8</v>
      </c>
      <c r="C555">
        <f t="shared" si="9"/>
        <v>7.4131024130091741E-3</v>
      </c>
    </row>
    <row r="556" spans="1:3" x14ac:dyDescent="0.3">
      <c r="A556" s="5">
        <v>0.70111111111111113</v>
      </c>
      <c r="B556">
        <v>102</v>
      </c>
      <c r="C556">
        <f t="shared" si="9"/>
        <v>1.230268770812382E-2</v>
      </c>
    </row>
    <row r="557" spans="1:3" x14ac:dyDescent="0.3">
      <c r="A557" s="5">
        <v>0.70145833333333329</v>
      </c>
      <c r="B557">
        <v>103.4</v>
      </c>
      <c r="C557">
        <f t="shared" si="9"/>
        <v>1.6982436524617475E-2</v>
      </c>
    </row>
    <row r="558" spans="1:3" x14ac:dyDescent="0.3">
      <c r="A558" s="5">
        <v>0.70181712962962961</v>
      </c>
      <c r="B558">
        <v>104.4</v>
      </c>
      <c r="C558">
        <f t="shared" si="9"/>
        <v>2.1379620895022367E-2</v>
      </c>
    </row>
    <row r="559" spans="1:3" x14ac:dyDescent="0.3">
      <c r="A559" s="5">
        <v>0.70215277777777774</v>
      </c>
      <c r="B559">
        <v>105.3</v>
      </c>
      <c r="C559">
        <f t="shared" si="9"/>
        <v>2.6302679918953832E-2</v>
      </c>
    </row>
    <row r="560" spans="1:3" x14ac:dyDescent="0.3">
      <c r="A560" s="5">
        <v>0.70251157407407405</v>
      </c>
      <c r="B560">
        <v>106</v>
      </c>
      <c r="C560">
        <f t="shared" si="9"/>
        <v>3.0902954325135939E-2</v>
      </c>
    </row>
    <row r="561" spans="1:3" x14ac:dyDescent="0.3">
      <c r="A561" s="5">
        <v>0.70284722222222218</v>
      </c>
      <c r="B561">
        <v>106.7</v>
      </c>
      <c r="C561">
        <f t="shared" si="9"/>
        <v>3.6307805477010201E-2</v>
      </c>
    </row>
    <row r="562" spans="1:3" x14ac:dyDescent="0.3">
      <c r="A562" s="5">
        <v>0.70320601851851849</v>
      </c>
      <c r="B562">
        <v>107.5</v>
      </c>
      <c r="C562">
        <f t="shared" si="9"/>
        <v>4.3651583224016646E-2</v>
      </c>
    </row>
    <row r="563" spans="1:3" x14ac:dyDescent="0.3">
      <c r="A563" s="5">
        <v>0.70354166666666662</v>
      </c>
      <c r="B563">
        <v>108.1</v>
      </c>
      <c r="C563">
        <f t="shared" si="9"/>
        <v>5.0118723362727206E-2</v>
      </c>
    </row>
    <row r="564" spans="1:3" x14ac:dyDescent="0.3">
      <c r="A564" s="5">
        <v>0.70390046296296294</v>
      </c>
      <c r="B564">
        <v>108.8</v>
      </c>
      <c r="C564">
        <f t="shared" si="9"/>
        <v>5.8884365535558904E-2</v>
      </c>
    </row>
    <row r="565" spans="1:3" x14ac:dyDescent="0.3">
      <c r="A565" s="5">
        <v>0.70423611111111106</v>
      </c>
      <c r="B565">
        <v>109.4</v>
      </c>
      <c r="C565">
        <f t="shared" si="9"/>
        <v>6.7608297539198337E-2</v>
      </c>
    </row>
    <row r="566" spans="1:3" x14ac:dyDescent="0.3">
      <c r="A566" s="5">
        <v>0.70458333333333334</v>
      </c>
      <c r="B566">
        <v>110.1</v>
      </c>
      <c r="C566">
        <f t="shared" si="9"/>
        <v>7.9432823472428096E-2</v>
      </c>
    </row>
    <row r="567" spans="1:3" x14ac:dyDescent="0.3">
      <c r="A567" s="5">
        <v>0.70494212962962965</v>
      </c>
      <c r="B567">
        <v>110.7</v>
      </c>
      <c r="C567">
        <f t="shared" si="9"/>
        <v>9.1201083935591148E-2</v>
      </c>
    </row>
    <row r="568" spans="1:3" x14ac:dyDescent="0.3">
      <c r="A568" s="5">
        <v>0.70527777777777778</v>
      </c>
      <c r="B568">
        <v>111.4</v>
      </c>
      <c r="C568">
        <f t="shared" si="9"/>
        <v>0.10715193052376093</v>
      </c>
    </row>
    <row r="569" spans="1:3" x14ac:dyDescent="0.3">
      <c r="A569" s="5">
        <v>0.7056365740740741</v>
      </c>
      <c r="B569">
        <v>111.3</v>
      </c>
      <c r="C569">
        <f t="shared" si="9"/>
        <v>0.10471285480509</v>
      </c>
    </row>
    <row r="570" spans="1:3" x14ac:dyDescent="0.3">
      <c r="A570" s="5">
        <v>0.70597222222222222</v>
      </c>
      <c r="B570">
        <v>110.2</v>
      </c>
      <c r="C570">
        <f t="shared" si="9"/>
        <v>8.1283051616410043E-2</v>
      </c>
    </row>
    <row r="571" spans="1:3" x14ac:dyDescent="0.3">
      <c r="A571" s="5">
        <v>0.7063194444444445</v>
      </c>
      <c r="B571">
        <v>111.7</v>
      </c>
      <c r="C571">
        <f t="shared" si="9"/>
        <v>0.11481536214968847</v>
      </c>
    </row>
    <row r="572" spans="1:3" x14ac:dyDescent="0.3">
      <c r="A572" s="5">
        <v>0.7066782407407407</v>
      </c>
      <c r="B572">
        <v>112.9</v>
      </c>
      <c r="C572">
        <f t="shared" si="9"/>
        <v>0.15135612484362121</v>
      </c>
    </row>
    <row r="573" spans="1:3" x14ac:dyDescent="0.3">
      <c r="A573" s="5">
        <v>0.70702546296296298</v>
      </c>
      <c r="B573">
        <v>112.1</v>
      </c>
      <c r="C573">
        <f t="shared" si="9"/>
        <v>0.12589254117941667</v>
      </c>
    </row>
    <row r="574" spans="1:3" x14ac:dyDescent="0.3">
      <c r="A574" s="5">
        <v>0.70736111111111111</v>
      </c>
      <c r="B574">
        <v>111.6</v>
      </c>
      <c r="C574">
        <f t="shared" si="9"/>
        <v>0.11220184543019632</v>
      </c>
    </row>
    <row r="575" spans="1:3" x14ac:dyDescent="0.3">
      <c r="A575" s="5">
        <v>0.70771990740740742</v>
      </c>
      <c r="B575">
        <v>111</v>
      </c>
      <c r="C575">
        <f t="shared" si="9"/>
        <v>9.7723722095581195E-2</v>
      </c>
    </row>
    <row r="576" spans="1:3" x14ac:dyDescent="0.3">
      <c r="A576" s="5">
        <v>0.70806712962962959</v>
      </c>
      <c r="B576">
        <v>110.4</v>
      </c>
      <c r="C576">
        <f t="shared" si="9"/>
        <v>8.5113803820237838E-2</v>
      </c>
    </row>
    <row r="577" spans="1:3" x14ac:dyDescent="0.3">
      <c r="A577" s="5">
        <v>0.70841435185185186</v>
      </c>
      <c r="B577">
        <v>114.1</v>
      </c>
      <c r="C577">
        <f t="shared" si="9"/>
        <v>0.19952623149688795</v>
      </c>
    </row>
    <row r="578" spans="1:3" x14ac:dyDescent="0.3">
      <c r="A578" s="5">
        <v>0.70874999999999999</v>
      </c>
      <c r="B578">
        <v>114.6</v>
      </c>
      <c r="C578">
        <f t="shared" si="9"/>
        <v>0.22387211385683392</v>
      </c>
    </row>
    <row r="579" spans="1:3" x14ac:dyDescent="0.3">
      <c r="A579" s="5">
        <v>0.70910879629629631</v>
      </c>
      <c r="B579">
        <v>113.8</v>
      </c>
      <c r="C579">
        <f t="shared" si="9"/>
        <v>0.1862087136662868</v>
      </c>
    </row>
    <row r="580" spans="1:3" x14ac:dyDescent="0.3">
      <c r="A580" s="5">
        <v>0.70944444444444443</v>
      </c>
      <c r="B580">
        <v>113.2</v>
      </c>
      <c r="C580">
        <f t="shared" si="9"/>
        <v>0.16218100973589328</v>
      </c>
    </row>
    <row r="581" spans="1:3" x14ac:dyDescent="0.3">
      <c r="A581" s="5">
        <v>0.70980324074074075</v>
      </c>
      <c r="B581">
        <v>112.7</v>
      </c>
      <c r="C581">
        <f t="shared" si="9"/>
        <v>0.14454397707459299</v>
      </c>
    </row>
    <row r="582" spans="1:3" x14ac:dyDescent="0.3">
      <c r="A582" s="5">
        <v>0.71013888888888888</v>
      </c>
      <c r="B582">
        <v>110.8</v>
      </c>
      <c r="C582">
        <f t="shared" si="9"/>
        <v>9.3325430079699109E-2</v>
      </c>
    </row>
    <row r="583" spans="1:3" x14ac:dyDescent="0.3">
      <c r="A583" s="5">
        <v>0.71049768518518519</v>
      </c>
      <c r="B583">
        <v>111</v>
      </c>
      <c r="C583">
        <f t="shared" si="9"/>
        <v>9.7723722095581195E-2</v>
      </c>
    </row>
    <row r="584" spans="1:3" x14ac:dyDescent="0.3">
      <c r="A584" s="5">
        <v>0.71084490740740736</v>
      </c>
      <c r="B584">
        <v>116.8</v>
      </c>
      <c r="C584">
        <f t="shared" si="9"/>
        <v>0.37153522909717274</v>
      </c>
    </row>
    <row r="585" spans="1:3" x14ac:dyDescent="0.3">
      <c r="A585" s="5">
        <v>0.71119212962962963</v>
      </c>
      <c r="B585">
        <v>117</v>
      </c>
      <c r="C585">
        <f t="shared" si="9"/>
        <v>0.38904514499428111</v>
      </c>
    </row>
    <row r="586" spans="1:3" x14ac:dyDescent="0.3">
      <c r="A586" s="5">
        <v>0.7115393518518518</v>
      </c>
      <c r="B586">
        <v>116.5</v>
      </c>
      <c r="C586">
        <f t="shared" si="9"/>
        <v>0.34673685045253205</v>
      </c>
    </row>
    <row r="587" spans="1:3" x14ac:dyDescent="0.3">
      <c r="A587" s="5">
        <v>0.71188657407407407</v>
      </c>
      <c r="B587">
        <v>115.8</v>
      </c>
      <c r="C587">
        <f t="shared" si="9"/>
        <v>0.29512092266663875</v>
      </c>
    </row>
    <row r="588" spans="1:3" x14ac:dyDescent="0.3">
      <c r="A588" s="5">
        <v>0.7122222222222222</v>
      </c>
      <c r="B588">
        <v>115.4</v>
      </c>
      <c r="C588">
        <f t="shared" si="9"/>
        <v>0.26915348039269227</v>
      </c>
    </row>
    <row r="589" spans="1:3" x14ac:dyDescent="0.3">
      <c r="A589" s="5">
        <v>0.71256944444444448</v>
      </c>
      <c r="B589">
        <v>105.2</v>
      </c>
      <c r="C589">
        <f t="shared" si="9"/>
        <v>2.5703957827688674E-2</v>
      </c>
    </row>
    <row r="590" spans="1:3" x14ac:dyDescent="0.3">
      <c r="A590" s="5">
        <v>0.71291666666666664</v>
      </c>
      <c r="B590">
        <v>80.8</v>
      </c>
      <c r="C590">
        <f t="shared" si="9"/>
        <v>9.3325430079699222E-5</v>
      </c>
    </row>
    <row r="591" spans="1:3" x14ac:dyDescent="0.3">
      <c r="A591" s="5">
        <v>0.71327546296296296</v>
      </c>
      <c r="B591">
        <v>75</v>
      </c>
      <c r="C591">
        <f t="shared" si="9"/>
        <v>2.4547089156850296E-5</v>
      </c>
    </row>
    <row r="592" spans="1:3" x14ac:dyDescent="0.3">
      <c r="A592" s="5">
        <v>0.71361111111111108</v>
      </c>
      <c r="B592">
        <v>72</v>
      </c>
      <c r="C592">
        <f t="shared" si="9"/>
        <v>1.2302687708123824E-5</v>
      </c>
    </row>
    <row r="593" spans="1:3" x14ac:dyDescent="0.3">
      <c r="A593" s="5">
        <v>0.71395833333333336</v>
      </c>
      <c r="B593">
        <v>68.400000000000006</v>
      </c>
      <c r="C593">
        <f t="shared" si="9"/>
        <v>5.3703179637025402E-6</v>
      </c>
    </row>
    <row r="594" spans="1:3" x14ac:dyDescent="0.3">
      <c r="A594" s="5">
        <v>0.71431712962962968</v>
      </c>
      <c r="B594">
        <v>65.8</v>
      </c>
      <c r="C594">
        <f t="shared" si="9"/>
        <v>2.9512092266663841E-6</v>
      </c>
    </row>
    <row r="595" spans="1:3" x14ac:dyDescent="0.3">
      <c r="A595" s="5">
        <v>0.71466435185185184</v>
      </c>
      <c r="B595">
        <v>64.400000000000006</v>
      </c>
      <c r="C595">
        <f t="shared" si="9"/>
        <v>2.1379620895022339E-6</v>
      </c>
    </row>
    <row r="596" spans="1:3" x14ac:dyDescent="0.3">
      <c r="A596" s="5">
        <v>0.71501157407407412</v>
      </c>
      <c r="B596">
        <v>63.4</v>
      </c>
      <c r="C596">
        <f t="shared" si="9"/>
        <v>1.6982436524617446E-6</v>
      </c>
    </row>
    <row r="597" spans="1:3" x14ac:dyDescent="0.3">
      <c r="A597" s="5">
        <v>0.71535879629629628</v>
      </c>
      <c r="B597">
        <v>62.5</v>
      </c>
      <c r="C597">
        <f t="shared" si="9"/>
        <v>1.3803842646028861E-6</v>
      </c>
    </row>
    <row r="598" spans="1:3" x14ac:dyDescent="0.3">
      <c r="A598" s="5">
        <v>0.71570601851851856</v>
      </c>
      <c r="B598">
        <v>61.8</v>
      </c>
      <c r="C598">
        <f t="shared" si="9"/>
        <v>1.1748975549395291E-6</v>
      </c>
    </row>
    <row r="599" spans="1:3" x14ac:dyDescent="0.3">
      <c r="A599" s="5">
        <v>0.71605324074074073</v>
      </c>
      <c r="B599">
        <v>61.1</v>
      </c>
      <c r="C599">
        <f t="shared" si="9"/>
        <v>1.0000000000000004E-6</v>
      </c>
    </row>
    <row r="600" spans="1:3" x14ac:dyDescent="0.3">
      <c r="A600" s="5">
        <v>0.716400462962963</v>
      </c>
      <c r="B600">
        <v>60.6</v>
      </c>
      <c r="C600">
        <f t="shared" si="9"/>
        <v>8.9125093813374635E-7</v>
      </c>
    </row>
    <row r="601" spans="1:3" x14ac:dyDescent="0.3">
      <c r="A601" s="5">
        <v>0.71674768518518517</v>
      </c>
      <c r="B601">
        <v>60.1</v>
      </c>
      <c r="C601">
        <f t="shared" si="9"/>
        <v>7.9432823472428114E-7</v>
      </c>
    </row>
    <row r="602" spans="1:3" x14ac:dyDescent="0.3">
      <c r="A602" s="5">
        <v>0.71709490740740744</v>
      </c>
      <c r="B602">
        <v>59.7</v>
      </c>
      <c r="C602">
        <f t="shared" si="9"/>
        <v>7.2443596007499143E-7</v>
      </c>
    </row>
    <row r="603" spans="1:3" x14ac:dyDescent="0.3">
      <c r="A603" s="5">
        <v>0.71744212962962961</v>
      </c>
      <c r="B603">
        <v>59.3</v>
      </c>
      <c r="C603">
        <f t="shared" si="9"/>
        <v>6.6069344800759506E-7</v>
      </c>
    </row>
    <row r="604" spans="1:3" x14ac:dyDescent="0.3">
      <c r="A604" s="5">
        <v>0.71778935185185189</v>
      </c>
      <c r="B604">
        <v>58.4</v>
      </c>
      <c r="C604">
        <f t="shared" si="9"/>
        <v>5.3703179637025244E-7</v>
      </c>
    </row>
    <row r="605" spans="1:3" x14ac:dyDescent="0.3">
      <c r="A605" s="5">
        <v>0.71813657407407405</v>
      </c>
      <c r="B605">
        <v>57.5</v>
      </c>
      <c r="C605">
        <f t="shared" si="9"/>
        <v>4.365158322401661E-7</v>
      </c>
    </row>
    <row r="606" spans="1:3" x14ac:dyDescent="0.3">
      <c r="A606" s="5">
        <v>0.71848379629629633</v>
      </c>
      <c r="B606">
        <v>57.1</v>
      </c>
      <c r="C606">
        <f t="shared" si="9"/>
        <v>3.9810717055349682E-7</v>
      </c>
    </row>
    <row r="607" spans="1:3" x14ac:dyDescent="0.3">
      <c r="A607" s="5">
        <v>0.71883101851851849</v>
      </c>
      <c r="B607">
        <v>56.7</v>
      </c>
      <c r="C607">
        <f t="shared" si="9"/>
        <v>3.630780547701011E-7</v>
      </c>
    </row>
    <row r="608" spans="1:3" x14ac:dyDescent="0.3">
      <c r="A608" s="5">
        <v>0.71917824074074077</v>
      </c>
      <c r="B608">
        <v>56.1</v>
      </c>
      <c r="C608">
        <f t="shared" si="9"/>
        <v>3.1622776601683734E-7</v>
      </c>
    </row>
    <row r="609" spans="1:3" x14ac:dyDescent="0.3">
      <c r="A609" s="5">
        <v>0.71952546296296294</v>
      </c>
      <c r="B609">
        <v>54.4</v>
      </c>
      <c r="C609">
        <f t="shared" ref="C609:C633" si="10">10^((B609-121.1)/10)</f>
        <v>2.1379620895022356E-7</v>
      </c>
    </row>
    <row r="610" spans="1:3" x14ac:dyDescent="0.3">
      <c r="A610" s="5">
        <v>0.71987268518518521</v>
      </c>
      <c r="B610">
        <v>52.7</v>
      </c>
      <c r="C610">
        <f t="shared" si="10"/>
        <v>1.4454397707459295E-7</v>
      </c>
    </row>
    <row r="611" spans="1:3" x14ac:dyDescent="0.3">
      <c r="A611" s="5">
        <v>0.72020833333333334</v>
      </c>
      <c r="B611">
        <v>51.4</v>
      </c>
      <c r="C611">
        <f t="shared" si="10"/>
        <v>1.0715193052376092E-7</v>
      </c>
    </row>
    <row r="612" spans="1:3" x14ac:dyDescent="0.3">
      <c r="A612" s="5">
        <v>0.72056712962962965</v>
      </c>
      <c r="B612">
        <v>50.1</v>
      </c>
      <c r="C612">
        <f t="shared" si="10"/>
        <v>7.943282347242818E-8</v>
      </c>
    </row>
    <row r="613" spans="1:3" x14ac:dyDescent="0.3">
      <c r="A613" s="5">
        <v>0.72091435185185182</v>
      </c>
      <c r="B613">
        <v>49.1</v>
      </c>
      <c r="C613">
        <f t="shared" si="10"/>
        <v>6.3095734448019177E-8</v>
      </c>
    </row>
    <row r="614" spans="1:3" x14ac:dyDescent="0.3">
      <c r="A614" s="5">
        <v>0.7212615740740741</v>
      </c>
      <c r="B614">
        <v>48.2</v>
      </c>
      <c r="C614">
        <f t="shared" si="10"/>
        <v>5.1286138399136593E-8</v>
      </c>
    </row>
    <row r="615" spans="1:3" x14ac:dyDescent="0.3">
      <c r="A615" s="5">
        <v>0.72160879629629626</v>
      </c>
      <c r="B615">
        <v>47.4</v>
      </c>
      <c r="C615">
        <f t="shared" si="10"/>
        <v>4.2657951880159239E-8</v>
      </c>
    </row>
    <row r="616" spans="1:3" x14ac:dyDescent="0.3">
      <c r="A616" s="5">
        <v>0.72195601851851854</v>
      </c>
      <c r="B616">
        <v>46.7</v>
      </c>
      <c r="C616">
        <f t="shared" si="10"/>
        <v>3.6307805477010135E-8</v>
      </c>
    </row>
    <row r="617" spans="1:3" x14ac:dyDescent="0.3">
      <c r="A617" s="5">
        <v>0.7223032407407407</v>
      </c>
      <c r="B617">
        <v>46.1</v>
      </c>
      <c r="C617">
        <f t="shared" si="10"/>
        <v>3.1622776601683699E-8</v>
      </c>
    </row>
    <row r="618" spans="1:3" x14ac:dyDescent="0.3">
      <c r="A618" s="5">
        <v>0.72265046296296298</v>
      </c>
      <c r="B618">
        <v>45.5</v>
      </c>
      <c r="C618">
        <f t="shared" si="10"/>
        <v>2.75422870333816E-8</v>
      </c>
    </row>
    <row r="619" spans="1:3" x14ac:dyDescent="0.3">
      <c r="A619" s="5">
        <v>0.72299768518518515</v>
      </c>
      <c r="B619">
        <v>45</v>
      </c>
      <c r="C619">
        <f t="shared" si="10"/>
        <v>2.4547089156850259E-8</v>
      </c>
    </row>
    <row r="620" spans="1:3" x14ac:dyDescent="0.3">
      <c r="A620" s="5">
        <v>0.72334490740740742</v>
      </c>
      <c r="B620">
        <v>44.8</v>
      </c>
      <c r="C620">
        <f t="shared" si="10"/>
        <v>2.3442288153199181E-8</v>
      </c>
    </row>
    <row r="621" spans="1:3" x14ac:dyDescent="0.3">
      <c r="A621" s="5">
        <v>0.72369212962962959</v>
      </c>
      <c r="B621">
        <v>44.7</v>
      </c>
      <c r="C621">
        <f t="shared" si="10"/>
        <v>2.2908676527677776E-8</v>
      </c>
    </row>
    <row r="622" spans="1:3" x14ac:dyDescent="0.3">
      <c r="A622" s="5">
        <v>0.72403935185185186</v>
      </c>
      <c r="B622">
        <v>44.6</v>
      </c>
      <c r="C622">
        <f t="shared" si="10"/>
        <v>2.2387211385683365E-8</v>
      </c>
    </row>
    <row r="623" spans="1:3" x14ac:dyDescent="0.3">
      <c r="A623" s="5">
        <v>0.72438657407407403</v>
      </c>
      <c r="B623">
        <v>44.5</v>
      </c>
      <c r="C623">
        <f t="shared" si="10"/>
        <v>2.1877616239495494E-8</v>
      </c>
    </row>
    <row r="624" spans="1:3" x14ac:dyDescent="0.3">
      <c r="A624" s="5">
        <v>0.72473379629629631</v>
      </c>
      <c r="B624">
        <v>44.5</v>
      </c>
      <c r="C624">
        <f t="shared" si="10"/>
        <v>2.1877616239495494E-8</v>
      </c>
    </row>
    <row r="625" spans="1:3" x14ac:dyDescent="0.3">
      <c r="A625" s="5">
        <v>0.72508101851851847</v>
      </c>
      <c r="B625">
        <v>44.5</v>
      </c>
      <c r="C625">
        <f t="shared" si="10"/>
        <v>2.1877616239495494E-8</v>
      </c>
    </row>
    <row r="626" spans="1:3" x14ac:dyDescent="0.3">
      <c r="A626" s="5">
        <v>0.72542824074074075</v>
      </c>
      <c r="B626">
        <v>44.5</v>
      </c>
      <c r="C626">
        <f t="shared" si="10"/>
        <v>2.1877616239495494E-8</v>
      </c>
    </row>
    <row r="627" spans="1:3" x14ac:dyDescent="0.3">
      <c r="A627" s="5">
        <v>0.72577546296296291</v>
      </c>
      <c r="B627">
        <v>44.7</v>
      </c>
      <c r="C627">
        <f t="shared" si="10"/>
        <v>2.2908676527677776E-8</v>
      </c>
    </row>
    <row r="628" spans="1:3" x14ac:dyDescent="0.3">
      <c r="A628" s="5">
        <v>0.72612268518518519</v>
      </c>
      <c r="B628">
        <v>44.8</v>
      </c>
      <c r="C628">
        <f t="shared" si="10"/>
        <v>2.3442288153199181E-8</v>
      </c>
    </row>
    <row r="629" spans="1:3" x14ac:dyDescent="0.3">
      <c r="A629" s="5">
        <v>0.72646990740740736</v>
      </c>
      <c r="B629">
        <v>44.8</v>
      </c>
      <c r="C629">
        <f t="shared" si="10"/>
        <v>2.3442288153199181E-8</v>
      </c>
    </row>
    <row r="630" spans="1:3" x14ac:dyDescent="0.3">
      <c r="A630" s="5">
        <v>0.72681712962962963</v>
      </c>
      <c r="B630">
        <v>44.8</v>
      </c>
      <c r="C630">
        <f t="shared" si="10"/>
        <v>2.3442288153199181E-8</v>
      </c>
    </row>
    <row r="631" spans="1:3" x14ac:dyDescent="0.3">
      <c r="A631" s="5">
        <v>0.72715277777777776</v>
      </c>
      <c r="B631">
        <v>44.8</v>
      </c>
      <c r="C631">
        <f t="shared" si="10"/>
        <v>2.3442288153199181E-8</v>
      </c>
    </row>
    <row r="632" spans="1:3" x14ac:dyDescent="0.3">
      <c r="A632" s="5">
        <v>0.72751157407407407</v>
      </c>
      <c r="B632">
        <v>44.8</v>
      </c>
      <c r="C632">
        <f t="shared" si="10"/>
        <v>2.3442288153199181E-8</v>
      </c>
    </row>
    <row r="633" spans="1:3" x14ac:dyDescent="0.3">
      <c r="A633" s="5">
        <v>0.72785879629629635</v>
      </c>
      <c r="B633">
        <v>44.8</v>
      </c>
      <c r="C633">
        <f t="shared" si="10"/>
        <v>2.3442288153199181E-8</v>
      </c>
    </row>
    <row r="634" spans="1:3" x14ac:dyDescent="0.3">
      <c r="A634" s="2" t="s">
        <v>66</v>
      </c>
      <c r="C634">
        <f>SUM(C544:C633)</f>
        <v>4.3313993145710681</v>
      </c>
    </row>
    <row r="636" spans="1:3" x14ac:dyDescent="0.3">
      <c r="A636" s="2" t="s">
        <v>67</v>
      </c>
      <c r="C636">
        <f>30/60*C634</f>
        <v>2.165699657285534</v>
      </c>
    </row>
    <row r="638" spans="1:3" x14ac:dyDescent="0.3">
      <c r="A638" s="2" t="s">
        <v>72</v>
      </c>
    </row>
    <row r="639" spans="1:3" x14ac:dyDescent="0.3">
      <c r="A639" s="2" t="s">
        <v>63</v>
      </c>
      <c r="B639" s="2" t="s">
        <v>64</v>
      </c>
      <c r="C639" s="2" t="s">
        <v>65</v>
      </c>
    </row>
    <row r="640" spans="1:3" x14ac:dyDescent="0.3">
      <c r="A640" s="5">
        <v>0.71103009259259264</v>
      </c>
      <c r="B640">
        <v>36.299999999999997</v>
      </c>
      <c r="C640">
        <f>10^((B640-121.1)/10)</f>
        <v>3.3113112148258966E-9</v>
      </c>
    </row>
    <row r="641" spans="1:3" x14ac:dyDescent="0.3">
      <c r="A641" s="5">
        <v>0.71136574074074077</v>
      </c>
      <c r="B641">
        <v>36.299999999999997</v>
      </c>
      <c r="C641">
        <f t="shared" ref="C641:C704" si="11">10^((B641-121.1)/10)</f>
        <v>3.3113112148258966E-9</v>
      </c>
    </row>
    <row r="642" spans="1:3" x14ac:dyDescent="0.3">
      <c r="A642" s="5">
        <v>0.71172453703703709</v>
      </c>
      <c r="B642">
        <v>36.200000000000003</v>
      </c>
      <c r="C642">
        <f t="shared" si="11"/>
        <v>3.2359365692962919E-9</v>
      </c>
    </row>
    <row r="643" spans="1:3" x14ac:dyDescent="0.3">
      <c r="A643" s="5">
        <v>0.71206018518518521</v>
      </c>
      <c r="B643">
        <v>36.1</v>
      </c>
      <c r="C643">
        <f t="shared" si="11"/>
        <v>3.1622776601683779E-9</v>
      </c>
    </row>
    <row r="644" spans="1:3" x14ac:dyDescent="0.3">
      <c r="A644" s="5">
        <v>0.71240740740740738</v>
      </c>
      <c r="B644">
        <v>36.1</v>
      </c>
      <c r="C644">
        <f t="shared" si="11"/>
        <v>3.1622776601683779E-9</v>
      </c>
    </row>
    <row r="645" spans="1:3" x14ac:dyDescent="0.3">
      <c r="A645" s="5">
        <v>0.71275462962962965</v>
      </c>
      <c r="B645">
        <v>36.200000000000003</v>
      </c>
      <c r="C645">
        <f t="shared" si="11"/>
        <v>3.2359365692962919E-9</v>
      </c>
    </row>
    <row r="646" spans="1:3" x14ac:dyDescent="0.3">
      <c r="A646" s="5">
        <v>0.71310185185185182</v>
      </c>
      <c r="B646">
        <v>36.299999999999997</v>
      </c>
      <c r="C646">
        <f t="shared" si="11"/>
        <v>3.3113112148258966E-9</v>
      </c>
    </row>
    <row r="647" spans="1:3" x14ac:dyDescent="0.3">
      <c r="A647" s="5">
        <v>0.7134490740740741</v>
      </c>
      <c r="B647">
        <v>36.700000000000003</v>
      </c>
      <c r="C647">
        <f t="shared" si="11"/>
        <v>3.6307805477010094E-9</v>
      </c>
    </row>
    <row r="648" spans="1:3" x14ac:dyDescent="0.3">
      <c r="A648" s="5">
        <v>0.71380787037037041</v>
      </c>
      <c r="B648">
        <v>38.9</v>
      </c>
      <c r="C648">
        <f t="shared" si="11"/>
        <v>6.0255958607435797E-9</v>
      </c>
    </row>
    <row r="649" spans="1:3" x14ac:dyDescent="0.3">
      <c r="A649" s="5">
        <v>0.71415509259259258</v>
      </c>
      <c r="B649">
        <v>43.9</v>
      </c>
      <c r="C649">
        <f t="shared" si="11"/>
        <v>1.9054607179632522E-8</v>
      </c>
    </row>
    <row r="650" spans="1:3" x14ac:dyDescent="0.3">
      <c r="A650" s="5">
        <v>0.71450231481481485</v>
      </c>
      <c r="B650">
        <v>52.6</v>
      </c>
      <c r="C650">
        <f t="shared" si="11"/>
        <v>1.4125375446227539E-7</v>
      </c>
    </row>
    <row r="651" spans="1:3" x14ac:dyDescent="0.3">
      <c r="A651" s="5">
        <v>0.71484953703703702</v>
      </c>
      <c r="B651">
        <v>60.1</v>
      </c>
      <c r="C651">
        <f t="shared" si="11"/>
        <v>7.9432823472428114E-7</v>
      </c>
    </row>
    <row r="652" spans="1:3" x14ac:dyDescent="0.3">
      <c r="A652" s="5">
        <v>0.71518518518518515</v>
      </c>
      <c r="B652">
        <v>74.599999999999994</v>
      </c>
      <c r="C652">
        <f t="shared" si="11"/>
        <v>2.2387211385683359E-5</v>
      </c>
    </row>
    <row r="653" spans="1:3" x14ac:dyDescent="0.3">
      <c r="A653" s="5">
        <v>0.71553240740740742</v>
      </c>
      <c r="B653">
        <v>90.3</v>
      </c>
      <c r="C653">
        <f t="shared" si="11"/>
        <v>8.317637711026712E-4</v>
      </c>
    </row>
    <row r="654" spans="1:3" x14ac:dyDescent="0.3">
      <c r="A654" s="5">
        <v>0.71587962962962959</v>
      </c>
      <c r="B654">
        <v>97.1</v>
      </c>
      <c r="C654">
        <f t="shared" si="11"/>
        <v>3.9810717055349717E-3</v>
      </c>
    </row>
    <row r="655" spans="1:3" x14ac:dyDescent="0.3">
      <c r="A655" s="5">
        <v>0.71622685185185186</v>
      </c>
      <c r="B655">
        <v>100.3</v>
      </c>
      <c r="C655">
        <f t="shared" si="11"/>
        <v>8.3176377110267125E-3</v>
      </c>
    </row>
    <row r="656" spans="1:3" x14ac:dyDescent="0.3">
      <c r="A656" s="5">
        <v>0.71657407407407403</v>
      </c>
      <c r="B656">
        <v>102.2</v>
      </c>
      <c r="C656">
        <f t="shared" si="11"/>
        <v>1.2882495516931356E-2</v>
      </c>
    </row>
    <row r="657" spans="1:3" x14ac:dyDescent="0.3">
      <c r="A657" s="5">
        <v>0.71692129629629631</v>
      </c>
      <c r="B657">
        <v>103.6</v>
      </c>
      <c r="C657">
        <f t="shared" si="11"/>
        <v>1.7782794100389226E-2</v>
      </c>
    </row>
    <row r="658" spans="1:3" x14ac:dyDescent="0.3">
      <c r="A658" s="5">
        <v>0.71726851851851847</v>
      </c>
      <c r="B658">
        <v>104.7</v>
      </c>
      <c r="C658">
        <f t="shared" si="11"/>
        <v>2.2908676527677762E-2</v>
      </c>
    </row>
    <row r="659" spans="1:3" x14ac:dyDescent="0.3">
      <c r="A659" s="5">
        <v>0.71761574074074075</v>
      </c>
      <c r="B659">
        <v>105.7</v>
      </c>
      <c r="C659">
        <f t="shared" si="11"/>
        <v>2.8840315031266113E-2</v>
      </c>
    </row>
    <row r="660" spans="1:3" x14ac:dyDescent="0.3">
      <c r="A660" s="5">
        <v>0.71797453703703706</v>
      </c>
      <c r="B660">
        <v>106.2</v>
      </c>
      <c r="C660">
        <f t="shared" si="11"/>
        <v>3.2359365692962883E-2</v>
      </c>
    </row>
    <row r="661" spans="1:3" x14ac:dyDescent="0.3">
      <c r="A661" s="5">
        <v>0.71831018518518519</v>
      </c>
      <c r="B661">
        <v>101.4</v>
      </c>
      <c r="C661">
        <f t="shared" si="11"/>
        <v>1.0715193052376086E-2</v>
      </c>
    </row>
    <row r="662" spans="1:3" x14ac:dyDescent="0.3">
      <c r="A662" s="5">
        <v>0.71865740740740736</v>
      </c>
      <c r="B662">
        <v>103.2</v>
      </c>
      <c r="C662">
        <f t="shared" si="11"/>
        <v>1.6218100973589333E-2</v>
      </c>
    </row>
    <row r="663" spans="1:3" x14ac:dyDescent="0.3">
      <c r="A663" s="5">
        <v>0.71900462962962963</v>
      </c>
      <c r="B663">
        <v>105.7</v>
      </c>
      <c r="C663">
        <f t="shared" si="11"/>
        <v>2.8840315031266113E-2</v>
      </c>
    </row>
    <row r="664" spans="1:3" x14ac:dyDescent="0.3">
      <c r="A664" s="5">
        <v>0.71936342592592595</v>
      </c>
      <c r="B664">
        <v>107.6</v>
      </c>
      <c r="C664">
        <f t="shared" si="11"/>
        <v>4.4668359215096293E-2</v>
      </c>
    </row>
    <row r="665" spans="1:3" x14ac:dyDescent="0.3">
      <c r="A665" s="5">
        <v>0.71969907407407407</v>
      </c>
      <c r="B665">
        <v>108.8</v>
      </c>
      <c r="C665">
        <f t="shared" si="11"/>
        <v>5.8884365535558904E-2</v>
      </c>
    </row>
    <row r="666" spans="1:3" x14ac:dyDescent="0.3">
      <c r="A666" s="5">
        <v>0.72004629629629635</v>
      </c>
      <c r="B666">
        <v>109.8</v>
      </c>
      <c r="C666">
        <f t="shared" si="11"/>
        <v>7.4131024130091802E-2</v>
      </c>
    </row>
    <row r="667" spans="1:3" x14ac:dyDescent="0.3">
      <c r="A667" s="5">
        <v>0.72040509259259256</v>
      </c>
      <c r="B667">
        <v>110.5</v>
      </c>
      <c r="C667">
        <f t="shared" si="11"/>
        <v>8.7096358995608178E-2</v>
      </c>
    </row>
    <row r="668" spans="1:3" x14ac:dyDescent="0.3">
      <c r="A668" s="5">
        <v>0.72074074074074079</v>
      </c>
      <c r="B668">
        <v>110</v>
      </c>
      <c r="C668">
        <f t="shared" si="11"/>
        <v>7.7624711662869272E-2</v>
      </c>
    </row>
    <row r="669" spans="1:3" x14ac:dyDescent="0.3">
      <c r="A669" s="5">
        <v>0.72108796296296296</v>
      </c>
      <c r="B669">
        <v>101.1</v>
      </c>
      <c r="C669">
        <f t="shared" si="11"/>
        <v>0.01</v>
      </c>
    </row>
    <row r="670" spans="1:3" x14ac:dyDescent="0.3">
      <c r="A670" s="5">
        <v>0.72144675925925927</v>
      </c>
      <c r="B670">
        <v>98</v>
      </c>
      <c r="C670">
        <f t="shared" si="11"/>
        <v>4.8977881936844653E-3</v>
      </c>
    </row>
    <row r="671" spans="1:3" x14ac:dyDescent="0.3">
      <c r="A671" s="5">
        <v>0.72179398148148144</v>
      </c>
      <c r="B671">
        <v>99.6</v>
      </c>
      <c r="C671">
        <f t="shared" si="11"/>
        <v>7.0794578438413795E-3</v>
      </c>
    </row>
    <row r="672" spans="1:3" x14ac:dyDescent="0.3">
      <c r="A672" s="5">
        <v>0.72214120370370372</v>
      </c>
      <c r="B672">
        <v>99</v>
      </c>
      <c r="C672">
        <f t="shared" si="11"/>
        <v>6.1659500186148257E-3</v>
      </c>
    </row>
    <row r="673" spans="1:3" x14ac:dyDescent="0.3">
      <c r="A673" s="5">
        <v>0.72247685185185184</v>
      </c>
      <c r="B673">
        <v>98.2</v>
      </c>
      <c r="C673">
        <f t="shared" si="11"/>
        <v>5.1286138399136566E-3</v>
      </c>
    </row>
    <row r="674" spans="1:3" x14ac:dyDescent="0.3">
      <c r="A674" s="5">
        <v>0.72282407407407412</v>
      </c>
      <c r="B674">
        <v>97</v>
      </c>
      <c r="C674">
        <f t="shared" si="11"/>
        <v>3.8904514499428092E-3</v>
      </c>
    </row>
    <row r="675" spans="1:3" x14ac:dyDescent="0.3">
      <c r="A675" s="5">
        <v>0.72317129629629628</v>
      </c>
      <c r="B675">
        <v>95.5</v>
      </c>
      <c r="C675">
        <f t="shared" si="11"/>
        <v>2.7542287033381677E-3</v>
      </c>
    </row>
    <row r="676" spans="1:3" x14ac:dyDescent="0.3">
      <c r="A676" s="5">
        <v>0.7235300925925926</v>
      </c>
      <c r="B676">
        <v>93.1</v>
      </c>
      <c r="C676">
        <f t="shared" si="11"/>
        <v>1.5848931924611134E-3</v>
      </c>
    </row>
    <row r="677" spans="1:3" x14ac:dyDescent="0.3">
      <c r="A677" s="5">
        <v>0.72386574074074073</v>
      </c>
      <c r="B677">
        <v>93</v>
      </c>
      <c r="C677">
        <f t="shared" si="11"/>
        <v>1.5488166189124818E-3</v>
      </c>
    </row>
    <row r="678" spans="1:3" x14ac:dyDescent="0.3">
      <c r="A678" s="5">
        <v>0.72422453703703704</v>
      </c>
      <c r="B678">
        <v>89.7</v>
      </c>
      <c r="C678">
        <f t="shared" si="11"/>
        <v>7.2443596007499059E-4</v>
      </c>
    </row>
    <row r="679" spans="1:3" x14ac:dyDescent="0.3">
      <c r="A679" s="5">
        <v>0.72457175925925921</v>
      </c>
      <c r="B679">
        <v>87.9</v>
      </c>
      <c r="C679">
        <f t="shared" si="11"/>
        <v>4.7863009232263908E-4</v>
      </c>
    </row>
    <row r="680" spans="1:3" x14ac:dyDescent="0.3">
      <c r="A680" s="5">
        <v>0.72491898148148148</v>
      </c>
      <c r="B680">
        <v>87.6</v>
      </c>
      <c r="C680">
        <f t="shared" si="11"/>
        <v>4.4668359215096267E-4</v>
      </c>
    </row>
    <row r="681" spans="1:3" x14ac:dyDescent="0.3">
      <c r="A681" s="5">
        <v>0.72526620370370365</v>
      </c>
      <c r="B681">
        <v>87.2</v>
      </c>
      <c r="C681">
        <f t="shared" si="11"/>
        <v>4.0738027780411331E-4</v>
      </c>
    </row>
    <row r="682" spans="1:3" x14ac:dyDescent="0.3">
      <c r="A682" s="5">
        <v>0.72561342592592593</v>
      </c>
      <c r="B682">
        <v>86.9</v>
      </c>
      <c r="C682">
        <f t="shared" si="11"/>
        <v>3.8018939632056183E-4</v>
      </c>
    </row>
    <row r="683" spans="1:3" x14ac:dyDescent="0.3">
      <c r="A683" s="5">
        <v>0.7259606481481482</v>
      </c>
      <c r="B683">
        <v>87.1</v>
      </c>
      <c r="C683">
        <f t="shared" si="11"/>
        <v>3.9810717055349708E-4</v>
      </c>
    </row>
    <row r="684" spans="1:3" x14ac:dyDescent="0.3">
      <c r="A684" s="5">
        <v>0.72629629629629633</v>
      </c>
      <c r="B684">
        <v>86.6</v>
      </c>
      <c r="C684">
        <f t="shared" si="11"/>
        <v>3.5481338923357516E-4</v>
      </c>
    </row>
    <row r="685" spans="1:3" x14ac:dyDescent="0.3">
      <c r="A685" s="5">
        <v>0.72665509259259264</v>
      </c>
      <c r="B685">
        <v>86.1</v>
      </c>
      <c r="C685">
        <f t="shared" si="11"/>
        <v>3.1622776601683783E-4</v>
      </c>
    </row>
    <row r="686" spans="1:3" x14ac:dyDescent="0.3">
      <c r="A686" s="5">
        <v>0.72700231481481481</v>
      </c>
      <c r="B686">
        <v>85.5</v>
      </c>
      <c r="C686">
        <f t="shared" si="11"/>
        <v>2.7542287033381673E-4</v>
      </c>
    </row>
    <row r="687" spans="1:3" x14ac:dyDescent="0.3">
      <c r="A687" s="5">
        <v>0.72734953703703709</v>
      </c>
      <c r="B687">
        <v>85.2</v>
      </c>
      <c r="C687">
        <f t="shared" si="11"/>
        <v>2.5703957827688696E-4</v>
      </c>
    </row>
    <row r="688" spans="1:3" x14ac:dyDescent="0.3">
      <c r="A688" s="5">
        <v>0.72769675925925925</v>
      </c>
      <c r="B688">
        <v>84.9</v>
      </c>
      <c r="C688">
        <f t="shared" si="11"/>
        <v>2.3988329190194969E-4</v>
      </c>
    </row>
    <row r="689" spans="1:3" x14ac:dyDescent="0.3">
      <c r="A689" s="5">
        <v>0.72804398148148153</v>
      </c>
      <c r="B689">
        <v>84.7</v>
      </c>
      <c r="C689">
        <f t="shared" si="11"/>
        <v>2.2908676527677756E-4</v>
      </c>
    </row>
    <row r="690" spans="1:3" x14ac:dyDescent="0.3">
      <c r="A690" s="5">
        <v>0.72839120370370369</v>
      </c>
      <c r="B690">
        <v>84.7</v>
      </c>
      <c r="C690">
        <f t="shared" si="11"/>
        <v>2.2908676527677756E-4</v>
      </c>
    </row>
    <row r="691" spans="1:3" x14ac:dyDescent="0.3">
      <c r="A691" s="5">
        <v>0.72873842592592597</v>
      </c>
      <c r="B691">
        <v>84.4</v>
      </c>
      <c r="C691">
        <f t="shared" si="11"/>
        <v>2.1379620895022348E-4</v>
      </c>
    </row>
    <row r="692" spans="1:3" x14ac:dyDescent="0.3">
      <c r="A692" s="5">
        <v>0.72908564814814814</v>
      </c>
      <c r="B692">
        <v>84.2</v>
      </c>
      <c r="C692">
        <f t="shared" si="11"/>
        <v>2.0417379446695326E-4</v>
      </c>
    </row>
    <row r="693" spans="1:3" x14ac:dyDescent="0.3">
      <c r="A693" s="5">
        <v>0.72943287037037041</v>
      </c>
      <c r="B693">
        <v>83.3</v>
      </c>
      <c r="C693">
        <f t="shared" si="11"/>
        <v>1.6595869074375585E-4</v>
      </c>
    </row>
    <row r="694" spans="1:3" x14ac:dyDescent="0.3">
      <c r="A694" s="5">
        <v>0.72978009259259258</v>
      </c>
      <c r="B694">
        <v>82.1</v>
      </c>
      <c r="C694">
        <f t="shared" si="11"/>
        <v>1.2589254117941672E-4</v>
      </c>
    </row>
    <row r="695" spans="1:3" x14ac:dyDescent="0.3">
      <c r="A695" s="5">
        <v>0.73012731481481485</v>
      </c>
      <c r="B695">
        <v>81.5</v>
      </c>
      <c r="C695">
        <f t="shared" si="11"/>
        <v>1.0964781961431857E-4</v>
      </c>
    </row>
    <row r="696" spans="1:3" x14ac:dyDescent="0.3">
      <c r="A696" s="5">
        <v>0.73046296296296298</v>
      </c>
      <c r="B696">
        <v>95.1</v>
      </c>
      <c r="C696">
        <f t="shared" si="11"/>
        <v>2.5118864315095777E-3</v>
      </c>
    </row>
    <row r="697" spans="1:3" x14ac:dyDescent="0.3">
      <c r="A697" s="5">
        <v>0.73081018518518515</v>
      </c>
      <c r="B697">
        <v>102.9</v>
      </c>
      <c r="C697">
        <f t="shared" si="11"/>
        <v>1.5135612484362116E-2</v>
      </c>
    </row>
    <row r="698" spans="1:3" x14ac:dyDescent="0.3">
      <c r="A698" s="5">
        <v>0.73116898148148146</v>
      </c>
      <c r="B698">
        <v>106.5</v>
      </c>
      <c r="C698">
        <f t="shared" si="11"/>
        <v>3.4673685045253186E-2</v>
      </c>
    </row>
    <row r="699" spans="1:3" x14ac:dyDescent="0.3">
      <c r="A699" s="5">
        <v>0.73151620370370374</v>
      </c>
      <c r="B699">
        <v>113.3</v>
      </c>
      <c r="C699">
        <f t="shared" si="11"/>
        <v>0.16595869074375616</v>
      </c>
    </row>
    <row r="700" spans="1:3" x14ac:dyDescent="0.3">
      <c r="A700" s="5">
        <v>0.7318634259259259</v>
      </c>
      <c r="B700">
        <v>114.8</v>
      </c>
      <c r="C700">
        <f t="shared" si="11"/>
        <v>0.23442288153199239</v>
      </c>
    </row>
    <row r="701" spans="1:3" x14ac:dyDescent="0.3">
      <c r="A701" s="5">
        <v>0.73219907407407403</v>
      </c>
      <c r="B701">
        <v>113.8</v>
      </c>
      <c r="C701">
        <f t="shared" si="11"/>
        <v>0.1862087136662868</v>
      </c>
    </row>
    <row r="702" spans="1:3" x14ac:dyDescent="0.3">
      <c r="A702" s="5">
        <v>0.73255787037037035</v>
      </c>
      <c r="B702">
        <v>112.9</v>
      </c>
      <c r="C702">
        <f t="shared" si="11"/>
        <v>0.15135612484362121</v>
      </c>
    </row>
    <row r="703" spans="1:3" x14ac:dyDescent="0.3">
      <c r="A703" s="5">
        <v>0.73290509259259262</v>
      </c>
      <c r="B703">
        <v>112.2</v>
      </c>
      <c r="C703">
        <f t="shared" si="11"/>
        <v>0.12882495516931364</v>
      </c>
    </row>
    <row r="704" spans="1:3" x14ac:dyDescent="0.3">
      <c r="A704" s="5">
        <v>0.73325231481481479</v>
      </c>
      <c r="B704">
        <v>111.4</v>
      </c>
      <c r="C704">
        <f t="shared" si="11"/>
        <v>0.10715193052376093</v>
      </c>
    </row>
    <row r="705" spans="1:3" x14ac:dyDescent="0.3">
      <c r="A705" s="5">
        <v>0.73359953703703706</v>
      </c>
      <c r="B705">
        <v>110.8</v>
      </c>
      <c r="C705">
        <f t="shared" ref="C705:C768" si="12">10^((B705-121.1)/10)</f>
        <v>9.3325430079699109E-2</v>
      </c>
    </row>
    <row r="706" spans="1:3" x14ac:dyDescent="0.3">
      <c r="A706" s="5">
        <v>0.73394675925925923</v>
      </c>
      <c r="B706">
        <v>111.4</v>
      </c>
      <c r="C706">
        <f t="shared" si="12"/>
        <v>0.10715193052376093</v>
      </c>
    </row>
    <row r="707" spans="1:3" x14ac:dyDescent="0.3">
      <c r="A707" s="5">
        <v>0.73429398148148151</v>
      </c>
      <c r="B707">
        <v>115.9</v>
      </c>
      <c r="C707">
        <f t="shared" si="12"/>
        <v>0.30199517204020232</v>
      </c>
    </row>
    <row r="708" spans="1:3" x14ac:dyDescent="0.3">
      <c r="A708" s="5">
        <v>0.73464120370370367</v>
      </c>
      <c r="B708">
        <v>115.8</v>
      </c>
      <c r="C708">
        <f t="shared" si="12"/>
        <v>0.29512092266663875</v>
      </c>
    </row>
    <row r="709" spans="1:3" x14ac:dyDescent="0.3">
      <c r="A709" s="5">
        <v>0.73498842592592595</v>
      </c>
      <c r="B709">
        <v>115</v>
      </c>
      <c r="C709">
        <f t="shared" si="12"/>
        <v>0.2454708915685033</v>
      </c>
    </row>
    <row r="710" spans="1:3" x14ac:dyDescent="0.3">
      <c r="A710" s="5">
        <v>0.73533564814814811</v>
      </c>
      <c r="B710">
        <v>114.3</v>
      </c>
      <c r="C710">
        <f t="shared" si="12"/>
        <v>0.20892961308540403</v>
      </c>
    </row>
    <row r="711" spans="1:3" x14ac:dyDescent="0.3">
      <c r="A711" s="5">
        <v>0.73568287037037039</v>
      </c>
      <c r="B711">
        <v>113.8</v>
      </c>
      <c r="C711">
        <f t="shared" si="12"/>
        <v>0.1862087136662868</v>
      </c>
    </row>
    <row r="712" spans="1:3" x14ac:dyDescent="0.3">
      <c r="A712" s="5">
        <v>0.73603009259259256</v>
      </c>
      <c r="B712">
        <v>113.2</v>
      </c>
      <c r="C712">
        <f t="shared" si="12"/>
        <v>0.16218100973589328</v>
      </c>
    </row>
    <row r="713" spans="1:3" x14ac:dyDescent="0.3">
      <c r="A713" s="5">
        <v>0.73637731481481483</v>
      </c>
      <c r="B713">
        <v>112.6</v>
      </c>
      <c r="C713">
        <f t="shared" si="12"/>
        <v>0.14125375446227542</v>
      </c>
    </row>
    <row r="714" spans="1:3" x14ac:dyDescent="0.3">
      <c r="A714" s="5">
        <v>0.736724537037037</v>
      </c>
      <c r="B714">
        <v>112</v>
      </c>
      <c r="C714">
        <f t="shared" si="12"/>
        <v>0.1230268770812383</v>
      </c>
    </row>
    <row r="715" spans="1:3" x14ac:dyDescent="0.3">
      <c r="A715" s="5">
        <v>0.73707175925925927</v>
      </c>
      <c r="B715">
        <v>111.5</v>
      </c>
      <c r="C715">
        <f t="shared" si="12"/>
        <v>0.10964781961431865</v>
      </c>
    </row>
    <row r="716" spans="1:3" x14ac:dyDescent="0.3">
      <c r="A716" s="5">
        <v>0.73741898148148144</v>
      </c>
      <c r="B716">
        <v>110.9</v>
      </c>
      <c r="C716">
        <f t="shared" si="12"/>
        <v>9.5499258602143797E-2</v>
      </c>
    </row>
    <row r="717" spans="1:3" x14ac:dyDescent="0.3">
      <c r="A717" s="5">
        <v>0.73775462962962968</v>
      </c>
      <c r="B717">
        <v>110.9</v>
      </c>
      <c r="C717">
        <f t="shared" si="12"/>
        <v>9.5499258602143797E-2</v>
      </c>
    </row>
    <row r="718" spans="1:3" x14ac:dyDescent="0.3">
      <c r="A718" s="5">
        <v>0.73811342592592588</v>
      </c>
      <c r="B718">
        <v>115.2</v>
      </c>
      <c r="C718">
        <f t="shared" si="12"/>
        <v>0.25703957827688678</v>
      </c>
    </row>
    <row r="719" spans="1:3" x14ac:dyDescent="0.3">
      <c r="A719" s="5">
        <v>0.73846064814814816</v>
      </c>
      <c r="B719">
        <v>115.6</v>
      </c>
      <c r="C719">
        <f t="shared" si="12"/>
        <v>0.28183829312644532</v>
      </c>
    </row>
    <row r="720" spans="1:3" x14ac:dyDescent="0.3">
      <c r="A720" s="5">
        <v>0.73879629629629628</v>
      </c>
      <c r="B720">
        <v>114.8</v>
      </c>
      <c r="C720">
        <f t="shared" si="12"/>
        <v>0.23442288153199239</v>
      </c>
    </row>
    <row r="721" spans="1:3" x14ac:dyDescent="0.3">
      <c r="A721" s="5">
        <v>0.7391550925925926</v>
      </c>
      <c r="B721">
        <v>114.2</v>
      </c>
      <c r="C721">
        <f t="shared" si="12"/>
        <v>0.20417379446695327</v>
      </c>
    </row>
    <row r="722" spans="1:3" x14ac:dyDescent="0.3">
      <c r="A722" s="5">
        <v>0.73950231481481477</v>
      </c>
      <c r="B722">
        <v>113.6</v>
      </c>
      <c r="C722">
        <f t="shared" si="12"/>
        <v>0.17782794100389224</v>
      </c>
    </row>
    <row r="723" spans="1:3" x14ac:dyDescent="0.3">
      <c r="A723" s="5">
        <v>0.73984953703703704</v>
      </c>
      <c r="B723">
        <v>113.1</v>
      </c>
      <c r="C723">
        <f t="shared" si="12"/>
        <v>0.15848931924611132</v>
      </c>
    </row>
    <row r="724" spans="1:3" x14ac:dyDescent="0.3">
      <c r="A724" s="5">
        <v>0.74019675925925921</v>
      </c>
      <c r="B724">
        <v>112.5</v>
      </c>
      <c r="C724">
        <f t="shared" si="12"/>
        <v>0.13803842646028863</v>
      </c>
    </row>
    <row r="725" spans="1:3" x14ac:dyDescent="0.3">
      <c r="A725" s="5">
        <v>0.74054398148148148</v>
      </c>
      <c r="B725">
        <v>112</v>
      </c>
      <c r="C725">
        <f t="shared" si="12"/>
        <v>0.1230268770812383</v>
      </c>
    </row>
    <row r="726" spans="1:3" x14ac:dyDescent="0.3">
      <c r="A726" s="5">
        <v>0.74089120370370365</v>
      </c>
      <c r="B726">
        <v>111.5</v>
      </c>
      <c r="C726">
        <f t="shared" si="12"/>
        <v>0.10964781961431865</v>
      </c>
    </row>
    <row r="727" spans="1:3" x14ac:dyDescent="0.3">
      <c r="A727" s="5">
        <v>0.74123842592592593</v>
      </c>
      <c r="B727">
        <v>111.1</v>
      </c>
      <c r="C727">
        <f t="shared" si="12"/>
        <v>0.1</v>
      </c>
    </row>
    <row r="728" spans="1:3" x14ac:dyDescent="0.3">
      <c r="A728" s="5">
        <v>0.7415856481481482</v>
      </c>
      <c r="B728">
        <v>110.5</v>
      </c>
      <c r="C728">
        <f t="shared" si="12"/>
        <v>8.7096358995608178E-2</v>
      </c>
    </row>
    <row r="729" spans="1:3" x14ac:dyDescent="0.3">
      <c r="A729" s="5">
        <v>0.74193287037037037</v>
      </c>
      <c r="B729">
        <v>113.4</v>
      </c>
      <c r="C729">
        <f t="shared" si="12"/>
        <v>0.16982436524617484</v>
      </c>
    </row>
    <row r="730" spans="1:3" x14ac:dyDescent="0.3">
      <c r="A730" s="5">
        <v>0.74228009259259264</v>
      </c>
      <c r="B730">
        <v>115.9</v>
      </c>
      <c r="C730">
        <f t="shared" si="12"/>
        <v>0.30199517204020232</v>
      </c>
    </row>
    <row r="731" spans="1:3" x14ac:dyDescent="0.3">
      <c r="A731" s="5">
        <v>0.74262731481481481</v>
      </c>
      <c r="B731">
        <v>115.2</v>
      </c>
      <c r="C731">
        <f t="shared" si="12"/>
        <v>0.25703957827688678</v>
      </c>
    </row>
    <row r="732" spans="1:3" x14ac:dyDescent="0.3">
      <c r="A732" s="5">
        <v>0.74297453703703709</v>
      </c>
      <c r="B732">
        <v>114.5</v>
      </c>
      <c r="C732">
        <f t="shared" si="12"/>
        <v>0.21877616239495548</v>
      </c>
    </row>
    <row r="733" spans="1:3" x14ac:dyDescent="0.3">
      <c r="A733" s="5">
        <v>0.74332175925925925</v>
      </c>
      <c r="B733">
        <v>113.9</v>
      </c>
      <c r="C733">
        <f t="shared" si="12"/>
        <v>0.19054607179632518</v>
      </c>
    </row>
    <row r="734" spans="1:3" x14ac:dyDescent="0.3">
      <c r="A734" s="5">
        <v>0.74366898148148153</v>
      </c>
      <c r="B734">
        <v>113.4</v>
      </c>
      <c r="C734">
        <f t="shared" si="12"/>
        <v>0.16982436524617484</v>
      </c>
    </row>
    <row r="735" spans="1:3" x14ac:dyDescent="0.3">
      <c r="A735" s="5">
        <v>0.74401620370370369</v>
      </c>
      <c r="B735">
        <v>112.9</v>
      </c>
      <c r="C735">
        <f t="shared" si="12"/>
        <v>0.15135612484362121</v>
      </c>
    </row>
    <row r="736" spans="1:3" x14ac:dyDescent="0.3">
      <c r="A736" s="5">
        <v>0.74436342592592597</v>
      </c>
      <c r="B736">
        <v>112.3</v>
      </c>
      <c r="C736">
        <f t="shared" si="12"/>
        <v>0.13182567385564076</v>
      </c>
    </row>
    <row r="737" spans="1:3" x14ac:dyDescent="0.3">
      <c r="A737" s="5">
        <v>0.74471064814814814</v>
      </c>
      <c r="B737">
        <v>111.8</v>
      </c>
      <c r="C737">
        <f t="shared" si="12"/>
        <v>0.117489755493953</v>
      </c>
    </row>
    <row r="738" spans="1:3" x14ac:dyDescent="0.3">
      <c r="A738" s="5">
        <v>0.74505787037037041</v>
      </c>
      <c r="B738">
        <v>111.4</v>
      </c>
      <c r="C738">
        <f t="shared" si="12"/>
        <v>0.10715193052376093</v>
      </c>
    </row>
    <row r="739" spans="1:3" x14ac:dyDescent="0.3">
      <c r="A739" s="5">
        <v>0.74540509259259258</v>
      </c>
      <c r="B739">
        <v>110.9</v>
      </c>
      <c r="C739">
        <f t="shared" si="12"/>
        <v>9.5499258602143797E-2</v>
      </c>
    </row>
    <row r="740" spans="1:3" x14ac:dyDescent="0.3">
      <c r="A740" s="5">
        <v>0.74575231481481485</v>
      </c>
      <c r="B740">
        <v>103.9</v>
      </c>
      <c r="C740">
        <f t="shared" si="12"/>
        <v>1.9054607179632515E-2</v>
      </c>
    </row>
    <row r="741" spans="1:3" x14ac:dyDescent="0.3">
      <c r="A741" s="5">
        <v>0.74609953703703702</v>
      </c>
      <c r="B741">
        <v>83.3</v>
      </c>
      <c r="C741">
        <f t="shared" si="12"/>
        <v>1.6595869074375585E-4</v>
      </c>
    </row>
    <row r="742" spans="1:3" x14ac:dyDescent="0.3">
      <c r="A742" s="5">
        <v>0.7464467592592593</v>
      </c>
      <c r="B742">
        <v>74.8</v>
      </c>
      <c r="C742">
        <f t="shared" si="12"/>
        <v>2.3442288153199218E-5</v>
      </c>
    </row>
    <row r="743" spans="1:3" x14ac:dyDescent="0.3">
      <c r="A743" s="5">
        <v>0.74679398148148146</v>
      </c>
      <c r="B743">
        <v>71.7</v>
      </c>
      <c r="C743">
        <f t="shared" si="12"/>
        <v>1.1481536214968819E-5</v>
      </c>
    </row>
    <row r="744" spans="1:3" x14ac:dyDescent="0.3">
      <c r="A744" s="5">
        <v>0.74714120370370374</v>
      </c>
      <c r="B744">
        <v>68.5</v>
      </c>
      <c r="C744">
        <f t="shared" si="12"/>
        <v>5.4954087385762383E-6</v>
      </c>
    </row>
    <row r="745" spans="1:3" x14ac:dyDescent="0.3">
      <c r="A745" s="5">
        <v>0.7474884259259259</v>
      </c>
      <c r="B745">
        <v>65.5</v>
      </c>
      <c r="C745">
        <f t="shared" si="12"/>
        <v>2.7542287033381663E-6</v>
      </c>
    </row>
    <row r="746" spans="1:3" x14ac:dyDescent="0.3">
      <c r="A746" s="5">
        <v>0.74783564814814818</v>
      </c>
      <c r="B746">
        <v>62.9</v>
      </c>
      <c r="C746">
        <f t="shared" si="12"/>
        <v>1.5135612484362091E-6</v>
      </c>
    </row>
    <row r="747" spans="1:3" x14ac:dyDescent="0.3">
      <c r="A747" s="5">
        <v>0.74818287037037035</v>
      </c>
      <c r="B747">
        <v>60.5</v>
      </c>
      <c r="C747">
        <f t="shared" si="12"/>
        <v>8.7096358995607992E-7</v>
      </c>
    </row>
    <row r="748" spans="1:3" x14ac:dyDescent="0.3">
      <c r="A748" s="5">
        <v>0.74853009259259262</v>
      </c>
      <c r="B748">
        <v>58.6</v>
      </c>
      <c r="C748">
        <f t="shared" si="12"/>
        <v>5.6234132519034967E-7</v>
      </c>
    </row>
    <row r="749" spans="1:3" x14ac:dyDescent="0.3">
      <c r="A749" s="5">
        <v>0.74887731481481479</v>
      </c>
      <c r="B749">
        <v>56.8</v>
      </c>
      <c r="C749">
        <f t="shared" si="12"/>
        <v>3.7153522909717226E-7</v>
      </c>
    </row>
    <row r="750" spans="1:3" x14ac:dyDescent="0.3">
      <c r="A750" s="5">
        <v>0.74922453703703706</v>
      </c>
      <c r="B750">
        <v>55.3</v>
      </c>
      <c r="C750">
        <f t="shared" si="12"/>
        <v>2.6302679918953789E-7</v>
      </c>
    </row>
    <row r="751" spans="1:3" x14ac:dyDescent="0.3">
      <c r="A751" s="5">
        <v>0.74957175925925923</v>
      </c>
      <c r="B751">
        <v>54</v>
      </c>
      <c r="C751">
        <f t="shared" si="12"/>
        <v>1.9498445997580458E-7</v>
      </c>
    </row>
    <row r="752" spans="1:3" x14ac:dyDescent="0.3">
      <c r="A752" s="5">
        <v>0.74991898148148151</v>
      </c>
      <c r="B752">
        <v>52.8</v>
      </c>
      <c r="C752">
        <f t="shared" si="12"/>
        <v>1.479108388168204E-7</v>
      </c>
    </row>
    <row r="753" spans="1:3" x14ac:dyDescent="0.3">
      <c r="A753" s="5">
        <v>0.75026620370370367</v>
      </c>
      <c r="B753">
        <v>51.6</v>
      </c>
      <c r="C753">
        <f t="shared" si="12"/>
        <v>1.1220184543019621E-7</v>
      </c>
    </row>
    <row r="754" spans="1:3" x14ac:dyDescent="0.3">
      <c r="A754" s="5">
        <v>0.75061342592592595</v>
      </c>
      <c r="B754">
        <v>50.5</v>
      </c>
      <c r="C754">
        <f t="shared" si="12"/>
        <v>8.7096358995608061E-8</v>
      </c>
    </row>
    <row r="755" spans="1:3" x14ac:dyDescent="0.3">
      <c r="A755" s="5">
        <v>0.75096064814814811</v>
      </c>
      <c r="B755">
        <v>49.6</v>
      </c>
      <c r="C755">
        <f t="shared" si="12"/>
        <v>7.0794578438413597E-8</v>
      </c>
    </row>
    <row r="756" spans="1:3" x14ac:dyDescent="0.3">
      <c r="A756" s="5">
        <v>0.75130787037037039</v>
      </c>
      <c r="B756">
        <v>48.8</v>
      </c>
      <c r="C756">
        <f t="shared" si="12"/>
        <v>5.8884365535558776E-8</v>
      </c>
    </row>
    <row r="757" spans="1:3" x14ac:dyDescent="0.3">
      <c r="A757" s="5">
        <v>0.75165509259259256</v>
      </c>
      <c r="B757">
        <v>48</v>
      </c>
      <c r="C757">
        <f t="shared" si="12"/>
        <v>4.8977881936844561E-8</v>
      </c>
    </row>
    <row r="758" spans="1:3" x14ac:dyDescent="0.3">
      <c r="A758" s="5">
        <v>0.75200231481481483</v>
      </c>
      <c r="B758">
        <v>47.4</v>
      </c>
      <c r="C758">
        <f t="shared" si="12"/>
        <v>4.2657951880159239E-8</v>
      </c>
    </row>
    <row r="759" spans="1:3" x14ac:dyDescent="0.3">
      <c r="A759" s="5">
        <v>0.752349537037037</v>
      </c>
      <c r="B759">
        <v>46.8</v>
      </c>
      <c r="C759">
        <f t="shared" si="12"/>
        <v>3.7153522909717246E-8</v>
      </c>
    </row>
    <row r="760" spans="1:3" x14ac:dyDescent="0.3">
      <c r="A760" s="5">
        <v>0.75269675925925927</v>
      </c>
      <c r="B760">
        <v>46.3</v>
      </c>
      <c r="C760">
        <f t="shared" si="12"/>
        <v>3.3113112148259124E-8</v>
      </c>
    </row>
    <row r="761" spans="1:3" x14ac:dyDescent="0.3">
      <c r="A761" s="5">
        <v>0.75304398148148144</v>
      </c>
      <c r="B761">
        <v>45.9</v>
      </c>
      <c r="C761">
        <f t="shared" si="12"/>
        <v>3.0199517204020188E-8</v>
      </c>
    </row>
    <row r="762" spans="1:3" x14ac:dyDescent="0.3">
      <c r="A762" s="5">
        <v>0.75339120370370372</v>
      </c>
      <c r="B762">
        <v>45.4</v>
      </c>
      <c r="C762">
        <f t="shared" si="12"/>
        <v>2.691534803926919E-8</v>
      </c>
    </row>
    <row r="763" spans="1:3" x14ac:dyDescent="0.3">
      <c r="A763" s="5">
        <v>0.75373842592592588</v>
      </c>
      <c r="B763">
        <v>45</v>
      </c>
      <c r="C763">
        <f t="shared" si="12"/>
        <v>2.4547089156850259E-8</v>
      </c>
    </row>
    <row r="764" spans="1:3" x14ac:dyDescent="0.3">
      <c r="A764" s="5">
        <v>0.75408564814814816</v>
      </c>
      <c r="B764">
        <v>44.8</v>
      </c>
      <c r="C764">
        <f t="shared" si="12"/>
        <v>2.3442288153199181E-8</v>
      </c>
    </row>
    <row r="765" spans="1:3" x14ac:dyDescent="0.3">
      <c r="A765" s="5">
        <v>0.75443287037037032</v>
      </c>
      <c r="B765">
        <v>44.7</v>
      </c>
      <c r="C765">
        <f t="shared" si="12"/>
        <v>2.2908676527677776E-8</v>
      </c>
    </row>
    <row r="766" spans="1:3" x14ac:dyDescent="0.3">
      <c r="A766" s="5">
        <v>0.7547800925925926</v>
      </c>
      <c r="B766">
        <v>44.6</v>
      </c>
      <c r="C766">
        <f t="shared" si="12"/>
        <v>2.2387211385683365E-8</v>
      </c>
    </row>
    <row r="767" spans="1:3" x14ac:dyDescent="0.3">
      <c r="A767" s="5">
        <v>0.75512731481481477</v>
      </c>
      <c r="B767">
        <v>44.4</v>
      </c>
      <c r="C767">
        <f t="shared" si="12"/>
        <v>2.1379620895022368E-8</v>
      </c>
    </row>
    <row r="768" spans="1:3" x14ac:dyDescent="0.3">
      <c r="A768" s="5">
        <v>0.75547453703703704</v>
      </c>
      <c r="B768">
        <v>44.3</v>
      </c>
      <c r="C768">
        <f t="shared" si="12"/>
        <v>2.0892961308540368E-8</v>
      </c>
    </row>
    <row r="769" spans="1:3" x14ac:dyDescent="0.3">
      <c r="A769" s="5">
        <v>0.75582175925925921</v>
      </c>
      <c r="B769">
        <v>44.3</v>
      </c>
      <c r="C769">
        <f t="shared" ref="C769:C773" si="13">10^((B769-121.1)/10)</f>
        <v>2.0892961308540368E-8</v>
      </c>
    </row>
    <row r="770" spans="1:3" x14ac:dyDescent="0.3">
      <c r="A770" s="5">
        <v>0.75616898148148148</v>
      </c>
      <c r="B770">
        <v>44.5</v>
      </c>
      <c r="C770">
        <f t="shared" si="13"/>
        <v>2.1877616239495494E-8</v>
      </c>
    </row>
    <row r="771" spans="1:3" x14ac:dyDescent="0.3">
      <c r="A771" s="5">
        <v>0.75651620370370365</v>
      </c>
      <c r="B771">
        <v>44.6</v>
      </c>
      <c r="C771">
        <f t="shared" si="13"/>
        <v>2.2387211385683365E-8</v>
      </c>
    </row>
    <row r="772" spans="1:3" x14ac:dyDescent="0.3">
      <c r="A772" s="5">
        <v>0.75686342592592593</v>
      </c>
      <c r="B772">
        <v>44.6</v>
      </c>
      <c r="C772">
        <f t="shared" si="13"/>
        <v>2.2387211385683365E-8</v>
      </c>
    </row>
    <row r="773" spans="1:3" x14ac:dyDescent="0.3">
      <c r="A773" s="5">
        <v>0.7572106481481482</v>
      </c>
      <c r="B773">
        <v>44.6</v>
      </c>
      <c r="C773">
        <f t="shared" si="13"/>
        <v>2.2387211385683365E-8</v>
      </c>
    </row>
    <row r="774" spans="1:3" x14ac:dyDescent="0.3">
      <c r="A774" s="2" t="s">
        <v>66</v>
      </c>
      <c r="C774">
        <f>SUM(C640:C773)</f>
        <v>7.5684659161514327</v>
      </c>
    </row>
    <row r="776" spans="1:3" x14ac:dyDescent="0.3">
      <c r="A776" s="2" t="s">
        <v>67</v>
      </c>
      <c r="C776">
        <f>30/60*C774</f>
        <v>3.7842329580757164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D2B4-2327-4295-B585-4FEB903484D4}">
  <dimension ref="A1"/>
  <sheetViews>
    <sheetView topLeftCell="A13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44E4-435B-4C1E-AD17-6D8B453FD0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4090-B355-412A-A9E5-9731452B0B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2D1A-9350-4BA4-B08F-8BE1A15098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of the DATA</vt:lpstr>
      <vt:lpstr>Sensory</vt:lpstr>
      <vt:lpstr>Packaging Material Test</vt:lpstr>
      <vt:lpstr>Sample Coding</vt:lpstr>
      <vt:lpstr>Retort Process Data</vt:lpstr>
      <vt:lpstr>Physicochemical Data</vt:lpstr>
      <vt:lpstr>Microbiology</vt:lpstr>
      <vt:lpstr>Packaging Gas Data</vt:lpstr>
      <vt:lpstr>AI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Lone Wolf</dc:creator>
  <cp:lastModifiedBy>Omkar Shelar</cp:lastModifiedBy>
  <dcterms:created xsi:type="dcterms:W3CDTF">2015-06-05T18:17:20Z</dcterms:created>
  <dcterms:modified xsi:type="dcterms:W3CDTF">2026-07-28T06:32:26Z</dcterms:modified>
</cp:coreProperties>
</file>